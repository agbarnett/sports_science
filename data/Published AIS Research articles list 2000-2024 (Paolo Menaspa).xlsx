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U:\Research\Projects\ihbi\aushsi\ais_barnett\R_AIS\data\"/>
    </mc:Choice>
  </mc:AlternateContent>
  <xr:revisionPtr revIDLastSave="0" documentId="13_ncr:1_{B546B974-ECEB-4574-9425-81C1E10840AB}" xr6:coauthVersionLast="47" xr6:coauthVersionMax="47" xr10:uidLastSave="{00000000-0000-0000-0000-000000000000}"/>
  <bookViews>
    <workbookView xWindow="-120" yWindow="-120" windowWidth="21840" windowHeight="13020" activeTab="1" xr2:uid="{00000000-000D-0000-FFFF-FFFF00000000}"/>
  </bookViews>
  <sheets>
    <sheet name="2024" sheetId="25" r:id="rId1"/>
    <sheet name="2023" sheetId="24" r:id="rId2"/>
    <sheet name="2022" sheetId="21" r:id="rId3"/>
    <sheet name="2021" sheetId="22" r:id="rId4"/>
    <sheet name="2020" sheetId="23" r:id="rId5"/>
    <sheet name="2019" sheetId="1" r:id="rId6"/>
    <sheet name="2018" sheetId="2" r:id="rId7"/>
    <sheet name="2017" sheetId="3" r:id="rId8"/>
    <sheet name="2016" sheetId="4" r:id="rId9"/>
    <sheet name="2015" sheetId="5" r:id="rId10"/>
    <sheet name="2014" sheetId="6" r:id="rId11"/>
    <sheet name="2013" sheetId="7" r:id="rId12"/>
    <sheet name="2012" sheetId="8" r:id="rId13"/>
    <sheet name="2011" sheetId="9" r:id="rId14"/>
    <sheet name="2010" sheetId="10" r:id="rId15"/>
    <sheet name="2009" sheetId="11" r:id="rId16"/>
    <sheet name="2008" sheetId="12" r:id="rId17"/>
    <sheet name="2007" sheetId="13" r:id="rId18"/>
    <sheet name="2006" sheetId="14" r:id="rId19"/>
    <sheet name="2005" sheetId="15" r:id="rId20"/>
    <sheet name="2004" sheetId="16" r:id="rId21"/>
    <sheet name="2003" sheetId="17" r:id="rId22"/>
    <sheet name="2002" sheetId="18" r:id="rId23"/>
    <sheet name="2001" sheetId="19" r:id="rId24"/>
    <sheet name="2000" sheetId="20" r:id="rId2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7" i="21" l="1"/>
  <c r="D47" i="21"/>
  <c r="E46" i="21"/>
  <c r="D46" i="21"/>
  <c r="E45" i="21"/>
  <c r="D45" i="21"/>
  <c r="E44" i="21"/>
  <c r="D44" i="21"/>
  <c r="E43" i="21"/>
  <c r="D43" i="21"/>
  <c r="E42" i="21"/>
  <c r="D42" i="21"/>
  <c r="E41" i="21"/>
  <c r="D41" i="21"/>
  <c r="E40" i="21"/>
  <c r="D40" i="21"/>
  <c r="E39" i="21"/>
  <c r="D39" i="21"/>
  <c r="E38" i="21"/>
  <c r="D38" i="21"/>
  <c r="E37" i="21"/>
  <c r="D37" i="21"/>
  <c r="E36" i="21"/>
  <c r="D36" i="21"/>
  <c r="E35" i="21"/>
  <c r="D35" i="21"/>
  <c r="E34" i="21"/>
  <c r="D34" i="21"/>
  <c r="E33" i="21"/>
  <c r="D33" i="21"/>
  <c r="E32" i="21"/>
  <c r="D32" i="21"/>
  <c r="E31" i="21"/>
  <c r="D31" i="21"/>
  <c r="E30" i="21"/>
  <c r="D30" i="21"/>
  <c r="E29" i="21"/>
  <c r="D29" i="21"/>
  <c r="E28" i="21"/>
  <c r="D28" i="21"/>
  <c r="E27" i="21"/>
  <c r="D27" i="21"/>
  <c r="E26" i="21"/>
  <c r="D26" i="21"/>
  <c r="E25" i="21"/>
  <c r="D25" i="21"/>
  <c r="E24" i="21"/>
  <c r="D24" i="21"/>
  <c r="E23" i="21"/>
  <c r="D23" i="21"/>
  <c r="E22" i="21"/>
  <c r="D22" i="21"/>
  <c r="E21" i="21"/>
  <c r="D21" i="21"/>
  <c r="E20" i="21"/>
  <c r="D20" i="21"/>
  <c r="E19" i="21"/>
  <c r="D19" i="21"/>
  <c r="E18" i="21"/>
  <c r="D18" i="21"/>
  <c r="E17" i="21"/>
  <c r="D17" i="21"/>
  <c r="E16" i="21"/>
  <c r="D16" i="21"/>
  <c r="E15" i="21"/>
  <c r="D15" i="21"/>
  <c r="E14" i="21"/>
  <c r="D14" i="21"/>
  <c r="E13" i="21"/>
  <c r="D13" i="21"/>
  <c r="E12" i="21"/>
  <c r="D12" i="21"/>
  <c r="E11" i="21"/>
  <c r="D11" i="21"/>
  <c r="E10" i="21"/>
  <c r="D10" i="21"/>
  <c r="E9" i="21"/>
  <c r="D9" i="21"/>
  <c r="E8" i="21"/>
  <c r="D8" i="21"/>
  <c r="E7" i="21"/>
  <c r="D7" i="21"/>
  <c r="E6" i="21"/>
  <c r="D6" i="21"/>
  <c r="E5" i="21"/>
  <c r="D5" i="21"/>
  <c r="E4" i="21"/>
  <c r="D4" i="21"/>
  <c r="E3" i="21"/>
  <c r="D3" i="21"/>
  <c r="E2" i="21"/>
  <c r="D2" i="21"/>
  <c r="E49" i="22"/>
  <c r="D49" i="22"/>
  <c r="E48" i="22"/>
  <c r="D48" i="22"/>
  <c r="E47" i="22"/>
  <c r="D47" i="22"/>
  <c r="E46" i="22"/>
  <c r="D46" i="22"/>
  <c r="E45" i="22"/>
  <c r="D45" i="22"/>
  <c r="E44" i="22"/>
  <c r="D44" i="22"/>
  <c r="E43" i="22"/>
  <c r="D43" i="22"/>
  <c r="E42" i="22"/>
  <c r="D42" i="22"/>
  <c r="E41" i="22"/>
  <c r="D41" i="22"/>
  <c r="E40" i="22"/>
  <c r="D40" i="22"/>
  <c r="E39" i="22"/>
  <c r="D39" i="22"/>
  <c r="E38" i="22"/>
  <c r="D38" i="22"/>
  <c r="E37" i="22"/>
  <c r="D37" i="22"/>
  <c r="E36" i="22"/>
  <c r="D36" i="22"/>
  <c r="E35" i="22"/>
  <c r="D35" i="22"/>
  <c r="E34" i="22"/>
  <c r="D34" i="22"/>
  <c r="E33" i="22"/>
  <c r="D33" i="22"/>
  <c r="E32" i="22"/>
  <c r="D32" i="22"/>
  <c r="E31" i="22"/>
  <c r="D31" i="22"/>
  <c r="E30" i="22"/>
  <c r="D30" i="22"/>
  <c r="E29" i="22"/>
  <c r="D29" i="22"/>
  <c r="E28" i="22"/>
  <c r="D28" i="22"/>
  <c r="E27" i="22"/>
  <c r="D27" i="22"/>
  <c r="E26" i="22"/>
  <c r="D26" i="22"/>
  <c r="E25" i="22"/>
  <c r="D25" i="22"/>
  <c r="E24" i="22"/>
  <c r="D24" i="22"/>
  <c r="E23" i="22"/>
  <c r="D23" i="22"/>
  <c r="E22" i="22"/>
  <c r="D22" i="22"/>
  <c r="E21" i="22"/>
  <c r="D21" i="22"/>
  <c r="E20" i="22"/>
  <c r="D20" i="22"/>
  <c r="E19" i="22"/>
  <c r="D19" i="22"/>
  <c r="E18" i="22"/>
  <c r="D18" i="22"/>
  <c r="E17" i="22"/>
  <c r="D17" i="22"/>
  <c r="E16" i="22"/>
  <c r="D16" i="22"/>
  <c r="E15" i="22"/>
  <c r="D15" i="22"/>
  <c r="E14" i="22"/>
  <c r="D14" i="22"/>
  <c r="E13" i="22"/>
  <c r="D13" i="22"/>
  <c r="E12" i="22"/>
  <c r="D12" i="22"/>
  <c r="E11" i="22"/>
  <c r="D11" i="22"/>
  <c r="E10" i="22"/>
  <c r="D10" i="22"/>
  <c r="E9" i="22"/>
  <c r="D9" i="22"/>
  <c r="E8" i="22"/>
  <c r="D8" i="22"/>
  <c r="E7" i="22"/>
  <c r="D7" i="22"/>
  <c r="E6" i="22"/>
  <c r="D6" i="22"/>
  <c r="E5" i="22"/>
  <c r="D5" i="22"/>
  <c r="E4" i="22"/>
  <c r="D4" i="22"/>
  <c r="E3" i="22"/>
  <c r="D3" i="22"/>
  <c r="E2" i="22"/>
  <c r="D2" i="22"/>
  <c r="E71" i="23"/>
  <c r="D71" i="23"/>
  <c r="E70" i="23"/>
  <c r="D70" i="23"/>
  <c r="E69" i="23"/>
  <c r="D69" i="23"/>
  <c r="E68" i="23"/>
  <c r="D68" i="23"/>
  <c r="E67" i="23"/>
  <c r="D67" i="23"/>
  <c r="E66" i="23"/>
  <c r="D66" i="23"/>
  <c r="E65" i="23"/>
  <c r="D65" i="23"/>
  <c r="E64" i="23"/>
  <c r="D64" i="23"/>
  <c r="E63" i="23"/>
  <c r="D63" i="23"/>
  <c r="E62" i="23"/>
  <c r="D62" i="23"/>
  <c r="E61" i="23"/>
  <c r="D61" i="23"/>
  <c r="E60" i="23"/>
  <c r="D60" i="23"/>
  <c r="E59" i="23"/>
  <c r="D59" i="23"/>
  <c r="E58" i="23"/>
  <c r="D58" i="23"/>
  <c r="E57" i="23"/>
  <c r="D57" i="23"/>
  <c r="E56" i="23"/>
  <c r="D56" i="23"/>
  <c r="E55" i="23"/>
  <c r="D55" i="23"/>
  <c r="E54" i="23"/>
  <c r="D54" i="23"/>
  <c r="E53" i="23"/>
  <c r="D53" i="23"/>
  <c r="E52" i="23"/>
  <c r="D52" i="23"/>
  <c r="E51" i="23"/>
  <c r="D51" i="23"/>
  <c r="E50" i="23"/>
  <c r="D50" i="23"/>
  <c r="E49" i="23"/>
  <c r="D49" i="23"/>
  <c r="E48" i="23"/>
  <c r="D48" i="23"/>
  <c r="E47" i="23"/>
  <c r="D47" i="23"/>
  <c r="E46" i="23"/>
  <c r="D46" i="23"/>
  <c r="E45" i="23"/>
  <c r="D45" i="23"/>
  <c r="E44" i="23"/>
  <c r="D44" i="23"/>
  <c r="E43" i="23"/>
  <c r="D43" i="23"/>
  <c r="E42" i="23"/>
  <c r="D42" i="23"/>
  <c r="E41" i="23"/>
  <c r="D41" i="23"/>
  <c r="E40" i="23"/>
  <c r="D40" i="23"/>
  <c r="E39" i="23"/>
  <c r="D39" i="23"/>
  <c r="E38" i="23"/>
  <c r="D38" i="23"/>
  <c r="E37" i="23"/>
  <c r="D37" i="23"/>
  <c r="E36" i="23"/>
  <c r="D36" i="23"/>
  <c r="E35" i="23"/>
  <c r="D35" i="23"/>
  <c r="E34" i="23"/>
  <c r="D34" i="23"/>
  <c r="E33" i="23"/>
  <c r="D33" i="23"/>
  <c r="E32" i="23"/>
  <c r="D32" i="23"/>
  <c r="E31" i="23"/>
  <c r="D31" i="23"/>
  <c r="E30" i="23"/>
  <c r="D30" i="23"/>
  <c r="E29" i="23"/>
  <c r="D29" i="23"/>
  <c r="E28" i="23"/>
  <c r="D28" i="23"/>
  <c r="E27" i="23"/>
  <c r="D27" i="23"/>
  <c r="E26" i="23"/>
  <c r="D26" i="23"/>
  <c r="E25" i="23"/>
  <c r="D25" i="23"/>
  <c r="E24" i="23"/>
  <c r="D24" i="23"/>
  <c r="E23" i="23"/>
  <c r="D23" i="23"/>
  <c r="E22" i="23"/>
  <c r="D22" i="23"/>
  <c r="E21" i="23"/>
  <c r="D21" i="23"/>
  <c r="E20" i="23"/>
  <c r="D20" i="23"/>
  <c r="E19" i="23"/>
  <c r="D19" i="23"/>
  <c r="E18" i="23"/>
  <c r="D18" i="23"/>
  <c r="E17" i="23"/>
  <c r="D17" i="23"/>
  <c r="E16" i="23"/>
  <c r="D16" i="23"/>
  <c r="E15" i="23"/>
  <c r="D15" i="23"/>
  <c r="E14" i="23"/>
  <c r="D14" i="23"/>
  <c r="E13" i="23"/>
  <c r="D13" i="23"/>
  <c r="E12" i="23"/>
  <c r="D12" i="23"/>
  <c r="E11" i="23"/>
  <c r="D11" i="23"/>
  <c r="E10" i="23"/>
  <c r="D10" i="23"/>
  <c r="E9" i="23"/>
  <c r="D9" i="23"/>
  <c r="E8" i="23"/>
  <c r="D8" i="23"/>
  <c r="E7" i="23"/>
  <c r="D7" i="23"/>
  <c r="E6" i="23"/>
  <c r="D6" i="23"/>
  <c r="E5" i="23"/>
  <c r="D5" i="23"/>
  <c r="E4" i="23"/>
  <c r="D4" i="23"/>
  <c r="E3" i="23"/>
  <c r="D3" i="23"/>
  <c r="E2" i="23"/>
  <c r="D2" i="23"/>
  <c r="F29" i="18"/>
  <c r="D29" i="18"/>
  <c r="F28" i="18"/>
  <c r="F27" i="18"/>
  <c r="D27" i="18"/>
  <c r="F26" i="18"/>
  <c r="D26" i="18"/>
  <c r="F25" i="18"/>
  <c r="F24" i="18"/>
  <c r="F23" i="18"/>
  <c r="F22" i="18"/>
  <c r="F21" i="18"/>
  <c r="F20" i="18"/>
  <c r="F19" i="18"/>
  <c r="F18" i="18"/>
  <c r="F17" i="18"/>
  <c r="F16" i="18"/>
  <c r="E16" i="18"/>
  <c r="F15" i="18"/>
  <c r="D15" i="18"/>
  <c r="F14" i="18"/>
  <c r="D14" i="18"/>
  <c r="F13" i="18"/>
  <c r="D13" i="18"/>
  <c r="F12" i="18"/>
  <c r="D12" i="18"/>
  <c r="F11" i="18"/>
  <c r="D11" i="18"/>
  <c r="F10" i="18"/>
  <c r="D10" i="18"/>
  <c r="F9" i="18"/>
  <c r="F8" i="18"/>
  <c r="D8" i="18"/>
  <c r="F7" i="18"/>
  <c r="D7" i="18"/>
  <c r="F6" i="18"/>
  <c r="E6" i="18"/>
  <c r="F5" i="18"/>
  <c r="F4" i="18"/>
  <c r="F3" i="18"/>
  <c r="F2" i="18"/>
  <c r="F19" i="17"/>
  <c r="D19" i="17"/>
  <c r="F18" i="17"/>
  <c r="D18" i="17"/>
  <c r="F17" i="17"/>
  <c r="D17" i="17"/>
  <c r="F16" i="17"/>
  <c r="D16" i="17"/>
  <c r="F15" i="17"/>
  <c r="D15" i="17"/>
  <c r="F14" i="17"/>
  <c r="D14" i="17"/>
  <c r="F13" i="17"/>
  <c r="F12" i="17"/>
  <c r="F11" i="17"/>
  <c r="F10" i="17"/>
  <c r="F9" i="17"/>
  <c r="F8" i="17"/>
  <c r="F7" i="17"/>
  <c r="D7" i="17"/>
  <c r="F6" i="17"/>
  <c r="D6" i="17"/>
  <c r="F5" i="17"/>
  <c r="D5" i="17"/>
  <c r="F4" i="17"/>
  <c r="D4" i="17"/>
  <c r="F3" i="17"/>
  <c r="D3" i="17"/>
  <c r="F2" i="17"/>
  <c r="D2" i="17"/>
  <c r="F31" i="16"/>
  <c r="E31" i="16"/>
  <c r="F30" i="16"/>
  <c r="D30" i="16"/>
  <c r="F29" i="16"/>
  <c r="D29" i="16"/>
  <c r="F28" i="16"/>
  <c r="D28" i="16"/>
  <c r="F27" i="16"/>
  <c r="D27" i="16"/>
  <c r="F26" i="16"/>
  <c r="E26" i="16"/>
  <c r="F25" i="16"/>
  <c r="D25" i="16"/>
  <c r="F24" i="16"/>
  <c r="D24" i="16"/>
  <c r="F23" i="16"/>
  <c r="D23" i="16"/>
  <c r="F22" i="16"/>
  <c r="D22" i="16"/>
  <c r="F21" i="16"/>
  <c r="D21" i="16"/>
  <c r="F20" i="16"/>
  <c r="D20" i="16"/>
  <c r="F19" i="16"/>
  <c r="D19" i="16"/>
  <c r="F18" i="16"/>
  <c r="D18" i="16"/>
  <c r="F17" i="16"/>
  <c r="F16" i="16"/>
  <c r="F15" i="16"/>
  <c r="F14" i="16"/>
  <c r="F13" i="16"/>
  <c r="F12" i="16"/>
  <c r="F11" i="16"/>
  <c r="F10" i="16"/>
  <c r="D10" i="16"/>
  <c r="F9" i="16"/>
  <c r="D9" i="16"/>
  <c r="F8" i="16"/>
  <c r="D8" i="16"/>
  <c r="F7" i="16"/>
  <c r="F6" i="16"/>
  <c r="D6" i="16"/>
  <c r="F5" i="16"/>
  <c r="D5" i="16"/>
  <c r="F4" i="16"/>
  <c r="D4" i="16"/>
  <c r="F3" i="16"/>
  <c r="F2" i="16"/>
  <c r="D2" i="16"/>
  <c r="F27" i="13"/>
  <c r="D27" i="13"/>
  <c r="F26" i="13"/>
  <c r="D26" i="13"/>
  <c r="F25" i="13"/>
  <c r="D25" i="13"/>
  <c r="F24" i="13"/>
  <c r="D24" i="13"/>
  <c r="F23" i="13"/>
  <c r="D23" i="13"/>
  <c r="F22" i="13"/>
  <c r="D22" i="13"/>
  <c r="F21" i="13"/>
  <c r="D21" i="13"/>
  <c r="F20" i="13"/>
  <c r="D20" i="13"/>
  <c r="F19" i="13"/>
  <c r="D19" i="13"/>
  <c r="F18" i="13"/>
  <c r="D18" i="13"/>
  <c r="F17" i="13"/>
  <c r="D17" i="13"/>
  <c r="F16" i="13"/>
  <c r="D16" i="13"/>
  <c r="F15" i="13"/>
  <c r="D15" i="13"/>
  <c r="F14" i="13"/>
  <c r="D14" i="13"/>
  <c r="F13" i="13"/>
  <c r="D13" i="13"/>
  <c r="F12" i="13"/>
  <c r="D12" i="13"/>
  <c r="F11" i="13"/>
  <c r="D11" i="13"/>
  <c r="F10" i="13"/>
  <c r="D10" i="13"/>
  <c r="F9" i="13"/>
  <c r="D9" i="13"/>
  <c r="F8" i="13"/>
  <c r="D8" i="13"/>
  <c r="F7" i="13"/>
  <c r="D7" i="13"/>
  <c r="F6" i="13"/>
  <c r="D6" i="13"/>
  <c r="F5" i="13"/>
  <c r="D5" i="13"/>
  <c r="F4" i="13"/>
  <c r="D4" i="13"/>
  <c r="F3" i="13"/>
  <c r="D3" i="13"/>
  <c r="F2" i="13"/>
  <c r="D2" i="13"/>
  <c r="F32" i="12"/>
  <c r="D32" i="12"/>
  <c r="F31" i="12"/>
  <c r="D31" i="12"/>
  <c r="F30" i="12"/>
  <c r="D30" i="12"/>
  <c r="F29" i="12"/>
  <c r="D29" i="12"/>
  <c r="F28" i="12"/>
  <c r="D28" i="12"/>
  <c r="F27" i="12"/>
  <c r="D27" i="12"/>
  <c r="F26" i="12"/>
  <c r="D26" i="12"/>
  <c r="F25" i="12"/>
  <c r="D25" i="12"/>
  <c r="F24" i="12"/>
  <c r="D24" i="12"/>
  <c r="F23" i="12"/>
  <c r="D23" i="12"/>
  <c r="F22" i="12"/>
  <c r="D22" i="12"/>
  <c r="F21" i="12"/>
  <c r="D21" i="12"/>
  <c r="F20" i="12"/>
  <c r="D20" i="12"/>
  <c r="F19" i="12"/>
  <c r="D19" i="12"/>
  <c r="F18" i="12"/>
  <c r="D18" i="12"/>
  <c r="F17" i="12"/>
  <c r="D17" i="12"/>
  <c r="F16" i="12"/>
  <c r="D16" i="12"/>
  <c r="F15" i="12"/>
  <c r="D15" i="12"/>
  <c r="F14" i="12"/>
  <c r="D14" i="12"/>
  <c r="F13" i="12"/>
  <c r="D13" i="12"/>
  <c r="F12" i="12"/>
  <c r="D12" i="12"/>
  <c r="F11" i="12"/>
  <c r="D11" i="12"/>
  <c r="F10" i="12"/>
  <c r="D10" i="12"/>
  <c r="F9" i="12"/>
  <c r="D9" i="12"/>
  <c r="F8" i="12"/>
  <c r="D8" i="12"/>
  <c r="F7" i="12"/>
  <c r="D7" i="12"/>
  <c r="F6" i="12"/>
  <c r="D6" i="12"/>
  <c r="F5" i="12"/>
  <c r="D5" i="12"/>
  <c r="F4" i="12"/>
  <c r="D4" i="12"/>
  <c r="F3" i="12"/>
  <c r="D3" i="12"/>
  <c r="F2" i="12"/>
  <c r="D2" i="12"/>
  <c r="F25" i="11"/>
  <c r="D25" i="11"/>
  <c r="F24" i="11"/>
  <c r="D24" i="11"/>
  <c r="F23" i="11"/>
  <c r="D23" i="11"/>
  <c r="F22" i="11"/>
  <c r="D22" i="11"/>
  <c r="F21" i="11"/>
  <c r="D21" i="11"/>
  <c r="F20" i="11"/>
  <c r="D20" i="11"/>
  <c r="F19" i="11"/>
  <c r="D19" i="11"/>
  <c r="F18" i="11"/>
  <c r="D18" i="11"/>
  <c r="F17" i="11"/>
  <c r="D17" i="11"/>
  <c r="F16" i="11"/>
  <c r="D16" i="11"/>
  <c r="F15" i="11"/>
  <c r="D15" i="11"/>
  <c r="F14" i="11"/>
  <c r="D14" i="11"/>
  <c r="F13" i="11"/>
  <c r="D13" i="11"/>
  <c r="F12" i="11"/>
  <c r="D12" i="11"/>
  <c r="F11" i="11"/>
  <c r="D11" i="11"/>
  <c r="F10" i="11"/>
  <c r="D10" i="11"/>
  <c r="F9" i="11"/>
  <c r="D9" i="11"/>
  <c r="F8" i="11"/>
  <c r="D8" i="11"/>
  <c r="F7" i="11"/>
  <c r="D7" i="11"/>
  <c r="F6" i="11"/>
  <c r="D6" i="11"/>
  <c r="F5" i="11"/>
  <c r="D5" i="11"/>
  <c r="F4" i="11"/>
  <c r="D4" i="11"/>
  <c r="F3" i="11"/>
  <c r="D3" i="11"/>
  <c r="F2" i="11"/>
  <c r="D2" i="11"/>
  <c r="F28" i="15"/>
  <c r="D28" i="15"/>
  <c r="F27" i="15"/>
  <c r="D27" i="15"/>
  <c r="F26" i="15"/>
  <c r="D26" i="15"/>
  <c r="F25" i="15"/>
  <c r="D25" i="15"/>
  <c r="F24" i="15"/>
  <c r="D24" i="15"/>
  <c r="F23" i="15"/>
  <c r="F22" i="15"/>
  <c r="F21" i="15"/>
  <c r="D21" i="15"/>
  <c r="F20" i="15"/>
  <c r="D20" i="15"/>
  <c r="F19" i="15"/>
  <c r="D19" i="15"/>
  <c r="F18" i="15"/>
  <c r="D18" i="15"/>
  <c r="F17" i="15"/>
  <c r="F16" i="15"/>
  <c r="E16" i="15"/>
  <c r="F15" i="15"/>
  <c r="D15" i="15"/>
  <c r="F14" i="15"/>
  <c r="E14" i="15"/>
  <c r="F13" i="15"/>
  <c r="D13" i="15"/>
  <c r="F12" i="15"/>
  <c r="D12" i="15"/>
  <c r="F11" i="15"/>
  <c r="D11" i="15"/>
  <c r="F10" i="15"/>
  <c r="D10" i="15"/>
  <c r="F9" i="15"/>
  <c r="D9" i="15"/>
  <c r="F8" i="15"/>
  <c r="D8" i="15"/>
  <c r="F7" i="15"/>
  <c r="D7" i="15"/>
  <c r="F6" i="15"/>
  <c r="D6" i="15"/>
  <c r="F5" i="15"/>
  <c r="F4" i="15"/>
  <c r="D4" i="15"/>
  <c r="F3" i="15"/>
  <c r="D3" i="15"/>
  <c r="F2" i="15"/>
  <c r="D2" i="15"/>
  <c r="F22" i="20"/>
  <c r="D22" i="20"/>
  <c r="F21" i="20"/>
  <c r="D21" i="20"/>
  <c r="F20" i="20"/>
  <c r="F19" i="20"/>
  <c r="D19" i="20"/>
  <c r="F18" i="20"/>
  <c r="D18" i="20"/>
  <c r="F17" i="20"/>
  <c r="D17" i="20"/>
  <c r="F16" i="20"/>
  <c r="D16" i="20"/>
  <c r="F15" i="20"/>
  <c r="E15" i="20"/>
  <c r="F14" i="20"/>
  <c r="D14" i="20"/>
  <c r="F13" i="20"/>
  <c r="D13" i="20"/>
  <c r="F12" i="20"/>
  <c r="D12" i="20"/>
  <c r="F11" i="20"/>
  <c r="D11" i="20"/>
  <c r="F10" i="20"/>
  <c r="D10" i="20"/>
  <c r="F9" i="20"/>
  <c r="D9" i="20"/>
  <c r="F8" i="20"/>
  <c r="D8" i="20"/>
  <c r="F7" i="20"/>
  <c r="D7" i="20"/>
  <c r="F6" i="20"/>
  <c r="D6" i="20"/>
  <c r="F5" i="20"/>
  <c r="D5" i="20"/>
  <c r="F4" i="20"/>
  <c r="D4" i="20"/>
  <c r="F3" i="20"/>
  <c r="D3" i="20"/>
  <c r="F2" i="20"/>
  <c r="D2" i="20"/>
  <c r="F31" i="14"/>
  <c r="D31" i="14"/>
  <c r="F30" i="14"/>
  <c r="D30" i="14"/>
  <c r="F29" i="14"/>
  <c r="D29" i="14"/>
  <c r="F28" i="14"/>
  <c r="D28" i="14"/>
  <c r="F27" i="14"/>
  <c r="D27" i="14"/>
  <c r="F26" i="14"/>
  <c r="D26" i="14"/>
  <c r="F25" i="14"/>
  <c r="D25" i="14"/>
  <c r="F24" i="14"/>
  <c r="D24" i="14"/>
  <c r="F23" i="14"/>
  <c r="D23" i="14"/>
  <c r="F22" i="14"/>
  <c r="D22" i="14"/>
  <c r="F21" i="14"/>
  <c r="D21" i="14"/>
  <c r="F20" i="14"/>
  <c r="D20" i="14"/>
  <c r="F19" i="14"/>
  <c r="D19" i="14"/>
  <c r="F18" i="14"/>
  <c r="D18" i="14"/>
  <c r="F17" i="14"/>
  <c r="D17" i="14"/>
  <c r="F16" i="14"/>
  <c r="D16" i="14"/>
  <c r="F15" i="14"/>
  <c r="D15" i="14"/>
  <c r="F14" i="14"/>
  <c r="D14" i="14"/>
  <c r="F13" i="14"/>
  <c r="D13" i="14"/>
  <c r="F12" i="14"/>
  <c r="D12" i="14"/>
  <c r="F11" i="14"/>
  <c r="D11" i="14"/>
  <c r="F10" i="14"/>
  <c r="D10" i="14"/>
  <c r="F9" i="14"/>
  <c r="D9" i="14"/>
  <c r="F8" i="14"/>
  <c r="E8" i="14"/>
  <c r="F7" i="14"/>
  <c r="F6" i="14"/>
  <c r="D6" i="14"/>
  <c r="F5" i="14"/>
  <c r="D5" i="14"/>
  <c r="F4" i="14"/>
  <c r="F3" i="14"/>
  <c r="D3" i="14"/>
  <c r="F2" i="14"/>
  <c r="D2" i="14"/>
  <c r="F45" i="19"/>
  <c r="D45" i="19"/>
  <c r="F44" i="19"/>
  <c r="D44" i="19"/>
  <c r="F43" i="19"/>
  <c r="D43" i="19"/>
  <c r="F42" i="19"/>
  <c r="E42" i="19"/>
  <c r="F41" i="19"/>
  <c r="D41" i="19"/>
  <c r="F40" i="19"/>
  <c r="D40" i="19"/>
  <c r="F39" i="19"/>
  <c r="D39" i="19"/>
  <c r="F38" i="19"/>
  <c r="D38" i="19"/>
  <c r="F37" i="19"/>
  <c r="D37" i="19"/>
  <c r="F36" i="19"/>
  <c r="D36" i="19"/>
  <c r="F35" i="19"/>
  <c r="D35" i="19"/>
  <c r="F34" i="19"/>
  <c r="F33" i="19"/>
  <c r="F32" i="19"/>
  <c r="F31" i="19"/>
  <c r="F30" i="19"/>
  <c r="F29" i="19"/>
  <c r="F28" i="19"/>
  <c r="F27" i="19"/>
  <c r="F26" i="19"/>
  <c r="F25" i="19"/>
  <c r="F24" i="19"/>
  <c r="F23" i="19"/>
  <c r="F22" i="19"/>
  <c r="D22" i="19"/>
  <c r="F21" i="19"/>
  <c r="F20" i="19"/>
  <c r="F19" i="19"/>
  <c r="F18" i="19"/>
  <c r="F17" i="19"/>
  <c r="F16" i="19"/>
  <c r="F15" i="19"/>
  <c r="F14" i="19"/>
  <c r="F13" i="19"/>
  <c r="F12" i="19"/>
  <c r="F11" i="19"/>
  <c r="F10" i="19"/>
  <c r="F9" i="19"/>
  <c r="F8" i="19"/>
  <c r="F7" i="19"/>
  <c r="D7" i="19"/>
  <c r="F6" i="19"/>
  <c r="D6" i="19"/>
  <c r="F5" i="19"/>
  <c r="D5" i="19"/>
  <c r="F4" i="19"/>
  <c r="D4" i="19"/>
  <c r="F3" i="19"/>
  <c r="D3" i="19"/>
  <c r="F2" i="19"/>
  <c r="D2" i="19"/>
  <c r="F22" i="9"/>
  <c r="D22" i="9"/>
  <c r="F21" i="9"/>
  <c r="D21" i="9"/>
  <c r="F20" i="9"/>
  <c r="D20" i="9"/>
  <c r="F19" i="9"/>
  <c r="D19" i="9"/>
  <c r="F18" i="9"/>
  <c r="D18" i="9"/>
  <c r="F17" i="9"/>
  <c r="D17" i="9"/>
  <c r="F16" i="9"/>
  <c r="D16" i="9"/>
  <c r="F15" i="9"/>
  <c r="D15" i="9"/>
  <c r="F14" i="9"/>
  <c r="D14" i="9"/>
  <c r="F13" i="9"/>
  <c r="D13" i="9"/>
  <c r="F12" i="9"/>
  <c r="D12" i="9"/>
  <c r="F11" i="9"/>
  <c r="D11" i="9"/>
  <c r="F10" i="9"/>
  <c r="D10" i="9"/>
  <c r="F9" i="9"/>
  <c r="D9" i="9"/>
  <c r="F8" i="9"/>
  <c r="D8" i="9"/>
  <c r="F7" i="9"/>
  <c r="D7" i="9"/>
  <c r="F6" i="9"/>
  <c r="D6" i="9"/>
  <c r="F5" i="9"/>
  <c r="D5" i="9"/>
  <c r="F4" i="9"/>
  <c r="D4" i="9"/>
  <c r="F3" i="9"/>
  <c r="D3" i="9"/>
  <c r="F2" i="9"/>
  <c r="D2" i="9"/>
  <c r="F33" i="10"/>
  <c r="D33" i="10"/>
  <c r="F32" i="10"/>
  <c r="D32" i="10"/>
  <c r="F31" i="10"/>
  <c r="D31" i="10"/>
  <c r="F30" i="10"/>
  <c r="D30" i="10"/>
  <c r="F29" i="10"/>
  <c r="D29" i="10"/>
  <c r="F28" i="10"/>
  <c r="D28" i="10"/>
  <c r="F27" i="10"/>
  <c r="D27" i="10"/>
  <c r="F26" i="10"/>
  <c r="D26" i="10"/>
  <c r="F25" i="10"/>
  <c r="D25" i="10"/>
  <c r="F24" i="10"/>
  <c r="D24" i="10"/>
  <c r="F23" i="10"/>
  <c r="D23" i="10"/>
  <c r="F22" i="10"/>
  <c r="D22" i="10"/>
  <c r="F21" i="10"/>
  <c r="D21" i="10"/>
  <c r="F20" i="10"/>
  <c r="D20" i="10"/>
  <c r="F19" i="10"/>
  <c r="D19" i="10"/>
  <c r="F18" i="10"/>
  <c r="D18" i="10"/>
  <c r="F17" i="10"/>
  <c r="D17" i="10"/>
  <c r="F16" i="10"/>
  <c r="D16" i="10"/>
  <c r="F15" i="10"/>
  <c r="D15" i="10"/>
  <c r="F14" i="10"/>
  <c r="D14" i="10"/>
  <c r="F13" i="10"/>
  <c r="D13" i="10"/>
  <c r="F12" i="10"/>
  <c r="D12" i="10"/>
  <c r="F11" i="10"/>
  <c r="D11" i="10"/>
  <c r="F10" i="10"/>
  <c r="D10" i="10"/>
  <c r="F9" i="10"/>
  <c r="D9" i="10"/>
  <c r="F8" i="10"/>
  <c r="D8" i="10"/>
  <c r="F7" i="10"/>
  <c r="D7" i="10"/>
  <c r="F6" i="10"/>
  <c r="D6" i="10"/>
  <c r="F5" i="10"/>
  <c r="D5" i="10"/>
  <c r="F4" i="10"/>
  <c r="D4" i="10"/>
  <c r="F3" i="10"/>
  <c r="D3" i="10"/>
  <c r="F2" i="10"/>
  <c r="D2" i="10"/>
  <c r="F25" i="8"/>
  <c r="D25" i="8"/>
  <c r="F24" i="8"/>
  <c r="D24" i="8"/>
  <c r="F23" i="8"/>
  <c r="D23" i="8"/>
  <c r="F22" i="8"/>
  <c r="D22" i="8"/>
  <c r="F21" i="8"/>
  <c r="D21" i="8"/>
  <c r="F20" i="8"/>
  <c r="D20" i="8"/>
  <c r="F19" i="8"/>
  <c r="D19" i="8"/>
  <c r="F18" i="8"/>
  <c r="D18" i="8"/>
  <c r="F17" i="8"/>
  <c r="D17" i="8"/>
  <c r="F16" i="8"/>
  <c r="D16" i="8"/>
  <c r="F15" i="8"/>
  <c r="D15" i="8"/>
  <c r="F14" i="8"/>
  <c r="D14" i="8"/>
  <c r="F13" i="8"/>
  <c r="D13" i="8"/>
  <c r="F12" i="8"/>
  <c r="D12" i="8"/>
  <c r="F11" i="8"/>
  <c r="D11" i="8"/>
  <c r="F10" i="8"/>
  <c r="D10" i="8"/>
  <c r="F9" i="8"/>
  <c r="D9" i="8"/>
  <c r="F8" i="8"/>
  <c r="D8" i="8"/>
  <c r="F7" i="8"/>
  <c r="D7" i="8"/>
  <c r="F6" i="8"/>
  <c r="D6" i="8"/>
  <c r="F5" i="8"/>
  <c r="D5" i="8"/>
  <c r="F4" i="8"/>
  <c r="D4" i="8"/>
  <c r="F3" i="8"/>
  <c r="D3" i="8"/>
  <c r="F2" i="8"/>
  <c r="D2" i="8"/>
  <c r="F31" i="7"/>
  <c r="D31" i="7"/>
  <c r="F30" i="7"/>
  <c r="D30" i="7"/>
  <c r="F29" i="7"/>
  <c r="D29" i="7"/>
  <c r="F28" i="7"/>
  <c r="D28" i="7"/>
  <c r="F27" i="7"/>
  <c r="D27" i="7"/>
  <c r="F26" i="7"/>
  <c r="D26" i="7"/>
  <c r="F25" i="7"/>
  <c r="D25" i="7"/>
  <c r="F24" i="7"/>
  <c r="D24" i="7"/>
  <c r="F23" i="7"/>
  <c r="D23" i="7"/>
  <c r="F22" i="7"/>
  <c r="D22" i="7"/>
  <c r="F21" i="7"/>
  <c r="D21" i="7"/>
  <c r="F20" i="7"/>
  <c r="D20" i="7"/>
  <c r="F19" i="7"/>
  <c r="D19" i="7"/>
  <c r="F18" i="7"/>
  <c r="D18" i="7"/>
  <c r="F17" i="7"/>
  <c r="D17" i="7"/>
  <c r="F16" i="7"/>
  <c r="D16" i="7"/>
  <c r="F15" i="7"/>
  <c r="D15" i="7"/>
  <c r="F14" i="7"/>
  <c r="D14" i="7"/>
  <c r="F13" i="7"/>
  <c r="D13" i="7"/>
  <c r="F12" i="7"/>
  <c r="D12" i="7"/>
  <c r="F11" i="7"/>
  <c r="D11" i="7"/>
  <c r="F10" i="7"/>
  <c r="D10" i="7"/>
  <c r="F9" i="7"/>
  <c r="D9" i="7"/>
  <c r="F8" i="7"/>
  <c r="D8" i="7"/>
  <c r="F7" i="7"/>
  <c r="D7" i="7"/>
  <c r="F6" i="7"/>
  <c r="D6" i="7"/>
  <c r="F5" i="7"/>
  <c r="D5" i="7"/>
  <c r="F4" i="7"/>
  <c r="D4" i="7"/>
  <c r="F3" i="7"/>
  <c r="D3" i="7"/>
  <c r="F2" i="7"/>
  <c r="D2" i="7"/>
  <c r="F50" i="6"/>
  <c r="D50" i="6"/>
  <c r="F49" i="6"/>
  <c r="D49" i="6"/>
  <c r="F48" i="6"/>
  <c r="D48" i="6"/>
  <c r="F47" i="6"/>
  <c r="D47" i="6"/>
  <c r="F46" i="6"/>
  <c r="D46" i="6"/>
  <c r="F45" i="6"/>
  <c r="D45" i="6"/>
  <c r="F44" i="6"/>
  <c r="D44" i="6"/>
  <c r="F43" i="6"/>
  <c r="D43" i="6"/>
  <c r="F42" i="6"/>
  <c r="D42" i="6"/>
  <c r="F41" i="6"/>
  <c r="D41" i="6"/>
  <c r="F40" i="6"/>
  <c r="D40" i="6"/>
  <c r="F39" i="6"/>
  <c r="D39" i="6"/>
  <c r="F38" i="6"/>
  <c r="D38" i="6"/>
  <c r="F37" i="6"/>
  <c r="D37" i="6"/>
  <c r="F36" i="6"/>
  <c r="D36" i="6"/>
  <c r="F35" i="6"/>
  <c r="D35" i="6"/>
  <c r="F34" i="6"/>
  <c r="D34" i="6"/>
  <c r="F33" i="6"/>
  <c r="D33" i="6"/>
  <c r="F32" i="6"/>
  <c r="D32" i="6"/>
  <c r="F31" i="6"/>
  <c r="D31" i="6"/>
  <c r="F30" i="6"/>
  <c r="D30" i="6"/>
  <c r="F29" i="6"/>
  <c r="D29" i="6"/>
  <c r="F28" i="6"/>
  <c r="D28" i="6"/>
  <c r="F27" i="6"/>
  <c r="D27" i="6"/>
  <c r="F26" i="6"/>
  <c r="D26" i="6"/>
  <c r="F25" i="6"/>
  <c r="D25" i="6"/>
  <c r="F24" i="6"/>
  <c r="D24" i="6"/>
  <c r="F23" i="6"/>
  <c r="D23" i="6"/>
  <c r="F22" i="6"/>
  <c r="D22" i="6"/>
  <c r="F21" i="6"/>
  <c r="D21" i="6"/>
  <c r="F20" i="6"/>
  <c r="D20" i="6"/>
  <c r="F19" i="6"/>
  <c r="D19" i="6"/>
  <c r="F18" i="6"/>
  <c r="D18" i="6"/>
  <c r="F17" i="6"/>
  <c r="D17" i="6"/>
  <c r="F16" i="6"/>
  <c r="D16" i="6"/>
  <c r="F15" i="6"/>
  <c r="D15" i="6"/>
  <c r="F14" i="6"/>
  <c r="D14" i="6"/>
  <c r="F13" i="6"/>
  <c r="D13" i="6"/>
  <c r="F12" i="6"/>
  <c r="D12" i="6"/>
  <c r="F11" i="6"/>
  <c r="D11" i="6"/>
  <c r="F10" i="6"/>
  <c r="D10" i="6"/>
  <c r="F9" i="6"/>
  <c r="D9" i="6"/>
  <c r="F8" i="6"/>
  <c r="D8" i="6"/>
  <c r="F7" i="6"/>
  <c r="D7" i="6"/>
  <c r="F6" i="6"/>
  <c r="D6" i="6"/>
  <c r="F5" i="6"/>
  <c r="D5" i="6"/>
  <c r="F4" i="6"/>
  <c r="D4" i="6"/>
  <c r="F3" i="6"/>
  <c r="D3" i="6"/>
  <c r="F2" i="6"/>
  <c r="D2" i="6"/>
  <c r="F67" i="5"/>
  <c r="D67" i="5"/>
  <c r="F66" i="5"/>
  <c r="D66" i="5"/>
  <c r="F65" i="5"/>
  <c r="D65" i="5"/>
  <c r="F64" i="5"/>
  <c r="D64" i="5"/>
  <c r="F63" i="5"/>
  <c r="D63" i="5"/>
  <c r="F62" i="5"/>
  <c r="D62" i="5"/>
  <c r="F61" i="5"/>
  <c r="D61" i="5"/>
  <c r="F60" i="5"/>
  <c r="D60" i="5"/>
  <c r="F59" i="5"/>
  <c r="D59" i="5"/>
  <c r="F58" i="5"/>
  <c r="D58" i="5"/>
  <c r="F57" i="5"/>
  <c r="D57" i="5"/>
  <c r="F56" i="5"/>
  <c r="D56" i="5"/>
  <c r="F55" i="5"/>
  <c r="D55" i="5"/>
  <c r="F54" i="5"/>
  <c r="D54" i="5"/>
  <c r="F53" i="5"/>
  <c r="D53" i="5"/>
  <c r="F52" i="5"/>
  <c r="D52" i="5"/>
  <c r="F51" i="5"/>
  <c r="D51" i="5"/>
  <c r="F50" i="5"/>
  <c r="D50" i="5"/>
  <c r="F49" i="5"/>
  <c r="D49" i="5"/>
  <c r="F48" i="5"/>
  <c r="D48" i="5"/>
  <c r="F47" i="5"/>
  <c r="D47" i="5"/>
  <c r="F46" i="5"/>
  <c r="D46" i="5"/>
  <c r="F45" i="5"/>
  <c r="D45" i="5"/>
  <c r="F44" i="5"/>
  <c r="D44" i="5"/>
  <c r="F43" i="5"/>
  <c r="D43" i="5"/>
  <c r="F42" i="5"/>
  <c r="D42" i="5"/>
  <c r="F41" i="5"/>
  <c r="D41" i="5"/>
  <c r="F40" i="5"/>
  <c r="D40" i="5"/>
  <c r="F39" i="5"/>
  <c r="D39" i="5"/>
  <c r="F38" i="5"/>
  <c r="D38" i="5"/>
  <c r="F37" i="5"/>
  <c r="D37" i="5"/>
  <c r="F36" i="5"/>
  <c r="D36" i="5"/>
  <c r="F35" i="5"/>
  <c r="D35" i="5"/>
  <c r="F34" i="5"/>
  <c r="D34" i="5"/>
  <c r="F33" i="5"/>
  <c r="D33" i="5"/>
  <c r="F32" i="5"/>
  <c r="D32" i="5"/>
  <c r="F31" i="5"/>
  <c r="D31" i="5"/>
  <c r="F30" i="5"/>
  <c r="D30" i="5"/>
  <c r="F29" i="5"/>
  <c r="D29" i="5"/>
  <c r="F28" i="5"/>
  <c r="D28" i="5"/>
  <c r="F27" i="5"/>
  <c r="D27" i="5"/>
  <c r="F26" i="5"/>
  <c r="D26" i="5"/>
  <c r="F25" i="5"/>
  <c r="D25" i="5"/>
  <c r="F24" i="5"/>
  <c r="D24" i="5"/>
  <c r="F23" i="5"/>
  <c r="D23" i="5"/>
  <c r="F22" i="5"/>
  <c r="D22" i="5"/>
  <c r="F21" i="5"/>
  <c r="D21" i="5"/>
  <c r="F20" i="5"/>
  <c r="D20" i="5"/>
  <c r="F19" i="5"/>
  <c r="D19" i="5"/>
  <c r="F18" i="5"/>
  <c r="D18" i="5"/>
  <c r="F17" i="5"/>
  <c r="D17" i="5"/>
  <c r="F16" i="5"/>
  <c r="D16" i="5"/>
  <c r="F15" i="5"/>
  <c r="D15" i="5"/>
  <c r="F14" i="5"/>
  <c r="D14" i="5"/>
  <c r="F13" i="5"/>
  <c r="D13" i="5"/>
  <c r="F12" i="5"/>
  <c r="D12" i="5"/>
  <c r="F11" i="5"/>
  <c r="D11" i="5"/>
  <c r="F10" i="5"/>
  <c r="D10" i="5"/>
  <c r="F9" i="5"/>
  <c r="D9" i="5"/>
  <c r="F8" i="5"/>
  <c r="D8" i="5"/>
  <c r="F7" i="5"/>
  <c r="D7" i="5"/>
  <c r="F6" i="5"/>
  <c r="D6" i="5"/>
  <c r="F5" i="5"/>
  <c r="D5" i="5"/>
  <c r="F4" i="5"/>
  <c r="D4" i="5"/>
  <c r="F3" i="5"/>
  <c r="D3" i="5"/>
  <c r="F2" i="5"/>
  <c r="D2" i="5"/>
  <c r="F85" i="3"/>
  <c r="D85" i="3"/>
  <c r="F84" i="3"/>
  <c r="D84" i="3"/>
  <c r="F83" i="3"/>
  <c r="D83" i="3"/>
  <c r="F82" i="3"/>
  <c r="D82" i="3"/>
  <c r="F81" i="3"/>
  <c r="D81" i="3"/>
  <c r="F80" i="3"/>
  <c r="D80" i="3"/>
  <c r="F79" i="3"/>
  <c r="D79" i="3"/>
  <c r="F78" i="3"/>
  <c r="D78" i="3"/>
  <c r="F77" i="3"/>
  <c r="D77" i="3"/>
  <c r="F76" i="3"/>
  <c r="D76" i="3"/>
  <c r="F75" i="3"/>
  <c r="D75" i="3"/>
  <c r="F74" i="3"/>
  <c r="D74" i="3"/>
  <c r="F73" i="3"/>
  <c r="D73" i="3"/>
  <c r="F72" i="3"/>
  <c r="D72" i="3"/>
  <c r="F71" i="3"/>
  <c r="D71" i="3"/>
  <c r="F70" i="3"/>
  <c r="D70" i="3"/>
  <c r="F69" i="3"/>
  <c r="D69" i="3"/>
  <c r="F68" i="3"/>
  <c r="D68" i="3"/>
  <c r="F67" i="3"/>
  <c r="D67" i="3"/>
  <c r="F66" i="3"/>
  <c r="D66" i="3"/>
  <c r="F65" i="3"/>
  <c r="D65" i="3"/>
  <c r="F64" i="3"/>
  <c r="D64" i="3"/>
  <c r="F63" i="3"/>
  <c r="D63" i="3"/>
  <c r="F62" i="3"/>
  <c r="D62" i="3"/>
  <c r="F61" i="3"/>
  <c r="D61" i="3"/>
  <c r="F60" i="3"/>
  <c r="D60" i="3"/>
  <c r="F59" i="3"/>
  <c r="D59" i="3"/>
  <c r="F58" i="3"/>
  <c r="D58" i="3"/>
  <c r="F57" i="3"/>
  <c r="D57" i="3"/>
  <c r="F56" i="3"/>
  <c r="D56" i="3"/>
  <c r="F55" i="3"/>
  <c r="D55" i="3"/>
  <c r="F54" i="3"/>
  <c r="D54" i="3"/>
  <c r="F53" i="3"/>
  <c r="D53" i="3"/>
  <c r="F52" i="3"/>
  <c r="D52" i="3"/>
  <c r="F51" i="3"/>
  <c r="D51" i="3"/>
  <c r="F50" i="3"/>
  <c r="D50" i="3"/>
  <c r="F49" i="3"/>
  <c r="D49" i="3"/>
  <c r="F48" i="3"/>
  <c r="D48" i="3"/>
  <c r="F47" i="3"/>
  <c r="D47" i="3"/>
  <c r="F46" i="3"/>
  <c r="D46" i="3"/>
  <c r="F45" i="3"/>
  <c r="D45" i="3"/>
  <c r="F44" i="3"/>
  <c r="D44" i="3"/>
  <c r="F43" i="3"/>
  <c r="D43" i="3"/>
  <c r="F42" i="3"/>
  <c r="D42" i="3"/>
  <c r="F41" i="3"/>
  <c r="D41" i="3"/>
  <c r="F40" i="3"/>
  <c r="D40" i="3"/>
  <c r="F39" i="3"/>
  <c r="D39" i="3"/>
  <c r="F38" i="3"/>
  <c r="D38" i="3"/>
  <c r="F37" i="3"/>
  <c r="D37" i="3"/>
  <c r="F36" i="3"/>
  <c r="D36" i="3"/>
  <c r="F35" i="3"/>
  <c r="D35" i="3"/>
  <c r="F34" i="3"/>
  <c r="D34" i="3"/>
  <c r="F33" i="3"/>
  <c r="D33" i="3"/>
  <c r="F32" i="3"/>
  <c r="D32" i="3"/>
  <c r="F31" i="3"/>
  <c r="D31" i="3"/>
  <c r="F30" i="3"/>
  <c r="D30" i="3"/>
  <c r="F29" i="3"/>
  <c r="D29" i="3"/>
  <c r="F28" i="3"/>
  <c r="D28" i="3"/>
  <c r="F27" i="3"/>
  <c r="D27" i="3"/>
  <c r="F26" i="3"/>
  <c r="D26" i="3"/>
  <c r="F25" i="3"/>
  <c r="D25" i="3"/>
  <c r="F24" i="3"/>
  <c r="D24" i="3"/>
  <c r="F23" i="3"/>
  <c r="D23" i="3"/>
  <c r="F22" i="3"/>
  <c r="D22" i="3"/>
  <c r="F21" i="3"/>
  <c r="D21" i="3"/>
  <c r="F20" i="3"/>
  <c r="D20" i="3"/>
  <c r="F19" i="3"/>
  <c r="D19" i="3"/>
  <c r="F18" i="3"/>
  <c r="D18" i="3"/>
  <c r="F17" i="3"/>
  <c r="D17" i="3"/>
  <c r="F16" i="3"/>
  <c r="D16" i="3"/>
  <c r="F15" i="3"/>
  <c r="D15" i="3"/>
  <c r="F14" i="3"/>
  <c r="D14" i="3"/>
  <c r="F13" i="3"/>
  <c r="D13" i="3"/>
  <c r="F12" i="3"/>
  <c r="D12" i="3"/>
  <c r="F11" i="3"/>
  <c r="D11" i="3"/>
  <c r="F10" i="3"/>
  <c r="D10" i="3"/>
  <c r="F9" i="3"/>
  <c r="D9" i="3"/>
  <c r="F8" i="3"/>
  <c r="D8" i="3"/>
  <c r="F7" i="3"/>
  <c r="D7" i="3"/>
  <c r="F6" i="3"/>
  <c r="D6" i="3"/>
  <c r="F5" i="3"/>
  <c r="D5" i="3"/>
  <c r="F4" i="3"/>
  <c r="D4" i="3"/>
  <c r="F3" i="3"/>
  <c r="D3" i="3"/>
  <c r="F2" i="3"/>
  <c r="D2" i="3"/>
  <c r="F82" i="4"/>
  <c r="D82" i="4"/>
  <c r="F81" i="4"/>
  <c r="D81" i="4"/>
  <c r="F80" i="4"/>
  <c r="D80" i="4"/>
  <c r="F79" i="4"/>
  <c r="D79" i="4"/>
  <c r="F78" i="4"/>
  <c r="D78" i="4"/>
  <c r="F77" i="4"/>
  <c r="D77" i="4"/>
  <c r="F76" i="4"/>
  <c r="D76" i="4"/>
  <c r="F75" i="4"/>
  <c r="D75" i="4"/>
  <c r="F74" i="4"/>
  <c r="D74" i="4"/>
  <c r="F73" i="4"/>
  <c r="D73" i="4"/>
  <c r="F72" i="4"/>
  <c r="D72" i="4"/>
  <c r="F71" i="4"/>
  <c r="D71" i="4"/>
  <c r="F70" i="4"/>
  <c r="D70" i="4"/>
  <c r="F69" i="4"/>
  <c r="D69" i="4"/>
  <c r="F68" i="4"/>
  <c r="D68" i="4"/>
  <c r="F67" i="4"/>
  <c r="D67" i="4"/>
  <c r="F66" i="4"/>
  <c r="D66" i="4"/>
  <c r="F65" i="4"/>
  <c r="D65" i="4"/>
  <c r="F64" i="4"/>
  <c r="D64" i="4"/>
  <c r="F63" i="4"/>
  <c r="D63" i="4"/>
  <c r="F62" i="4"/>
  <c r="D62" i="4"/>
  <c r="F61" i="4"/>
  <c r="D61" i="4"/>
  <c r="F60" i="4"/>
  <c r="D60" i="4"/>
  <c r="F59" i="4"/>
  <c r="D59" i="4"/>
  <c r="F58" i="4"/>
  <c r="D58" i="4"/>
  <c r="F57" i="4"/>
  <c r="D57" i="4"/>
  <c r="F56" i="4"/>
  <c r="D56" i="4"/>
  <c r="F55" i="4"/>
  <c r="D55" i="4"/>
  <c r="F54" i="4"/>
  <c r="D54" i="4"/>
  <c r="F53" i="4"/>
  <c r="D53" i="4"/>
  <c r="F52" i="4"/>
  <c r="D52" i="4"/>
  <c r="F51" i="4"/>
  <c r="D51" i="4"/>
  <c r="F50" i="4"/>
  <c r="D50" i="4"/>
  <c r="F49" i="4"/>
  <c r="D49" i="4"/>
  <c r="F48" i="4"/>
  <c r="D48" i="4"/>
  <c r="F47" i="4"/>
  <c r="D47" i="4"/>
  <c r="F46" i="4"/>
  <c r="D46" i="4"/>
  <c r="F45" i="4"/>
  <c r="D45" i="4"/>
  <c r="F44" i="4"/>
  <c r="D44" i="4"/>
  <c r="F43" i="4"/>
  <c r="D43" i="4"/>
  <c r="F42" i="4"/>
  <c r="D42" i="4"/>
  <c r="F41" i="4"/>
  <c r="D41" i="4"/>
  <c r="F40" i="4"/>
  <c r="D40" i="4"/>
  <c r="F39" i="4"/>
  <c r="D39" i="4"/>
  <c r="F38" i="4"/>
  <c r="D38" i="4"/>
  <c r="F37" i="4"/>
  <c r="D37" i="4"/>
  <c r="F36" i="4"/>
  <c r="D36" i="4"/>
  <c r="F35" i="4"/>
  <c r="D35" i="4"/>
  <c r="F34" i="4"/>
  <c r="D34" i="4"/>
  <c r="F33" i="4"/>
  <c r="D33" i="4"/>
  <c r="F32" i="4"/>
  <c r="D32" i="4"/>
  <c r="F31" i="4"/>
  <c r="D31" i="4"/>
  <c r="F30" i="4"/>
  <c r="D30" i="4"/>
  <c r="F29" i="4"/>
  <c r="D29" i="4"/>
  <c r="F28" i="4"/>
  <c r="D28" i="4"/>
  <c r="F27" i="4"/>
  <c r="D27" i="4"/>
  <c r="F26" i="4"/>
  <c r="D26" i="4"/>
  <c r="F25" i="4"/>
  <c r="D25" i="4"/>
  <c r="F24" i="4"/>
  <c r="D24" i="4"/>
  <c r="F23" i="4"/>
  <c r="D23" i="4"/>
  <c r="F22" i="4"/>
  <c r="D22" i="4"/>
  <c r="F21" i="4"/>
  <c r="D21" i="4"/>
  <c r="F20" i="4"/>
  <c r="D20" i="4"/>
  <c r="F19" i="4"/>
  <c r="D19" i="4"/>
  <c r="F18" i="4"/>
  <c r="D18" i="4"/>
  <c r="F17" i="4"/>
  <c r="D17" i="4"/>
  <c r="F16" i="4"/>
  <c r="D16" i="4"/>
  <c r="F15" i="4"/>
  <c r="D15" i="4"/>
  <c r="F14" i="4"/>
  <c r="D14" i="4"/>
  <c r="F13" i="4"/>
  <c r="D13" i="4"/>
  <c r="F12" i="4"/>
  <c r="D12" i="4"/>
  <c r="F11" i="4"/>
  <c r="D11" i="4"/>
  <c r="F10" i="4"/>
  <c r="D10" i="4"/>
  <c r="F9" i="4"/>
  <c r="D9" i="4"/>
  <c r="F8" i="4"/>
  <c r="D8" i="4"/>
  <c r="F7" i="4"/>
  <c r="D7" i="4"/>
  <c r="F6" i="4"/>
  <c r="D6" i="4"/>
  <c r="F5" i="4"/>
  <c r="D5" i="4"/>
  <c r="F4" i="4"/>
  <c r="D4" i="4"/>
  <c r="F3" i="4"/>
  <c r="D3" i="4"/>
  <c r="F2" i="4"/>
  <c r="D2" i="4"/>
  <c r="F114" i="2"/>
  <c r="D114" i="2"/>
  <c r="F113" i="2"/>
  <c r="D113" i="2"/>
  <c r="F112" i="2"/>
  <c r="D112" i="2"/>
  <c r="F111" i="2"/>
  <c r="D111" i="2"/>
  <c r="F110" i="2"/>
  <c r="D110" i="2"/>
  <c r="F109" i="2"/>
  <c r="D109" i="2"/>
  <c r="F108" i="2"/>
  <c r="D108" i="2"/>
  <c r="F107" i="2"/>
  <c r="D107" i="2"/>
  <c r="F106" i="2"/>
  <c r="D106" i="2"/>
  <c r="F105" i="2"/>
  <c r="D105" i="2"/>
  <c r="F104" i="2"/>
  <c r="D104" i="2"/>
  <c r="F103" i="2"/>
  <c r="D103" i="2"/>
  <c r="F102" i="2"/>
  <c r="D102" i="2"/>
  <c r="F101" i="2"/>
  <c r="D101" i="2"/>
  <c r="F100" i="2"/>
  <c r="D100" i="2"/>
  <c r="F99" i="2"/>
  <c r="D99" i="2"/>
  <c r="F98" i="2"/>
  <c r="D98" i="2"/>
  <c r="F97" i="2"/>
  <c r="D97" i="2"/>
  <c r="F96" i="2"/>
  <c r="D96" i="2"/>
  <c r="F95" i="2"/>
  <c r="D95" i="2"/>
  <c r="F94" i="2"/>
  <c r="D94" i="2"/>
  <c r="F93" i="2"/>
  <c r="D93" i="2"/>
  <c r="F92" i="2"/>
  <c r="D92" i="2"/>
  <c r="F91" i="2"/>
  <c r="D91" i="2"/>
  <c r="F90" i="2"/>
  <c r="D90" i="2"/>
  <c r="F89" i="2"/>
  <c r="D89" i="2"/>
  <c r="F88" i="2"/>
  <c r="D88" i="2"/>
  <c r="F87" i="2"/>
  <c r="D87" i="2"/>
  <c r="F86" i="2"/>
  <c r="D86" i="2"/>
  <c r="F85" i="2"/>
  <c r="D85" i="2"/>
  <c r="F84" i="2"/>
  <c r="D84" i="2"/>
  <c r="F83" i="2"/>
  <c r="D83" i="2"/>
  <c r="F82" i="2"/>
  <c r="D82" i="2"/>
  <c r="F81" i="2"/>
  <c r="D81" i="2"/>
  <c r="F80" i="2"/>
  <c r="D80" i="2"/>
  <c r="F79" i="2"/>
  <c r="D79" i="2"/>
  <c r="F78" i="2"/>
  <c r="D78" i="2"/>
  <c r="F77" i="2"/>
  <c r="D77" i="2"/>
  <c r="F76" i="2"/>
  <c r="D76" i="2"/>
  <c r="F75" i="2"/>
  <c r="D75" i="2"/>
  <c r="F74" i="2"/>
  <c r="D74" i="2"/>
  <c r="F73" i="2"/>
  <c r="D73" i="2"/>
  <c r="F72" i="2"/>
  <c r="D72" i="2"/>
  <c r="F71" i="2"/>
  <c r="D71" i="2"/>
  <c r="F70" i="2"/>
  <c r="D70" i="2"/>
  <c r="F69" i="2"/>
  <c r="D69" i="2"/>
  <c r="F68" i="2"/>
  <c r="D68" i="2"/>
  <c r="F67" i="2"/>
  <c r="D67" i="2"/>
  <c r="F66" i="2"/>
  <c r="D66" i="2"/>
  <c r="F65" i="2"/>
  <c r="D65" i="2"/>
  <c r="F64" i="2"/>
  <c r="D64" i="2"/>
  <c r="F63" i="2"/>
  <c r="D63" i="2"/>
  <c r="F62" i="2"/>
  <c r="D62" i="2"/>
  <c r="F61" i="2"/>
  <c r="D61" i="2"/>
  <c r="F60" i="2"/>
  <c r="D60" i="2"/>
  <c r="F59" i="2"/>
  <c r="D59" i="2"/>
  <c r="F58" i="2"/>
  <c r="D58" i="2"/>
  <c r="F57" i="2"/>
  <c r="D57" i="2"/>
  <c r="F56" i="2"/>
  <c r="D56" i="2"/>
  <c r="F55" i="2"/>
  <c r="D55" i="2"/>
  <c r="F54" i="2"/>
  <c r="D54" i="2"/>
  <c r="F53" i="2"/>
  <c r="D53" i="2"/>
  <c r="F52" i="2"/>
  <c r="D52" i="2"/>
  <c r="F51" i="2"/>
  <c r="D51" i="2"/>
  <c r="F50" i="2"/>
  <c r="D50" i="2"/>
  <c r="F49" i="2"/>
  <c r="D49" i="2"/>
  <c r="F48" i="2"/>
  <c r="D48" i="2"/>
  <c r="F47" i="2"/>
  <c r="D47" i="2"/>
  <c r="F46" i="2"/>
  <c r="D46" i="2"/>
  <c r="F45" i="2"/>
  <c r="D45" i="2"/>
  <c r="F44" i="2"/>
  <c r="D44" i="2"/>
  <c r="F43" i="2"/>
  <c r="D43" i="2"/>
  <c r="F42" i="2"/>
  <c r="D42" i="2"/>
  <c r="F41" i="2"/>
  <c r="D41" i="2"/>
  <c r="F40" i="2"/>
  <c r="D40" i="2"/>
  <c r="F39" i="2"/>
  <c r="D39" i="2"/>
  <c r="F38" i="2"/>
  <c r="D38" i="2"/>
  <c r="F37" i="2"/>
  <c r="D37" i="2"/>
  <c r="F36" i="2"/>
  <c r="D36" i="2"/>
  <c r="F35" i="2"/>
  <c r="D35" i="2"/>
  <c r="F34" i="2"/>
  <c r="D34" i="2"/>
  <c r="F33" i="2"/>
  <c r="D33" i="2"/>
  <c r="F32" i="2"/>
  <c r="D32" i="2"/>
  <c r="F31" i="2"/>
  <c r="D31" i="2"/>
  <c r="F30" i="2"/>
  <c r="D30" i="2"/>
  <c r="F29" i="2"/>
  <c r="D29" i="2"/>
  <c r="F28" i="2"/>
  <c r="D28" i="2"/>
  <c r="F27" i="2"/>
  <c r="D27" i="2"/>
  <c r="F26" i="2"/>
  <c r="D26" i="2"/>
  <c r="F25" i="2"/>
  <c r="D25" i="2"/>
  <c r="F24" i="2"/>
  <c r="D24" i="2"/>
  <c r="F23" i="2"/>
  <c r="D23" i="2"/>
  <c r="F22" i="2"/>
  <c r="D22" i="2"/>
  <c r="F21" i="2"/>
  <c r="D21" i="2"/>
  <c r="F20" i="2"/>
  <c r="D20" i="2"/>
  <c r="F19" i="2"/>
  <c r="D19" i="2"/>
  <c r="F18" i="2"/>
  <c r="D18" i="2"/>
  <c r="F17" i="2"/>
  <c r="D17" i="2"/>
  <c r="F16" i="2"/>
  <c r="D16" i="2"/>
  <c r="F15" i="2"/>
  <c r="D15" i="2"/>
  <c r="F14" i="2"/>
  <c r="D14" i="2"/>
  <c r="F13" i="2"/>
  <c r="D13" i="2"/>
  <c r="F12" i="2"/>
  <c r="D12" i="2"/>
  <c r="F11" i="2"/>
  <c r="D11" i="2"/>
  <c r="F10" i="2"/>
  <c r="D10" i="2"/>
  <c r="F9" i="2"/>
  <c r="D9" i="2"/>
  <c r="F8" i="2"/>
  <c r="D8" i="2"/>
  <c r="F7" i="2"/>
  <c r="D7" i="2"/>
  <c r="F6" i="2"/>
  <c r="D6" i="2"/>
  <c r="F5" i="2"/>
  <c r="D5" i="2"/>
  <c r="F4" i="2"/>
  <c r="D4" i="2"/>
  <c r="F3" i="2"/>
  <c r="D3" i="2"/>
  <c r="F2" i="2"/>
  <c r="D2" i="2"/>
  <c r="D2" i="1"/>
  <c r="F2" i="1"/>
  <c r="D3" i="1"/>
  <c r="F3" i="1"/>
  <c r="D4" i="1"/>
  <c r="F4" i="1"/>
  <c r="D5" i="1"/>
  <c r="F5" i="1"/>
  <c r="D6" i="1"/>
  <c r="F6" i="1"/>
  <c r="D7" i="1"/>
  <c r="F7" i="1"/>
  <c r="D8" i="1"/>
  <c r="F8" i="1"/>
  <c r="D9" i="1"/>
  <c r="F9" i="1"/>
  <c r="D10" i="1"/>
  <c r="F10" i="1"/>
  <c r="D11" i="1"/>
  <c r="F11" i="1"/>
  <c r="D12" i="1"/>
  <c r="F12" i="1"/>
  <c r="D13" i="1"/>
  <c r="F13" i="1"/>
  <c r="D14" i="1"/>
  <c r="F14" i="1"/>
  <c r="D15" i="1"/>
  <c r="F15" i="1"/>
  <c r="D16" i="1"/>
  <c r="F16" i="1"/>
  <c r="D17" i="1"/>
  <c r="F17" i="1"/>
  <c r="D18" i="1"/>
  <c r="F18" i="1"/>
  <c r="D19" i="1"/>
  <c r="F19" i="1"/>
  <c r="D20" i="1"/>
  <c r="F20" i="1"/>
  <c r="D21" i="1"/>
  <c r="F21" i="1"/>
  <c r="D22" i="1"/>
  <c r="F22" i="1"/>
  <c r="D23" i="1"/>
  <c r="F23" i="1"/>
  <c r="D24" i="1"/>
  <c r="F24" i="1"/>
  <c r="D25" i="1"/>
  <c r="F25" i="1"/>
  <c r="D26" i="1"/>
  <c r="F26" i="1"/>
  <c r="D27" i="1"/>
  <c r="F27" i="1"/>
  <c r="D28" i="1"/>
  <c r="F28" i="1"/>
  <c r="D29" i="1"/>
  <c r="F29" i="1"/>
  <c r="D30" i="1"/>
  <c r="F30" i="1"/>
  <c r="D31" i="1"/>
  <c r="F31" i="1"/>
  <c r="D32" i="1"/>
  <c r="F32" i="1"/>
  <c r="D33" i="1"/>
  <c r="F33" i="1"/>
  <c r="D34" i="1"/>
  <c r="F34" i="1"/>
  <c r="D35" i="1"/>
  <c r="F35" i="1"/>
  <c r="D36" i="1"/>
  <c r="F36" i="1"/>
  <c r="D37" i="1"/>
  <c r="F37" i="1"/>
  <c r="D38" i="1"/>
  <c r="F38" i="1"/>
  <c r="D39" i="1"/>
  <c r="F39" i="1"/>
  <c r="D40" i="1"/>
  <c r="F40" i="1"/>
  <c r="D41" i="1"/>
  <c r="F41" i="1"/>
  <c r="D42" i="1"/>
  <c r="F42" i="1"/>
  <c r="D43" i="1"/>
  <c r="F43" i="1"/>
  <c r="D44" i="1"/>
  <c r="F44" i="1"/>
  <c r="D45" i="1"/>
  <c r="F45" i="1"/>
  <c r="D46" i="1"/>
  <c r="F46" i="1"/>
  <c r="D47" i="1"/>
  <c r="F47" i="1"/>
  <c r="D48" i="1"/>
  <c r="F48" i="1"/>
  <c r="D49" i="1"/>
  <c r="F49" i="1"/>
  <c r="D50" i="1"/>
  <c r="F50" i="1"/>
  <c r="D51" i="1"/>
  <c r="F51" i="1"/>
  <c r="D52" i="1"/>
  <c r="F52" i="1"/>
  <c r="D53" i="1"/>
  <c r="F53" i="1"/>
  <c r="D54" i="1"/>
  <c r="F54" i="1"/>
  <c r="D55" i="1"/>
  <c r="F55" i="1"/>
  <c r="D56" i="1"/>
  <c r="F56" i="1"/>
  <c r="D57" i="1"/>
  <c r="F57" i="1"/>
  <c r="D58" i="1"/>
  <c r="F58" i="1"/>
  <c r="D59" i="1"/>
  <c r="F59" i="1"/>
  <c r="D60" i="1"/>
  <c r="F60" i="1"/>
  <c r="D61" i="1"/>
  <c r="F61" i="1"/>
  <c r="D62" i="1"/>
  <c r="F62" i="1"/>
  <c r="D63" i="1"/>
  <c r="F63" i="1"/>
  <c r="D64" i="1"/>
  <c r="F64" i="1"/>
  <c r="D65" i="1"/>
  <c r="F65" i="1"/>
  <c r="D66" i="1"/>
  <c r="F66" i="1"/>
  <c r="D67" i="1"/>
  <c r="F67" i="1"/>
  <c r="D68" i="1"/>
  <c r="F68" i="1"/>
  <c r="D69" i="1"/>
  <c r="F69" i="1"/>
  <c r="D70" i="1"/>
  <c r="F70" i="1"/>
  <c r="D71" i="1"/>
  <c r="F71" i="1"/>
  <c r="D72" i="1"/>
  <c r="F72" i="1"/>
  <c r="D73" i="1"/>
  <c r="F73" i="1"/>
  <c r="D74" i="1"/>
  <c r="F74" i="1"/>
  <c r="D75" i="1"/>
  <c r="F75" i="1"/>
  <c r="D76" i="1"/>
  <c r="F76" i="1"/>
  <c r="D77" i="1"/>
  <c r="F77" i="1"/>
  <c r="D78" i="1"/>
  <c r="F78" i="1"/>
  <c r="D79" i="1"/>
  <c r="F79" i="1"/>
  <c r="D80" i="1"/>
  <c r="F80" i="1"/>
  <c r="D81" i="1"/>
  <c r="F81" i="1"/>
  <c r="D82" i="1"/>
  <c r="F82" i="1"/>
  <c r="D83" i="1"/>
  <c r="F83" i="1"/>
  <c r="D84" i="1"/>
  <c r="F84" i="1"/>
  <c r="D85" i="1"/>
  <c r="F85" i="1"/>
  <c r="D86" i="1"/>
  <c r="F86" i="1"/>
</calcChain>
</file>

<file path=xl/sharedStrings.xml><?xml version="1.0" encoding="utf-8"?>
<sst xmlns="http://schemas.openxmlformats.org/spreadsheetml/2006/main" count="10063" uniqueCount="6545">
  <si>
    <t>Article Title</t>
  </si>
  <si>
    <t>Author</t>
  </si>
  <si>
    <t>Journal Title</t>
  </si>
  <si>
    <t>ISSN</t>
  </si>
  <si>
    <t>Publication Date</t>
  </si>
  <si>
    <t>Volume</t>
  </si>
  <si>
    <t>Issue</t>
  </si>
  <si>
    <t>First Page</t>
  </si>
  <si>
    <t>DOI</t>
  </si>
  <si>
    <t>Publisher</t>
  </si>
  <si>
    <t>Doctype</t>
  </si>
  <si>
    <t>Subjects</t>
  </si>
  <si>
    <t>Abstract</t>
  </si>
  <si>
    <t>PLink</t>
  </si>
  <si>
    <t>Bivariate functional principal component analysis of barbell trajectories during the snatch.</t>
  </si>
  <si>
    <t>Kipp K; Cunanan AJ; Warmenhoven J</t>
  </si>
  <si>
    <t>Sports biomechanics</t>
  </si>
  <si>
    <t>1752-6116</t>
  </si>
  <si>
    <t>2024 Jan</t>
  </si>
  <si>
    <t>10.1080/14763141.2020.1820074</t>
  </si>
  <si>
    <t>Routledge, Taylor &amp; Francis Group</t>
  </si>
  <si>
    <t>Journal Article</t>
  </si>
  <si>
    <t>Weight Lifting; Athletic Performance; Humans; Principal Component Analysis; Biomechanical Phenomena; Acceleration</t>
  </si>
  <si>
    <t>The purpose of this study was to use bivariate functional principal components analysis ( bf PCA) to quantify patterns in barbell trajectories during the snatch and to investigate whether these patterns correlate with weightlifting performance and biomechanical characteristics that characterise weightlifting technique. A motion capture system was used to record three-dimensional barbell trajectories as six weightlifters performed three snatch lifts during a weightlifting competition. Horizontal and vertical barbell positions of all lifts were used as input to a bf PCA. Weightlifting performance was quantified through the ratio of barbell mass/body-mass, whereas biomechanical variables were quantified through peak vertical barbell velocity and acceleration. The bf PCA extracted barbell trajectory patterns related to variations in general forward/backward motion (pattern 1), peak height (pattern 2), and crossing of the vertical reference line during the first pull (pattern 3). Spearman rank correlations showed that pattern 1 correlated positively with weightlifting performance and negatively with peak barbell velocity and acceleration. The opposite results were found for pattern 3. Interpretation of the extracted barbell trajectory patterns and statistical results suggest that better weightlifting performances were characterised by snatch lifts that exhibited general backward shifts and limited forward motions during the first and second pull, regardless of peak heights.</t>
  </si>
  <si>
    <t>https://search.ebscohost.com/login.aspx?direct=true&amp;db=mdc&amp;AN=33112700&amp;site=ehost-live</t>
  </si>
  <si>
    <t>Diving Into the Health Problems of Competitive Divers: A Systematic Review of Injuries and Illnesses in Pre-elite and Elite Diving Athletes.</t>
  </si>
  <si>
    <t>Currie BM; Drew MK; Hetherington M; Waddington G; Brown NAT; Toohey LA</t>
  </si>
  <si>
    <t>Sports health</t>
  </si>
  <si>
    <t>1941-0921</t>
  </si>
  <si>
    <t>2024 Jun 03</t>
  </si>
  <si>
    <t>10.1177/19417381241255329</t>
  </si>
  <si>
    <t>Sage Publications</t>
  </si>
  <si>
    <t>Context: The Olympic sport of diving involves the competitive disciplines of 3 m springboard and 10 m platform. Although it is generally accepted that lumbar spine injuries are common in diving athletes, the existing literature of health problems in diving athletes remains scarce. Objective: To identify the incidence, prevalence, and type of health problems that occur in competitive diving athletes. Data Sources: Medline, EMBASE, SportsDiscus, PsycINFO, and Google Scholar. Study Selection: Studies written in English investigating elite or pre-elite competitive diving (springboard, platform) injuries and/or illnesses were eligible. Two independent reviewers screened for inclusion by title, abstract, and full text in accordance with the eligibility criteria. Study Design: Systematic review. Level of Evidence: Level 4. Data Extraction: Data extraction was completed by 1 author using a structured form. A second author then independently reviewed and verified the extracted data, any discrepancies were resolved through consensus. Results: The search identified 2554 potential articles, with 28 studies meeting eligibility criteria. The surveillance setting of most studies was restricted to competition-based events, with the reported injury incidence proportion ranging from 2.1% to 22.2%. The reported injury incidence rate ranged from 1.9 to 15.5 per 1000 athlete-exposures. Injuries to the shoulder, lower back/lumbar spine, trunk, and wrist/hand were reported most frequently. The prevalence of low back pain was reported as high as 89% (lifetime), 43.1% (period), and 37.3% (point). The illness incidence proportion ranged from 0.0% to 22.2%, with respiratory and gastrointestinal illness reported most frequently. Conclusion: Up to 1 in 5 diving athletes sustain an injury and/or illness during periods of competition. A reporting bias was observed, with most cohort studies limiting surveillance to short competition-based periods only. This limits the current understanding of the health problems experienced by diving athletes to competition periods only and requires expansion to whole-of-year surveillance. Competing Interests: The authors report no potential conflicts of interest in the development and publication of this article.</t>
  </si>
  <si>
    <t>https://search.ebscohost.com/login.aspx?direct=true&amp;db=mdc&amp;AN=38828690&amp;site=ehost-live</t>
  </si>
  <si>
    <t>Effect of Menstrual Cycle Phase and Hormonal Contraceptives on Resting Metabolic Rate and Body Composition.</t>
  </si>
  <si>
    <t>Kuikman MA; McKay AKA; Minahan C; Harris R; Elliott-Sale KJ; Stellingwerff T; Smith ES; McCormick R; Tee N; Skinner J; Ackerman KE; Burke LM</t>
  </si>
  <si>
    <t>International journal of sport nutrition and exercise metabolism</t>
  </si>
  <si>
    <t>1543-2742</t>
  </si>
  <si>
    <t>2024 Apr 23</t>
  </si>
  <si>
    <t>10.1123/ijsnem.2023-0193</t>
  </si>
  <si>
    <t>Human Kinetics Publishers</t>
  </si>
  <si>
    <t>Body Composition drug effects; Basal Metabolism drug effects; Menstrual Cycle drug effects; Absorptiometry, Photon; Estradiol blood; Progesterone blood; Humans; Female; Young Adult; Adult; Retrospective Studies; Contraceptive Agents, Hormonal administration &amp; dosage; Contraceptive Agents, Hormonal pharmacology; Athletes; Adolescent</t>
  </si>
  <si>
    <t>The cyclical changes in sex hormones across the menstrual cycle (MC) are associated with various biological changes that may alter resting metabolic rate (RMR) and body composition estimates. Hormonal contraceptive (HC) use must also be considered given their impact on endogenous sex hormone concentrations and synchronous exogenous profiles. The purpose of this study was to determine if RMR and dual-energy X-ray absorptiometry body composition estimates change across the MC and differ compared with HC users. This was accomplished during a 5-week training camp involving naturally cycling athletes (n = 11) and HC users (n = 7 subdermal progestin implant, n = 4 combined monophasic oral contraceptive pill, n = 1 injection) from the National Rugby League Indigenous Women's Academy. MC phase was retrospectively confirmed via serum estradiol and progesterone concentrations and a positive ovulation test. HC users had serum estradiol and progesterone concentrations assessed at the time point of testing. Results were analyzed using general linear mixed model. There was no effect of MC phase on absolute RMR (p = .877), relative RMR (p = .957), or dual-energy X-ray absorptiometry body composition estimates (p &gt; .05). There was no effect of HC use on absolute RMR (p = .069), relative RMR (p = .679), or fat mass estimates (p = .766), but HC users had a greater fat-free mass and lean body mass than naturally cycling athletes (p = .028). Our findings suggest that RMR and dual-energy X-ray absorptiometry body composition estimates do not significantly differ due to changes in sex hormones in a group of athletes, and measurements can be compared between MC phases or with HC usage without variations in sex hormones causing additional noise.</t>
  </si>
  <si>
    <t>https://search.ebscohost.com/login.aspx?direct=true&amp;db=mdc&amp;AN=38653456&amp;site=ehost-live</t>
  </si>
  <si>
    <t>Effect of repeated post-resistance exercise cold or hot water immersion on in-season inflammatory responses in academy rugby players: a randomised controlled cross-over design.</t>
  </si>
  <si>
    <t>Horgan BG; West NP; Tee N; Halson SL; Drinkwater EJ; Chapman DW; Haff GG</t>
  </si>
  <si>
    <t>European journal of applied physiology</t>
  </si>
  <si>
    <t>1439-6327</t>
  </si>
  <si>
    <t>2024 Apr 13</t>
  </si>
  <si>
    <t>10.1007/s00421-024-05424-3</t>
  </si>
  <si>
    <t>Springer-Verlag</t>
  </si>
  <si>
    <t>Purpose: Uncertainty exists if post-resistance exercise hydrotherapy attenuates chronic inflammatory and hormone responses. The effects of repeated post-resistance exercise water immersion on inflammatory and hormone responses in athletes were investigated. Methods: Male, academy Super Rugby players (n = 18, 19.9 ± 1.5 y, 1.85 ± 0.06 m, 98.3 ± 10.7 kg) participated in a 12-week programme divided into 3 × 4-week blocks of post-resistance exercise water immersion (either, no immersion control [CON]; cold [CWI]; or hot [HWI] water immersion), utilising a randomised cross-over pre-post design. Fasted, morning blood measures were collected prior to commencement of first intervention block, and every fourth week thereafter. Linear mixed-effects models were used to analyse main (treatment, time) and interaction effects. Results: Repeated CWI (p = 0.025, g = 0.05) and HWI (p &lt; 0.001, g = 0.62) reduced creatine kinase (CK), compared to CON. HWI decreased (p = 0.013, g = 0.59) interleukin (IL)-1ra, compared to CON. HWI increased (p &lt; 0.001-0.026, g = 0.06-0.17) growth factors (PDGF-BB, IGF-1), compared to CON and CWI. CWI increased (p = 0.004, g = 0.46) heat shock protein-72 (HSP-72), compared to HWI. Conclusion: Post-resistance exercise CWI or HWI resulted in trivial and moderate reductions in CK, respectively, which may be partly due to hydrostatic effects of water immersion. Post-resistance exercise HWI moderately decreased IL-1ra, which may be associated with post-resistance exercise skeletal muscle inflammation influencing chronic resistance exercise adaptive responses. Following post-resistance exercise water immersion, CWI increased HSP-72 suggesting a thermoregulatory response indicating improved adaptive inflammatory responses to temperature changes, while HWI increased growth factors (PDGF-BB, IGF-1) indicating different systematic signalling pathway activation. Our data supports the continued use of post-resistance exercise water immersion recovery strategies of any temperature during in-season competition phases for improved inflammatory adaptive responses in athletes. © 2024. The Author(s).</t>
  </si>
  <si>
    <t>https://search.ebscohost.com/login.aspx?direct=true&amp;db=mdc&amp;AN=38613679&amp;site=ehost-live</t>
  </si>
  <si>
    <t>Estimating the cost of sports injuries: A scoping review.</t>
  </si>
  <si>
    <t>Turnbull MR; Gallo TF; Carter HE; Drew M; Toohey LA; Waddington G</t>
  </si>
  <si>
    <t>Journal of science and medicine in sport</t>
  </si>
  <si>
    <t>1878-1861</t>
  </si>
  <si>
    <t>2024 May</t>
  </si>
  <si>
    <t>10.1016/j.jsams.2024.03.001</t>
  </si>
  <si>
    <t>Elsevier Australia</t>
  </si>
  <si>
    <t>Athletic Injuries economics; Health Care Costs statistics &amp; numerical data; Humans; Cost of Illness; Costs and Cost Analysis</t>
  </si>
  <si>
    <t>Objectives: Provide an overview of the methods used to estimate the cost of sports-related injury published to date, and to highlight considerations and opportunities for future research. Design: Scoping review. Methods: Scopus, MEDLINE and CINHAL were searched from 1st January 2000 to 1st January 2023. Studies were screened by two independent reviewers and were eligible if they reported on a cost analysis or cost estimation of sports related injury. Results: Thirty-one studies fulfilled the inclusion criteria. Twenty-seven studies (87 %) were published since 2014. The type of costs included direct healthcare costs (12 studies), indirect costs (10 studies) and a combination of both (9 studies). Twenty-one studies (68 %) used a bottom-up costing approach to measure costs of sports injury and estimated direct costs from the service rates or fee schedules of health systems, hospital, insurance companies or national insurance boards. A top-down approach was used in seven studies (23 %) to estimate the indirect salary cost of time-loss injuries using data from publicly available resources. Ten studies were from the cost perspective of a sporting organisation (32 %). There was a lack of explicit reporting of the costing method used and the perspective of those bearing the costs. Conclusions: Estimating the cost of sports injuries is an emerging area of research, with publications increasing in recent years. However, there remains a lack of methodological guidance to inform or appraise these studies. The expansion of established cost of illness checklists with sport injury explanations to guide future cost of sports injury studies is recommended. Competing Interests: Declaration of interest statement The authors of this review declare that there are no competing interests. The authors also declare that this scoping review is not under consideration for publication elsewhere, that its publication is approved by all authors and that if accepted, it will not be published elsewhere in the same form, in English or in any other language, including electronically without the written consent of the copyright-holder. Copyright © 2024 The Authors. Published by Elsevier Ltd.. All rights reserved.</t>
  </si>
  <si>
    <t>https://search.ebscohost.com/login.aspx?direct=true&amp;db=mdc&amp;AN=38514294&amp;site=ehost-live</t>
  </si>
  <si>
    <t>Factors that influence mental health and well-being of high-performance athletes from Olympic or Paralympic sport who have transitioned out of national-level or international-level sport: a mixed methods approach.</t>
  </si>
  <si>
    <t>Brockett CL; Stansen C; Bourke M; Pascoe M; Clements M; Parker AG</t>
  </si>
  <si>
    <t>BMJ open sport &amp; exercise medicine</t>
  </si>
  <si>
    <t>2055-7647</t>
  </si>
  <si>
    <t>2024 May 30</t>
  </si>
  <si>
    <t>e001991</t>
  </si>
  <si>
    <t>10.1136/bmjsem-2024-001991</t>
  </si>
  <si>
    <t>BMJ Publishing Group Ltd</t>
  </si>
  <si>
    <t>Transitioning out of elite sports can be a challenging time for athletes. To illuminate the gaps and opportunities in existing support systems and better understand which initiatives may have the greatest benefit in supporting athletes to transition out of elite sport, this study examined the lived experience of retired elite Australian athletes. Using a sequential mixed-methods approach, quantitative data were collected via a self-report online survey, while qualitative data were collected via semistructured interviews. In total 102 retired high-performance athletes (M=27.35, SD=7.25 years) who competed in an Olympic or Paralympic recognised sport at the national and/or international-level participated in the online survey, providing data across domains of well-being and athletic retirement. Eleven survey respondents opted in for the semistructured interview (M=28.9, SD=6.9 years) providing in-depth responses on their retirement experiences. Using partial least squares structural equation modelling (PLS-SEM), latent variables were identified from the survey data and associations between retirement support, retirement difficulties, retirement experiences, well-being and mental health were determined. Interview data were thematically analysed. The structural model had good predictive validity for all nine latent variables, describing positive and negative associations of retirement experiences, mental health and well-being. Building an identity outside of sport, planning for retirement, and having adaptive coping strategies positively impacted retirement experiences. Feeling behind in a life stage and an abrupt loss of athletic identity had a negative impact on retirement experiences. Implications for sports policymakers are discussed, including support strategies that could better assist athletes in successfully transitioning from elite sports. Competing Interests: Competing interests: MC is employed by the Australian Institute of Sport, which is funded by the Australian Sports Commission. © Author(s) (or their employer(s)) 2024. Re-use permitted under CC BY-NC. No commercial re-use. See rights and permissions. Published by BMJ.</t>
  </si>
  <si>
    <t>https://search.ebscohost.com/login.aspx?direct=true&amp;db=mdc&amp;AN=38827245&amp;site=ehost-live</t>
  </si>
  <si>
    <t>Gender and socioecological level differences in stakeholders' perceptions of athlete attrition factors in an Australian high-performance pathway system.</t>
  </si>
  <si>
    <t>Guevara SA; Donaldson A; Keegan RJ; Appaneal RN; Smyth EA; Waddington G; Mahony K; Mara JK; Drew MK</t>
  </si>
  <si>
    <t>2024 Mar</t>
  </si>
  <si>
    <t>10.1016/j.jsams.2023.11.003</t>
  </si>
  <si>
    <t>Australia; Athletic Injuries; Sports; Adolescent; Humans; Male; Female; Australia; Athletes</t>
  </si>
  <si>
    <t>Objectives: This study aimed to build on previous work by the authors. It examines how socioecological level and gender influence high-performance sport system (HPSS) stakeholders' perspectives of the relative importance and feasibility to address athlete attrition factors within an Australian high-performance pathway system (HPPS). Design: Mixed methods. Methods: Sub-analysis was conducted of rating data from 30 participants who had contributed to identifying 83 statements in 13 clusters in a previous Concept Mapping study. The 13 clusters were statistically analysed in 'R' using cumulative link mixed models (CLMMs) to determine differences in perceived importance and feasibility between 1) socioecological levels, and 2) genders. Results: Mean ratings for 11 and three of the 13 clusters were statistically significantly different between at least two of the five socioecological levels, for importance and feasibility, respectively. Athletes had the largest variation in mean ratings from the most (athlete health 4.59), to least (performance potential 2.83) important cluster, when compared to the other four socioecological levels. There were statistically significant differences between the ratings between genders (Men/Women) for two clusters for each rating scale: Importance: 'athlete health' (M3.33:W3.84 [p 0.012]); 'performance potential' (M3.35:W2.57; [p 0.001]), Feasibility: 'abuse and mismanagement of health' (M2.97:W3.68; [p 0.000]) and 'athlete health' (M2.54:W3.33; [p 0.000]). Conclusions: This study highlights the need to implement more robust athlete attrition monitoring protocols. It also highlights the importance of listening to youth athletes' voices, and enabling equal gender representation to ensure holistically tailored environments are created to retain talented athletes in high-performance pathway programmes. Competing Interests: Declaration of interest statement MD and RA worked at an Australian Institute of Sport; and KM and SG worked at the NSW institute of Sport at the commencement of this study. These institutes did not influence or approve the final version of this manuscript. No other conflict of interests to declare. Copyright © 2023 The Author(s). Published by Elsevier Ltd.. All rights reserved.</t>
  </si>
  <si>
    <t>https://search.ebscohost.com/login.aspx?direct=true&amp;db=mdc&amp;AN=37985254&amp;site=ehost-live</t>
  </si>
  <si>
    <t>Global practitioner assessment and management of mental fatigue and mental recovery in high-performance sport: A need for evidence-based best-practice guidelines.</t>
  </si>
  <si>
    <t>Russell S; Johnston RD; Stanimirovic R; Halson SL</t>
  </si>
  <si>
    <t>Scandinavian journal of medicine &amp; science in sports</t>
  </si>
  <si>
    <t>1600-0838</t>
  </si>
  <si>
    <t>e14491</t>
  </si>
  <si>
    <t>10.1111/sms.14491</t>
  </si>
  <si>
    <t>Munksgaard International Publishers</t>
  </si>
  <si>
    <t>Sports physiology; Humans; Athletes; Attention; Mental Fatigue therapy</t>
  </si>
  <si>
    <t>Background: Mental fatigue and mental recovery have gained scientific attention in relation to sporting performance, yet best practice assessment and management methods are lacking. A greater understanding of current knowledge and practices in high-performance sport are necessary. Objective: To understand the contemporary knowledge, beliefs, monitoring processes, management strategies, perceived responsibility, sources of evidence, and challenges, when assessing the mental fatigue and mental recovery of athletes in high-performance sport. Methods: A mixed-methods survey approach obtained information from 156 multi-disciplinary high-performance sport practitioners. Descriptive outputs were reported and potential differences between key concepts were detected using Wilcoxon-signed rank analysis. Thematic analysis interpreted open-text responses. Results: Only 11.5% and 5.1% of respondents indicated they were "very" knowledgeable about mental fatigue and mental recovery, respectively. Knowledge (p &lt; 0.001) and confidence in application (p = 0.001) were significantly greater for mental fatigue than mental recovery. Nearly all respondents perceived mental fatigue and mental recovery impacted training and competition performance, with a greater negative impact during competition (p &lt; 0.001). A limited number of respondents reported deliberate assessment (31.1%) or management (51.2%) of mental fatigue and mental recovery. A combination of sources of evidence were used to inform practice, with common challenges to implementation including staff knowledge, athlete-buy in, time-availability, and a lack of evidence. Practitioners reported that assessing and managing mental fatigue and mental recovery was multi-disciplinary in nature. Conclusion: Practitioners reported that mental fatigue and mental recovery did impact performance, yet this was not reflected in the implementation of evidence-based assessment and management practices in high-performance sport. © 2023 The Authors. Scandinavian Journal of Medicine &amp; Science In Sports published by John Wiley &amp; Sons Ltd.</t>
  </si>
  <si>
    <t>https://search.ebscohost.com/login.aspx?direct=true&amp;db=mdc&amp;AN=37728880&amp;site=ehost-live</t>
  </si>
  <si>
    <t>Injury and illness in short-course triathletes: A systematic review.</t>
  </si>
  <si>
    <t>Guevara SA; Crunkhorn ML; Drew M; Waddington G; Périard JD; Etxebarria N; Toohey LA; Charlton P</t>
  </si>
  <si>
    <t>Journal of sport and health science</t>
  </si>
  <si>
    <t>2213-2961</t>
  </si>
  <si>
    <t>10.1016/j.jshs.2023.03.002</t>
  </si>
  <si>
    <t>Shanghai University of Sport</t>
  </si>
  <si>
    <t>Systematic Review</t>
  </si>
  <si>
    <t>Running injuries; Humans; Risk Factors; Prevalence</t>
  </si>
  <si>
    <t>Background: Determining the incidence and prevalence of injury and illness in short-course triathletes would improve understanding of their etiologies and therefore assist in the development and implementation of prevention strategies. This study synthesizes the existing evidence on the incidence and prevalence of injury and illness and summarizes reported injury or illness etiology and risk factors affecting short-course triathletes. Methods: This review followed the Preferred Reporting Items for Systematic Reviews and Meta-Analyses guidelines. Studies reporting health problems (injury and illness) in triathletes (all sexes, ages, and experience levels) training and/or competing in short-course distances were included. Six electronic databases (Cochrane Central Register of Controlled Trials, MEDLINE, Embase, APA PsychINFO, Web of Science Core Collection, and SPORTDiscus) were searched. Risk of bias was independently assessed by 2 reviewers using the Newcastle-Ottawa Quality Assessment Scale. Two authors independently completed data extraction. Results: The search yielded 7998 studies, with 42 studies eligible for inclusion. Twenty-three studies investigated injuries, 24 studies investigated illnesses, and 5 studies investigated both injuries and illnesses. The injury incidence rate ranged 15.7-24.3 per 1000 athlete exposures, and the illness incidence rate ranged 1.8-13.1 per 1000 athlete days. Injury and illness prevalence ranged between 2%-15% and 6%-84%, respectively. Most injuries reported occurred during running (45%-92%), and the most frequently reported illnesses affected the gastrointestinal (7%-70%), cardiovascular (14%-59%), and respiratory systems (5%-60%). Conclusion: The most frequently reported health problems in short-course triathletes were: overuse and lower limb injuries associated with running; gastrointestinal illnesses and altered cardiac function, primarily attributable to environmental factors; and respiratory illness mostly caused by infection. Copyright © 2023. Production and hosting by Elsevier B.V.</t>
  </si>
  <si>
    <t>https://search.ebscohost.com/login.aspx?direct=true&amp;db=mdc&amp;AN=36898525&amp;site=ehost-live</t>
  </si>
  <si>
    <t>Injury incidence and prevalence in elite short-course triathletes: a 4-year prospective study.</t>
  </si>
  <si>
    <t>Crunkhorn ML; Toohey LA; Charlton P; Drew M; Watson K; Etxebarria N</t>
  </si>
  <si>
    <t>British journal of sports medicine</t>
  </si>
  <si>
    <t>1473-0480</t>
  </si>
  <si>
    <t>2024 Apr 25</t>
  </si>
  <si>
    <t>10.1136/bjsports-2023-107327</t>
  </si>
  <si>
    <t>BMJ Publishing Group</t>
  </si>
  <si>
    <t>Australia; Athletic Injuries epidemiology; Swimming injuries; Swimming statistics &amp; numerical data; Humans; Prospective Studies; Female; Male; Incidence; Prevalence; Adult; Australia epidemiology; Running injuries; Bicycling injuries; Young Adult; Athletes statistics &amp; numerical data; Fractures, Stress epidemiology; Sex Factors; Physical Conditioning, Human adverse effects</t>
  </si>
  <si>
    <t>Objective: To characterise the prevalence, incidence rate (IR) and burden of injuries in elite short-course triathletes over a 4-year training and competition period. Methods: Fifty elite Australian triathletes were prospectively monitored for injury during four consecutive seasons (2018-2021). Injuries requiring medical attention were prospectively recorded and further subcategorised according to time loss. The IR and burden (injury IR×mean injury severity) were calculated per 365 athlete days, with sex differences in IR compared using IR ratios (IRR) from negative binomial regression models. Results: Two hundred and sixty-six injuries were reported in 46 (92.0%) athletes, of which 67.3% resulted in time loss. The injury IR was 1.87 injuries per 365 athlete days (95% CI 1.70 to 2.80), and comparable between sexes (IRR 0.82, 95% CI 0.64 to 1.04, p=0.109). Most injuries (70.7%) were training related. The most frequently injured body sites were the ankle (15.8%), foot (12.4%) and lower leg (12.0%). Bone stress injuries (BSIs) were the most burdensome injury type with 31.38 days of time loss per 365 days (95% CI 24.42 to 38.34). Twenty athletes (40.0%) reported at least one bone stress injury (BSI) (range 0-3). The rate of BSIs in female athletes was three times greater compared with male athletes (IRR 2.99, 95% CI 1.26 to 7.07, p=0.013). Conclusion: Two-thirds of injuries reported in elite short-course triathletes resulted in time loss, with the majority occurring during training activities. Foot, ankle and other lower leg injuries had the highest incidence, with BSIs carrying the highest injury burden. The considerably higher rate of BSI observed in female athletes warrants consideration for future prevention strategies in female triathletes. Competing Interests: Competing interests: None declared. © Author(s) (or their employer(s)) 2024. No commercial re-use. See rights and permissions. Published by BMJ.</t>
  </si>
  <si>
    <t>https://search.ebscohost.com/login.aspx?direct=true&amp;db=mdc&amp;AN=38331566&amp;site=ehost-live</t>
  </si>
  <si>
    <t>Lumbar Bone Stress Injuries and Nonunited Defects in Elite Australian Cricket Players.</t>
  </si>
  <si>
    <t>Saw A; Eales B; Jones N; Obst A; Smith M; Kountouris A; Saw R</t>
  </si>
  <si>
    <t>Clinical journal of sport medicine : official journal of the Canadian Academy of Sport Medicine</t>
  </si>
  <si>
    <t>1536-3724</t>
  </si>
  <si>
    <t>2024 Jan 01</t>
  </si>
  <si>
    <t>10.1097/JSM.0000000000001132</t>
  </si>
  <si>
    <t>Wolters Kluwer Health, Inc</t>
  </si>
  <si>
    <t>Australia; Athletic Injuries diagnostic imaging; Athletic Injuries epidemiology; Athletic Injuries therapy; Cricket Sport; Back Injuries; Humans; Male; Female; Aged; Retrospective Studies; Australia epidemiology</t>
  </si>
  <si>
    <t>Objective: To describe the presentation and management of lumbar bone stress injuries (LBSI), recurrent LBSI, and lumbar nonunited defects in elite Australian male and female cricket players. Design: Retrospective case series. Setting: Professional domestic and international cricket teams over 13 seasons. Participants: Elite Australian cricket players. Independent Variables: Symptomatic LBSI requiring time off cricket and lumbar nonunited defects, both confirmed by imaging. Main Outcome Measures: Incidence, presentation, history, healing, and management. Results: 211 LBSI were identified at an average incidence of 5.4 per 100 players per season. LBSI were most common in male pace bowlers younger than 20 years of age (58.1 per 100 players per season), however, were also observed in older players, females, and non-pace bowlers. Recurrent LBSI accounted for 33% (27%-40%) of all LBSI. Median days to return to match availability was 182 (128-251) days for all LBSI, with a shorter time frame observed for new and less severe injuries, and male spin bowlers. Healing was demonstrated in 87% (81%-91%) of all LBSI cases. 29 nonunited defects were identified and predisposed subsequent pain, LBSI, and spondylolisthesis. Conclusions: LBSI are experienced by approximately 5.4 in every 100 elite Australian cricket players per season, with a high time cost of approximately 4 to 8 months. Nonunited defects also have a high time cost with associated subsequent lumbar spine issues. The findings of this study reinforce the importance of early detection and conservative management of LBSI, particularly for younger male pace bowlers and players with recurrent LBSI, which may be supported by MRI. Competing Interests: All authors completed this research as part of their employment with Cricket Australia or an Australian Cricket Association. We have no other financial affiliation (including research funding) or involvement with any commercial organization that has a direct financial interest in any matter included in this article. We have no other conflict of interest to disclose. Copyright © 2023 Wolters Kluwer Health, Inc. All rights reserved.</t>
  </si>
  <si>
    <t>https://search.ebscohost.com/login.aspx?direct=true&amp;db=mdc&amp;AN=36853903&amp;site=ehost-live</t>
  </si>
  <si>
    <t>Lumbar extension peak-torque, muscle endurance and motor imagery in junior-elite basketballers with and without a history of low back pain: a pilot study.</t>
  </si>
  <si>
    <t>Glazebrook T; Cooke J; Waddington G; Wallwork SB</t>
  </si>
  <si>
    <t>PeerJ</t>
  </si>
  <si>
    <t>2167-8359</t>
  </si>
  <si>
    <t>2024 Jun 06</t>
  </si>
  <si>
    <t>e17508</t>
  </si>
  <si>
    <t>10.7717/peerj.17508</t>
  </si>
  <si>
    <t>PeerJ Inc</t>
  </si>
  <si>
    <t>Low Back Pain physiopathology; Basketball physiology; Physical Endurance physiology; Lumbosacral Region; Humans; Male; Pilot Projects; Adolescent; Torque; Athletes; Muscle, Skeletal physiopathology; Muscle, Skeletal physiology</t>
  </si>
  <si>
    <t>Objectives: Low back pain (LBP) is common in elite athletes. Several peripheral and central factors have been identified to be altered in non-athletic LBP populations, however whether these alterations also exist in elite athletes with LBP is unknown. The aim of this study was to determine whether elite basketballers with a history of persistent LBP perform worse than those without LBP at a lumbar muscle endurance task, a lumbar extension peak-torque task, and a lumbar motor imagery task. Method: An observational pilot study. Twenty junior elite-level male basketballers with ( n = 11) and without ( n = 9) a history of persistent LBP were recruited. Athletes completed a lumbar extensor muscle endurance (Biering-Sorensen) task, two lumbar extensor peak-torque (modified Biering-Sorensen) tasks and two motor imagery (left/right lumbar and hand judgement) tasks across two sessions (48 hours apart). Performance in these tasks were compared between the groups with and without a history of LBP. Results: Young athletes with a history of LBP had reduced lumbar extensor muscle endurance ( p &lt; 0.001), reduced lumbar extension peak-torque ( p &lt; 0.001), and were less accurate at the left/right lumbar judgement task ( p = 0.02) but no less accurate at a left/right hand judgement task ( p = 0.59), than athletes without a history of LBP. Response times for both left/right judgement tasks did not differ between groups (lumbar p = 0.24; hand p = 0.58). Conclusions: Junior elite male basketballers with a history of LBP demonstrate reduced lumbar extensor muscle endurance and lumbar extension peak-torque and are less accurate at a left/right lumbar rotation judgement task, than those without LBP. Competing Interests: Tim Glazebrook works as a physiotherapist at SportsMed SA where he treats patients with musculoskeletal and sports injuries and pain. Sarah B. Wallwork receives payments for lectures on pain and rehabilitation. ©2024 Glazebrook et al.</t>
  </si>
  <si>
    <t>https://search.ebscohost.com/login.aspx?direct=true&amp;db=mdc&amp;AN=38854796&amp;site=ehost-live</t>
  </si>
  <si>
    <t>Minimal influence of the menstrual cycle or hormonal contraceptives on performance in female rugby league athletes.</t>
  </si>
  <si>
    <t>Smith ES; Weakley J; McKay AKA; McCormick R; Tee N; Kuikman MA; Harris R; Minahan C; Buxton S; Skinner J; Ackerman KE; Elliott-Sale KJ; Stellingwerff T; Burke LM</t>
  </si>
  <si>
    <t>European journal of sport science</t>
  </si>
  <si>
    <t>1536-7290</t>
  </si>
  <si>
    <t>2024 Jun 15</t>
  </si>
  <si>
    <t>10.1002/ejsc.12151</t>
  </si>
  <si>
    <t>Wiley-VCH GmbH on behalf of European College of Sport Science</t>
  </si>
  <si>
    <t>We examined performance across one menstrual cycle (MC) and 3 weeks of hormonal contraceptives (HC) use to identify whether known fluctuations in estrogen and progesterone/progestin are associated with functional performance changes. National Rugby League Indigenous Women's Academy athletes [n = 11 naturally menstruating (NM), n = 13 using HC] completed performance tests [countermovement jump (CMJ), squat jump (SJ), isometric mid-thigh pull, 20 m sprint, power pass and Stroop test] during three phases of a MC or three weeks of HC usage, confirmed through ovulation tests alongside serum estrogen and progesterone concentrations. MC phase or HC use did not influence jump height, peak force, sprint time, distance thrown or Stroop effect. However, there were small variations in kinetic and kinematic CMJ/SJ outputs. NM athletes produced greater mean concentric power in MC phase four than one [+0.41 W·kg -1 (+16.8%), p = 0.021] during the CMJ, alongside greater impulse at 50 ms at phase one than four [+1.7 N·s (+4.7%), p = 0.031] during the SJ, without differences between tests for HC users. Among NM athletes, estradiol negatively correlated with mean velocity and power (r = -0.44 to -0.50, p &lt; 0.047), progesterone positively correlated with contraction time (r = 0.45, p = 0.045), and both negatively correlated with the rate of force development and impulse (r = -0.45 to -0.64, p &lt; 0.043) during the SJ. During the CMJ, estradiol positively correlated to 200 ms impulse (r = 0.45, p = 0.049) and progesterone to mean power (r = 0.51, p = 0.021). Evidence of changes in testing performance across a MC, or during active HC use, is insufficient to justify "phase-based testing"; however, kinetic or kinematic outputs may be altered in NM athletes. © 2024 The Author(s). European Journal of Sport Science published by Wiley‐VCH GmbH on behalf of European College of Sport Science.</t>
  </si>
  <si>
    <t>https://search.ebscohost.com/login.aspx?direct=true&amp;db=mdc&amp;AN=38877892&amp;site=ehost-live</t>
  </si>
  <si>
    <t>Page Count</t>
  </si>
  <si>
    <t>Accession Number</t>
  </si>
  <si>
    <t>A systematic review of neurophysiological sensing for the assessment of acute pain.</t>
  </si>
  <si>
    <r>
      <rPr>
        <sz val="11"/>
        <color rgb="FF000000"/>
        <rFont val="Calibri"/>
        <family val="2"/>
        <scheme val="minor"/>
      </rPr>
      <t xml:space="preserve">Fernandez Rojas R; Brown N; </t>
    </r>
    <r>
      <rPr>
        <sz val="11"/>
        <color rgb="FF00B050"/>
        <rFont val="Calibri"/>
        <family val="2"/>
        <scheme val="minor"/>
      </rPr>
      <t>Waddington G</t>
    </r>
    <r>
      <rPr>
        <sz val="11"/>
        <color rgb="FF000000"/>
        <rFont val="Calibri"/>
        <family val="2"/>
        <scheme val="minor"/>
      </rPr>
      <t>; Goecke R</t>
    </r>
  </si>
  <si>
    <t>NPJ digital medicine</t>
  </si>
  <si>
    <t>2398-6352</t>
  </si>
  <si>
    <t>2023 Apr 26</t>
  </si>
  <si>
    <t>10.1038/s41746-023-00810-1</t>
  </si>
  <si>
    <t>Nature Publishing Group</t>
  </si>
  <si>
    <t>Pain is a complex and personal experience that presents diverse measurement challenges. Different sensing technologies can be used as a surrogate measure of pain to overcome these challenges. The objective of this review is to summarise and synthesise the published literature to: (a) identify relevant non-invasive physiological sensing technologies that can be used for the assessment of human pain, (b) describe the analytical tools used in artificial intelligence (AI) to decode pain data collected from sensing technologies, and (c) describe the main implications in the application of these technologies. A literature search was conducted in July 2022 to query PubMed, Web of Sciences, and Scopus. Papers published between January 2013 and July 2022 are considered. Forty-eight studies are included in this literature review. Two main sensing technologies (neurological and physiological) are identified in the literature. The sensing technologies and their modality (unimodal or multimodal) are presented. The literature provided numerous examples of how different analytical tools in AI have been applied to decode pain. This review identifies different non-invasive sensing technologies, their analytical tools, and the implications for their use. There are significant opportunities to leverage multimodal sensing and deep learning to improve accuracy of pain monitoring systems. This review also identifies the need for analyses and datasets that explore the inclusion of neural and physiological information together. Finally, challenges and opportunities for designing better systems for pain assessment are also presented. © 2023. The Author(s).</t>
  </si>
  <si>
    <t>https://search.ebscohost.com/login.aspx?direct=true&amp;db=mdc&amp;AN=37100924&amp;site=ehost-live</t>
  </si>
  <si>
    <t>Acute Performance, Daily Well-Being, and Hormone Responses to Water Immersion After Resistance Exercise in Junior International and Subelite Male Volleyball Athletes.</t>
  </si>
  <si>
    <r>
      <rPr>
        <sz val="11"/>
        <color rgb="FF000000"/>
        <rFont val="Calibri"/>
        <family val="2"/>
        <scheme val="minor"/>
      </rPr>
      <t xml:space="preserve">Horgan, Barry G.; Tee, Nicolin; West, Nicholas P.; Drinkwater, Eric J.; Halson, Shona L.; Colomer, Carmen M. E.; Fonda, Christopher J.; </t>
    </r>
    <r>
      <rPr>
        <sz val="11"/>
        <color rgb="FF00B050"/>
        <rFont val="Calibri"/>
        <family val="2"/>
        <scheme val="minor"/>
      </rPr>
      <t>Tatham, James</t>
    </r>
    <r>
      <rPr>
        <sz val="11"/>
        <color rgb="FF000000"/>
        <rFont val="Calibri"/>
        <family val="2"/>
        <scheme val="minor"/>
      </rPr>
      <t>; Chapman, Dale W.; Haff, G. Gregory</t>
    </r>
  </si>
  <si>
    <t>Journal of Strength &amp; Conditioning Research</t>
  </si>
  <si>
    <t>10648011</t>
  </si>
  <si>
    <t>Aug2023</t>
  </si>
  <si>
    <t>Lippincott Williams &amp; Wilkins</t>
  </si>
  <si>
    <t>Article</t>
  </si>
  <si>
    <t>RESISTANCE training; AQUATIC exercises; HORMONES; NEUROPHYSIOLOGY; MUSCLE contraction; CONVALESCENCE; TESTOSTERONE; SELF-perception; SERUM; ANTHROPOMETRY; HYDROTHERAPY; EXERCISE physiology; NEUROMUSCULAR system; VISUAL analog scale; VOLLEYBALL; BODY movement; ATHLETIC ability; FATIGUE (Physiology); JUMPING; HYDROCORTISONE; AUSTRALIA; SLEEP quality; IMMERSION in liquids; ANALYSIS of variance; MULTIVARIATE analysis; BLOOD collection; RANDOMIZED controlled trials; T-test (Statistics); REPEATED measures design; DESCRIPTIVE statistics; INTRACLASS correlation; RESEARCH funding; STATISTICAL sampling; CROSSOVER trials; DATA analysis software; STATISTICAL models</t>
  </si>
  <si>
    <t>Athletes use postexercise hydrotherapy strategies to improve recovery and competition performance and to enhance adaptative responses to training. Using a randomized cross-over design, the acute effects of 3 postresistance exercise water immersion strategies on perceived recovery, neuromuscular performance, and hormone concentrations in junior international and subelite male volleyball athletes (n = 18) were investigated. After resistance exercise, subjects randomly completed either 15-minute passive control (CON), contrast water therapy (CWT), cold (CWI), or hot water immersion (HWI) interventions. A treatment effect occurred after HWI; reducing perceptions of fatigue (HWI &gt; CWT: p = 0.05, g = 0.43); improved sleep quality, compared with CON (p &lt; 0.001, g = 1.15), CWI (p = 0.017, g = 0.70), and CWT (p 5 0.018, g 5 0.51); as well as increasing testosterone concentration (HWI &gt; CWT: p = 0.038, g = 0.24). There were trivial to small (p &lt; 0.001-0.039, g = 0.02-0.34) improvements (treatment effect) in jump performance (i.e., squat jump and counter- movement jump) after all water immersion strategies, as compared with CON, with high variability in the individual responses. There were no significant differences (interaction effect, p &gt; 0.05) observed between the water immersion intervention strategies and CON in performance (p = 0.153-0.99), hormone (p = 0.207-0.938), nor perceptual (p = 0.368-0.955) measures. To optimize recovery and performance responses, e.g., during an in-season competition phase, postresistance exercise HWI may assist with providing small-to-large improvements for up to 38 hours in perceived recovery (i.e., increased sleep quality and reduced fatigue) and increases in circulating testosterone concentration. Practitioners should consider individual athlete neuromuscular performance responses when prescribing postexercise hydrotherapy. These findings apply to athletes who aim to improve their recovery status, where postresistance exercise HWI optimizes sleep quality and next-day perceptions of fatigue. ABSTRACT FROM AUTHOR</t>
  </si>
  <si>
    <t>https://search.ebscohost.com/login.aspx?direct=true&amp;db=s3h&amp;AN=171904703&amp;site=ehost-live</t>
  </si>
  <si>
    <t>Alternative Reimbursement Models for Health Providers in High-Performance Sport: Stakeholder Experiences and Perceptions.</t>
  </si>
  <si>
    <r>
      <rPr>
        <sz val="11"/>
        <color rgb="FF000000"/>
        <rFont val="Calibri"/>
        <family val="2"/>
        <scheme val="minor"/>
      </rPr>
      <t xml:space="preserve">Carter HE; Allen MJ; </t>
    </r>
    <r>
      <rPr>
        <sz val="11"/>
        <color rgb="FF00B050"/>
        <rFont val="Calibri"/>
        <family val="2"/>
        <scheme val="minor"/>
      </rPr>
      <t>Toohey LA</t>
    </r>
    <r>
      <rPr>
        <sz val="11"/>
        <color rgb="FF000000"/>
        <rFont val="Calibri"/>
        <family val="2"/>
        <scheme val="minor"/>
      </rPr>
      <t>; McPhail SM; Drew MK</t>
    </r>
  </si>
  <si>
    <t>Sports medicine - open</t>
  </si>
  <si>
    <t>2199-1170</t>
  </si>
  <si>
    <t>2023 Jul 11</t>
  </si>
  <si>
    <t>10.1186/s40798-023-00600-9</t>
  </si>
  <si>
    <t>Springer International Publishing</t>
  </si>
  <si>
    <t>Background: Value-based healthcare provider reimbursement models have been proposed as an alternative to traditional fee-for-service arrangements that can align financial reimbursement more closely to the outcomes of value to patients and society. This study aimed to investigate stakeholder perceptions and experiences of different reimbursement systems for healthcare providers in high-performance sport, with a focus on fee-for-service versus salaried provider models. Methods: Three in-depth semi-structured focus group discussions and one individual interview were conducted with key stakeholders across the Australian high-performance sport system. Participants included healthcare providers, health managers, sports managers and executive personnel. An interview guide was developed using the Exploration, Preparation, Implementation, Sustainment framework, with key themes deductively mapped to the innovation, inner context and outer context domains. A total of 16 stakeholders participated in a focus group discussion or interview. Results: Participants identified several key advantages of salaried provider models over fee-for-service arrangements, including: the potential for more proactive and preventive models of care; enhanced inter-disciplinary collaboration; and the ability for providers to have a deeper understanding of context and how their role aligns with a broader set of priorities for an athlete and the organisation. Noted challenges of salaried provider models included the potential for providers to revert to reactive care delivery when not afforded adequate capacity to provide services, and difficulties for providers in demonstrating and quantifying the value of their work. Conclusions: Our findings suggest that high-performance sporting organisations seeking to improve primary prevention and multidisciplinary care should consider salaried provider arrangements. Further research to confirm these findings using prospective, experimental study designs remains a priority. © 2023. The Author(s).</t>
  </si>
  <si>
    <t>https://search.ebscohost.com/login.aspx?direct=true&amp;db=mdc&amp;AN=37432643&amp;site=ehost-live</t>
  </si>
  <si>
    <t>Anterior cruciate ligament injury occurrence, return to sport and subsequent injury in the Australian High Performance Sports System: A 5-year retrospective analysis.</t>
  </si>
  <si>
    <r>
      <t xml:space="preserve">Rigg, Joshua D.; Panagodage Perera, Nirmala Kanthi; </t>
    </r>
    <r>
      <rPr>
        <sz val="11"/>
        <color rgb="FF00B050"/>
        <rFont val="Calibri"/>
        <family val="2"/>
        <scheme val="minor"/>
      </rPr>
      <t>Toohey, Liam</t>
    </r>
    <r>
      <rPr>
        <sz val="11"/>
        <color theme="1"/>
        <rFont val="Calibri"/>
        <family val="2"/>
        <scheme val="minor"/>
      </rPr>
      <t xml:space="preserve"> A.; Cooke, Jennifer; Hughes, David</t>
    </r>
  </si>
  <si>
    <t>Physical Therapy in Sport</t>
  </si>
  <si>
    <t>1466853X</t>
  </si>
  <si>
    <t>Nov2023</t>
  </si>
  <si>
    <t>Elsevier B.V.</t>
  </si>
  <si>
    <t>SPORTS participation; ANTERIOR cruciate ligament injuries; MEDICAL records; ATHLETIC ability; AUSTRALIA; KRUSKAL-Wallis Test; MANN Whitney U Test; RETROSPECTIVE studies; ACQUISITION of data; CHI-squared test; DESCRIPTIVE statistics</t>
  </si>
  <si>
    <t>To report anterior cruciate ligament (ACL) injury occurrence, return to sport (RTS) timeframes and ACL subsequent injuries recorded in the Australian High Performance Sports System according to athlete sex. ACL injury data of injured athletes were prospectively collected by the treating sports and exercise physicians and physiotherapists within the Australian High Performance Sports System between January 1, 2015 and May 31, 2020. RTS time frames for ACL injuries and the proportion of subsequent ACL injuries were calculated. The RTS time was compared between sexes, age groups and ACL injury categories using the Mann-Whitney U test and the Kruskal-Wallis test. A total of 132 ACL injuries were reported in 108 athletes (77 female, 31 male). ACL injuries accounted for 6.4% of all reported knee injuries, with almost half (48.5%) of the ACL injuries reported to occur during training. Median RTS time was 369 days (IQR = 273–487), with RTS times reducing with increasing age (X 2 (Zbrojkiewicz et al., 2018) = 11.781, p = 0.008). The presence of concurrent knee pathology did not significantly affect the RTS timeframes. ACL injuries were most frequently reported in netball, winter sports, basketball, field hockey and gymnastics. One quarter of the ACL reported (n = 34, 25.8%) were subsequent to a prior ACL injury, with the majority of these injuries occurring to the ipsilateral knee (n = 26) as opposed to contralateral knee (n = 6). Despite ACL injuries accounting for a small proportion of all knee injuries reported in the Australian High Performance Sports System, more than a quarter are subsequent to a previous ACL injury. Shorter RTS times were observed in older athletes; however, considerable periods of time-loss occur as a consequence of ACL injuries. Effective primary prevention, rehabilitation processes, and ongoing tertiary prevention strategies are warranted in this population. • Median RTS time after ACL injury in the Australian High Performance Sports System is 1 year. • RTS timeframes after ACL injury decreased with increasing age. • Athletes with multi-structure knee injuries took no longer to RTS than those with isolated ACL injuries. ABSTRACT FROM AUTHOR</t>
  </si>
  <si>
    <t>https://search.ebscohost.com/login.aspx?direct=true&amp;db=s3h&amp;AN=173563254&amp;site=ehost-live</t>
  </si>
  <si>
    <t>Athlete Preferences for Nutrition Education: Development of and Findings from a Quantitative Survey.</t>
  </si>
  <si>
    <t>Solly H; Badenhorst CE; McCauley M; Slater GJ; Gifford JA; Erueti B; Beck KL</t>
  </si>
  <si>
    <t>Nutrients</t>
  </si>
  <si>
    <t>2072-6643</t>
  </si>
  <si>
    <t>2023 May 29</t>
  </si>
  <si>
    <t>10.3390/nu15112519</t>
  </si>
  <si>
    <t>MDPI Publishing</t>
  </si>
  <si>
    <t>Australia; Athletes; Sports physiology; Humans; Female; Australia; Eating; Exercise physiology</t>
  </si>
  <si>
    <t>Nutrition education (NE) is one of several strategies aimed at enhancing the dietary intake of athletes. This study investigated NE preferences of New Zealand and Australian athletes competing nationally and internationally. Athletes ( n = 124, 22 (18, 27) years, female 54.8%) from 22 sports completed an online survey, with responses analysed using descriptive statistics. Teaching techniques considered 'extremely effective' were life examples (47.6% of athletes), hands-on activities (30.6%), and discussions with a facilitator (30.6%). Setting personal nutrition goals was important to most athletes (83.9%), along with two-way feedback with a facilitator (75.0%). General nutrition topics considered 'essential' were energy requirements (52.9%), hydration (52.9%), and nutrient deficiencies (43.3%). Performance topics considered 'essential' were recovery (58.1%), pre-exercise nutrition (51.6%), nutrition during exercise (50.0%), and energy requirements for training (49.2%). Athletes preferred a 'combination of in-person group and one-on-one sessions' (25% of athletes), 'one-on one sessions' (19.2%) and 'in-person group sessions' (18.3%), with only 13.3% interested in 'exclusively online delivery'. Sessions of 31-60 min (61.3% of athletes) held monthly (37.5%) and undertaken with athletes of the same sporting calibre (61.3%) were favoured by the participants. The preferred facilitator was a performance dietitian or nutritionist (82.1% of athletes), who had knowledge of the sport (85.5%), experience in sports nutrition (76.6%), and credibility (73.4%). This research provides novel insights into the factors that need to be considered when designing and implementing nutrition education for athletes.</t>
  </si>
  <si>
    <t>https://search.ebscohost.com/login.aspx?direct=true&amp;db=mdc&amp;AN=37299484&amp;site=ehost-live</t>
  </si>
  <si>
    <t>Comparison of injury profiles between elite Australian male and female cricket players.</t>
  </si>
  <si>
    <r>
      <t xml:space="preserve">Orchard, John W.; Inge, Philippa; Sims, Kevin; Kountouris, Alex; Saw, Anna E.; </t>
    </r>
    <r>
      <rPr>
        <sz val="11"/>
        <color rgb="FF00B050"/>
        <rFont val="Calibri"/>
        <family val="2"/>
        <scheme val="minor"/>
      </rPr>
      <t>Saw, Richard</t>
    </r>
    <r>
      <rPr>
        <sz val="11"/>
        <color theme="1"/>
        <rFont val="Calibri"/>
        <family val="2"/>
        <scheme val="minor"/>
      </rPr>
      <t>; Beerworth, Kate</t>
    </r>
  </si>
  <si>
    <t>Journal of Science &amp; Medicine in Sport</t>
  </si>
  <si>
    <t>14402440</t>
  </si>
  <si>
    <t>Jan2023</t>
  </si>
  <si>
    <t>SPORTS injuries; EPIDEMIOLOGY; QUADRICEPS muscle; CRICKET players; LUMBOSACRAL plexus</t>
  </si>
  <si>
    <t>This study presents seven seasons of injury surveillance data for both elite Australian male and female cricket players, revealing injury statistics and allowing for comparison between sexes. Retrospective cohort. Participants were elite Australian male and female cricket players who were contracted to play for a national and/or state/territory team and/or T20 franchise between 2015–16 and 2021–22 (7 seasons). Injury data was recorded in Cricket Australia's Athlete Management System database and combined with match data. The STROBE-SIIS statement was used as the relevant guideline for this study. Data for 1345 male player seasons and 959 female player seasons revealed sex-related differences in the injury incidence rates and prevalence. Males had higher incidence (average 136 vs 101 injuries per 1000 match days) and prevalence of match time-loss injuries (average 10.4% vs 6.5% players unavailable). However, the overall incidence of all medical attention injuries were similar between sexes (Incidence Rate Ratio (IRR) 0.9, 95%CI 0.8–1.0). The most frequent match time-loss injuries for males were hamstring strains (7.4 new injuries per 100 players per season), side and abdominal strains (5.5), concussion (5.0), lumbar stress fractures (4.3), and wrist and hand fractures (3.9). The most frequent match time-loss injuries for females over the 7 seasons were hamstring strains (3.1), concussion (2.3), quadriceps strains (2.4) and shin/foot/ankle stress fractures (2.0). The IRR of medical attention injuries for males compared to females was higher for lumbosacral stress fractures (IRR 2.3), elbow and forearm injuries (1.5), and concussion (1.4), and lower for lower leg, foot, and ankle stress fractures (0.6), shoulder and upper arm injuries (0.7), and quadriceps strains (0.6). Robust long-term injury surveillance enabled the injury profiles of elite Australian male and female cricket players to be understood and compared. Males had a higher incidence and prevalence of match time-loss injuries, likely reflecting a higher match exposure. ABSTRACT FROM AUTHOR</t>
  </si>
  <si>
    <t>https://search.ebscohost.com/login.aspx?direct=true&amp;db=s3h&amp;AN=161158611&amp;site=ehost-live</t>
  </si>
  <si>
    <t>Concurrent validity of the CORE wearable sensor with BodyCap temperature pill to assess core body temperature during an elite women's field hockey heat training camp.</t>
  </si>
  <si>
    <r>
      <t xml:space="preserve">Goods, Paul S. R.; </t>
    </r>
    <r>
      <rPr>
        <sz val="11"/>
        <color rgb="FF00B050"/>
        <rFont val="Calibri"/>
        <family val="2"/>
        <scheme val="minor"/>
      </rPr>
      <t>Maloney, Peta</t>
    </r>
    <r>
      <rPr>
        <sz val="11"/>
        <color theme="1"/>
        <rFont val="Calibri"/>
        <family val="2"/>
        <scheme val="minor"/>
      </rPr>
      <t>; Miller, Joanna; Jennings, Denise; Fahey-Gilmour, Jack; Peeling, Peter; Galna, Brook</t>
    </r>
  </si>
  <si>
    <t>European Journal of Sport Science</t>
  </si>
  <si>
    <t>17461391</t>
  </si>
  <si>
    <t>Taylor &amp; Francis Ltd</t>
  </si>
  <si>
    <t>HEAT; BODY temperature; HOCKEY; FEVER; PHYSICAL training &amp; conditioning; SPORTS events; ACCLIMATIZATION; AUSTRALIA; MEDICAL thermometry; CONFIDENCE intervals; RESEARCH methodology evaluation; WEARABLE technology; BIOTELEMETRY</t>
  </si>
  <si>
    <t>Wearable temperature sensors offer the potential to overcome several limitations associated with current laboratory- and field-based methods for core temperature assessment; however, their ability to provide accurate data at elevated core temperatures (Tc) has been questioned. Therefore, this investigation aimed to determine the concurrent validity of a wearable temperature sensor (CORE) compared to a reference telemetric temperature pill (BodyCAP) during a team-sport heat training camp prior to the 2020 Olympic Games. Female field hockey players (n = 19) in the Australian national squad completed 4 sessions in hot conditions where their temperature was monitored via CORE and BodyCAP. Concurrent validity of the wearable CORE device was determined with reference to the ingested BodyCAP pill. Lin's Concordance Correlation Coefficients determined there was "poor" agreement between devices during all sessions. Mean bias demonstrated that CORE underestimated Tc in all sessions (−0.06°C to −0.34°C), with wide mean 95% confidence intervals (±0.35°C to ±0.56°C). Locally estimated scatterplot smoothing regression lines illustrated a non-linearity of error, with greater underestimation of Tc by the CORE device, as Tc increased. The two devices disagreed more than ±0.3°C for 41-60% of all data samples in each session. Our findings do not support the use of the CORE device as a valid alternative to telemetric temperature pills for Tc assessment, particularly during exercise in hot conditions where elevated Tc are expected. The CORE wearable sensor is not a valid alternative to telemetric temperature pills for Tc assessment, particularly during exercise in hot conditions where elevated Tc are expected. Compared to reference Tc data provided by a validated, ingestible telemetric temperature pill, the CORE device demonstrated "poor" agreement between devices during all sessions in this investigation. There was a non-linear bias which tended to underestimate Tc to a greater extent as Tc increased (but with wide confidence intervals), with 41-60% of all data exceeding a threshold error of ±0.3°C. ABSTRACT FROM AUTHOR</t>
  </si>
  <si>
    <t>https://search.ebscohost.com/login.aspx?direct=true&amp;db=s3h&amp;AN=169807774&amp;site=ehost-live</t>
  </si>
  <si>
    <t>Culture, experiences, gender and sexual harassment for sport and exercise medicine/physiotherapy practitioners working in elite Australian sport.</t>
  </si>
  <si>
    <r>
      <t xml:space="preserve">Cowan, S.; Girdwood, M.; Haberfield, M.; Mosler, A.; Bruder, A.; Mahony, K.; Forsdike, K.; McNeil, N.; Beerworth, K.; </t>
    </r>
    <r>
      <rPr>
        <sz val="11"/>
        <color rgb="FF00B050"/>
        <rFont val="Calibri"/>
        <family val="2"/>
        <scheme val="minor"/>
      </rPr>
      <t>Menaspa, M</t>
    </r>
    <r>
      <rPr>
        <sz val="11"/>
        <color theme="1"/>
        <rFont val="Calibri"/>
        <family val="2"/>
        <scheme val="minor"/>
      </rPr>
      <t>.; Inge, P.; White, S.; Harris, R.; Castricum, A.; Crossley, K.</t>
    </r>
  </si>
  <si>
    <t>2023 Supplement 2</t>
  </si>
  <si>
    <t>S175</t>
  </si>
  <si>
    <t>PHYSICAL activity; SPORTS medicine; PHYSICAL training &amp; conditioning; PHYSICAL fitness; HEALTH outcome assessment</t>
  </si>
  <si>
    <t>https://search.ebscohost.com/login.aspx?direct=true&amp;db=s3h&amp;AN=172868573&amp;site=ehost-live</t>
  </si>
  <si>
    <t>Curves and kinematics: Relationship between the force‐time curve and landing ability.</t>
  </si>
  <si>
    <r>
      <rPr>
        <sz val="11"/>
        <color rgb="FFFF0000"/>
        <rFont val="Calibri"/>
        <family val="2"/>
        <scheme val="minor"/>
      </rPr>
      <t>Mifsud, Brayden</t>
    </r>
    <r>
      <rPr>
        <sz val="11"/>
        <color theme="1"/>
        <rFont val="Calibri"/>
        <family val="2"/>
        <scheme val="minor"/>
      </rPr>
      <t>; Stephens, Jessica M.; Warmenhoven, John; Ball, Nick</t>
    </r>
  </si>
  <si>
    <t>Scandinavian Journal of Medicine &amp; Science in Sports</t>
  </si>
  <si>
    <t>09057188</t>
  </si>
  <si>
    <t>Apr2023</t>
  </si>
  <si>
    <t>Wiley-Blackwell</t>
  </si>
  <si>
    <t>INJURY risk factors; COLLEGE athletes; SPORTS injuries; MEDICAL screening; ANTERIOR cruciate ligament injuries; QUALITY of life; ATHLETIC ability; JUMPING; KINEMATICS; TIME; RISK assessment; QUALITATIVE research; COMPARATIVE studies; PSYCHOSOCIAL factors; FACTOR analysis; RESEARCH funding; GROUND reaction forces (Biomechanics)</t>
  </si>
  <si>
    <t>Anterior cruciate ligament (ACL) injuries have a significant impact on athletic performance and long‐term quality of life. Force plates and qualitative screening tools are feasible and effective screening methods to identify abnormal movement quality associated with increased injury risk. Comparing qualitative assessments of landing ability with force‐time curves, may detect unique differences between safe and high‐risk athletic movement patterns. The aim of this study was to determine low‐ and high‐risk landing ability from qualitive landing assessments and to examine the resulting force‐time curves using functional principal component analysis (fPCA). Thirty‐one healthy academy athletes (10 males and 21 females) completed double‐ and single‐leg dominant and non‐dominant jump‐landing‐rebound tasks. All movements were filmed in multiple‐planes, and vertical ground reaction forces (vGRF) were simultaneously collected. The Landing Error Scoring System (LESS) and Single‐Leg Landing Error Scoring System (SL‐LESS) were used to score landing footage. From these scores, athletes were categorized into low‐risk and high‐risk groups for further analysis. fPCA was used to examine differences between landing quality groups force‐time curves. Compared to high‐risk landers, low‐risk landers demonstrated significantly longer contact times across all movements. Scores from fPC1 revealed safe and high‐risk landing techniques expose athletes to significantly different loading patterns during double‐ and single‐leg dominant movements. A significant positive relationship was observed between fPC1 and LESS scores, however this relationship was not observed in both single‐leg landing scores. Where possible incorporating curve analysis methods like fPCA into multi‐faceted screening approaches may help practitioners uncover unique insights into athletic loading strategies. ABSTRACT FROM AUTHOR</t>
  </si>
  <si>
    <t>https://search.ebscohost.com/login.aspx?direct=true&amp;db=s3h&amp;AN=162397169&amp;site=ehost-live</t>
  </si>
  <si>
    <t>Do Sports Compression Garments Alter Measures of Peripheral Blood Flow? A Systematic Review with Meta-Analysis.</t>
  </si>
  <si>
    <t>O'Riordan, Shane F.; Bishop, David J.; Halson, Shona L.; Broatch, James R.</t>
  </si>
  <si>
    <t>Sports Medicine</t>
  </si>
  <si>
    <t>01121642</t>
  </si>
  <si>
    <t>Feb2023</t>
  </si>
  <si>
    <t>Springer Nature</t>
  </si>
  <si>
    <t>SPORTSWEAR; PHYSICAL therapy; SPORTS; MEDLINE; ONLINE information services; MEDICAL databases; META-analysis; CONFIDENCE intervals; SYSTEMATIC reviews; COMPRESSION garments; PERIPHERAL circulation; DESCRIPTIVE statistics; INFORMATION storage &amp; retrieval systems</t>
  </si>
  <si>
    <t>Background: One of the proposed mechanisms underlying the benefits of sports compression garments may be alterations in peripheral blood flow. Objective: We aimed to determine if sports compression garments alter measures of peripheral blood flow at rest, as well as during, immediately after and in recovery from a physiological challenge (i.e. exercise or an orthostatic challenge). Methods: We conducted a systematic literature search of databases including Scopus, SPORTDiscus and PubMed/MEDLINE. The criteria for inclusion of studies were: (1) original papers in English and a peer-reviewed journal; (2) assessed effect of compression garments on a measure of peripheral blood flow at rest and/or before, during or after a physiological challenge; (3) participants were healthy and without cardiovascular or metabolic disorders; and (4) a study population including athletes and physically active or healthy participants. The PEDro scale was used to assess the methodological quality of the included studies. A random-effects meta-analysis model was used. Changes in blood flow were quantified by standardised mean difference (SMD) [± 95% confidence interval (CI)]. Results: Of the 899 articles identified, 22 studies were included for the meta-analysis. The results indicated sports compression garments improve overall peripheral blood flow (SMD = 0.32, 95% CI 0.13, 0.51, p = 0.001), venous blood flow (SMD = 0.37, 95% CI 0.14, 0.60, p = 0.002) and arterial blood flow (SMD = 0.30, 95% CI 0.01, 0.59, p = 0.04). At rest, sports compression garments did not improve peripheral blood flow (SMD = 0.18, 95% CI − 0.02, 0.39, p = 0.08). However, subgroup analyses revealed sports compression garments enhance venous (SMD = 0.31 95% CI 0.02, 0.60, p = 0.03), but not arterial (SMD = 0.12, 95% CI − 0.16, 0.40, p = 0.16), blood flow. During a physiological challenge, peripheral blood flow was improved (SMD = 0.44, 95% CI 0.19, 0.69, p = 0.0007), with subgroup analyses revealing sports compression garments enhance venous (SMD = 0.48, 95% CI 0.11, 0.85, p = 0.01) and arterial blood flow (SMD = 0.44, 95% CI 0.03, 0.86, p = 0.04). At immediately after a physiological challenge, there were no changes in peripheral blood flow (SMD = − 0.04, 95% CI − 0.43, 0.34, p = 0.82) or subgroup analyses of venous (SMD = − 0.41, 95% CI − 1.32, 0.47, p = 0.35) and arterial (SMD = 0.12, 95% CI − 0.26, 0.51, p = 0.53) blood flow. In recovery, sports compression garments did not improve peripheral blood flow (SMD = 0.25, 95% CI − 0.45, 0.95, p = 0.49). The subgroup analyses showed enhanced venous (SMD = 0.67, 95% CI 0.17, 1.17, p = 0.009), but not arterial blood flow (SMD = 0.02, 95% CI − 1.06, 1.09, p = 0.98). Conclusions: Use of sports compression garments enhances venous blood flow at rest, during and in recovery from, but not immediately after, a physiological challenge. Compression-induced changes in arterial blood flow were only evident during a physiological challenge. ABSTRACT FROM AUTHOR</t>
  </si>
  <si>
    <t>https://search.ebscohost.com/login.aspx?direct=true&amp;db=s3h&amp;AN=161516786&amp;site=ehost-live</t>
  </si>
  <si>
    <t>Effect of menstrual cycle and contraceptive pill phase on aspects of exercise physiology and athletic performance in female athletes: protocol for the Feminae international multisite innovative project.</t>
  </si>
  <si>
    <t>Elliott Sale KJ; Flood TR; Arent SM; Dolan E; Saunders B; Hansen M; Ihalainen JK; Mikkonen RS; Minahan C; Thornton JS; Ackerman KE; Lebrun CM; Sale C; Stellingwerff T; Swinton PA; Hackney AC</t>
  </si>
  <si>
    <t>2023 Nov 24</t>
  </si>
  <si>
    <t>e001814</t>
  </si>
  <si>
    <t>10.1136/bmjsem-2023-001814</t>
  </si>
  <si>
    <t>The idiom 'more high-quality research is needed ' has become the slogan for sport and exercise physiology-based research in female athletes. However, in most instances, it is challenging to address this gap of high-quality research in elite female athletes at a single study site due to challenges in recruiting enough participants with numerous menstrual cycle and contraceptive pill permutations. Accordingly, we have assembled an international multisite team to undertake an innovative project for female athletes, which investigates the effects of changes in endogenous and exogenous oestrogen and progesterone/progestins across the menstrual cycle and in response to second-generation combined monophasic contraceptive pill use, on aspects of exercise physiology and athletic performance. This project will employ the current gold-standard methodologies in this area, resulting in an adequately powered dataset. This protocol paper describes the consortium-based approach we will undertake during this study. Competing Interests: Competing interests: KJE-S has received funding/honoraria from Arsenal Football Club, The UK Sports Institute, the European Club Association, Gatorade Sport Science Institute, Hologic, Science in Sport, and the UK Ministry of Defence to support female athletes. None of these funds have direct competing interests with the Feminae project. TRF has no competing or conflicts of interest. SMA has received funding from the US Department of Defence, United States Marine Corps, the Board of Medicine, and various industry sources to support research on athletic females. None of these funds have direct competing interests with the Feminae project. ED is supported by a research grant from the Fundação de Amparo à Pesquisa do Estado de São Paulo (FAPESP: 2019/05616-6 and 2019/26899-6) for a project unrelated to this one. She has no competing interests or conflicts to declare. BS is supported by a research grant from the São Paulo Research Foundation (Fundação de Amparo à Pesquisa do Estado de São Paulo, FAPESP: 2021/06836-0) for a project unrelated to this one. None of these funds have direct competing interests with the Feminae project. MH has no competing or conflicts of interest. JI has no competing or conflicts of interest. RM has no competing or conflicts of interest. CM has received funding from the Australian Institute of Sport, the Queensland Academy of Sport, and an industry partner (cannot be named here) to conduct research on female athletes. None of these grants have direct competing interests with the Feminae project. JST is a Canada Research Chair funded by the Canadian Institutes of Health Research. This funding does not have a direct competing interest with the Feminae project. KEA has received funding/honoraria from the Wu Tsai Human Performance Alliance, Gatorade Sport Science Institute, Hologic, UptoDate, and the United States Olympic and Paralympic Committee. This funding does not have a direct competing interest with the Feminae project. CML has no competing or conflicts of interest. CS has received funding from the UK Ministry of Defence to conduct research on female military personnel. This funding does not have direct competing interests with the Feminae project. TS has received funding/honoraria from the Wu Tsai Human Performance Alliance, Ineos, Science in Sport (Sis) Own The Podium, Gatorade Sport Science Institute and Lululemon Athletica to support research, including projects on female participants. None of these grants have a direct competing interest with the Feminae project. PS has no competing or conflicts of interest. ACH has no competing or conflicts of interest. © Author(s) (or their employer(s)) 2023. Re-use permitted under CC BY-NC. No commercial re-use. See rights and permissions. Published by BMJ.</t>
  </si>
  <si>
    <t>https://search.ebscohost.com/login.aspx?direct=true&amp;db=mdc&amp;AN=38022756&amp;site=ehost-live</t>
  </si>
  <si>
    <t>Evaluation of the intra- and inter-reliability of injury classification in Australian rugby union using video analysis.</t>
  </si>
  <si>
    <r>
      <t xml:space="preserve">Rubio del Castillo, E.; Nimphius, S.; </t>
    </r>
    <r>
      <rPr>
        <sz val="11"/>
        <color rgb="FF00B050"/>
        <rFont val="Calibri"/>
        <family val="2"/>
        <scheme val="minor"/>
      </rPr>
      <t>Toohey, L</t>
    </r>
    <r>
      <rPr>
        <sz val="11"/>
        <color theme="1"/>
        <rFont val="Calibri"/>
        <family val="2"/>
        <scheme val="minor"/>
      </rPr>
      <t>.; Fortington, L.</t>
    </r>
  </si>
  <si>
    <t>S131</t>
  </si>
  <si>
    <t>RUGBY Union football; PHYSICAL fitness; SPORTS medicine; BIOMECHANICS; PHYSICAL activity; AUSTRALIA</t>
  </si>
  <si>
    <t>https://search.ebscohost.com/login.aspx?direct=true&amp;db=s3h&amp;AN=172868496&amp;site=ehost-live</t>
  </si>
  <si>
    <t>Exercise in bushfire smoke for high performance athletes: A Position Statement from the Australian Institute of SportEndorsed by Australasian College of Sport and Exercise Physicians (ACSEP) and Sport Medicine Australia (SMA).</t>
  </si>
  <si>
    <t>Mooney, Mathew; Panagodage Perera, Nirmala Kanthi; Saw, Richard; Waddington, Gordon; Cross, Troy J.; Hughes, David</t>
  </si>
  <si>
    <t>EXERCISE physiology; SPORTS medicine; WILDFIRES; PHYSIOLOGICAL effects of smoke; AIR quality; AUSTRALIAN Institute of Sport; HEALTH impact assessment</t>
  </si>
  <si>
    <t>The frequency of bushfires in Australia is increasing and it is expected bushfire smoke will become a more prevalent phenomenon impacting air quality. The objective of this position statement is to provide guidance to the sport sector regarding exercise in air affected by bushfire smoke. This is position statement from the Australian Institute of Sport, based on a narrative review of the literature regarding bushfire smoke and its effects on health and exercise performance. A narrative review of scientific publications regarding the effects of bushfire smoke on health and exercise performance. Bushfire smoke has negative impacts on health and performance. Athletes exercising at high intensity over a prolonged duration will increase their exposure to air pollutants. Athletes with a history of elevated airway responsiveness are likely to be at increased risk of an adverse response to bushfire smoke exposure. Athletes, coaches, support staff and sport organisations should monitor air quality (PM2.5 concentration) and make appropriate adjustments to training duration and intensity. ABSTRACT FROM AUTHOR</t>
  </si>
  <si>
    <t>https://search.ebscohost.com/login.aspx?direct=true&amp;db=s3h&amp;AN=162104402&amp;site=ehost-live</t>
  </si>
  <si>
    <t>Female Athlete Representation and Dietary Control Methods Among Studies Assessing Chronic Carbohydrate Approaches to Support Training.</t>
  </si>
  <si>
    <t>Kuikman, Megan A.; McKay, Alannah K.A.; Smith, Ella S.; Ackerman, Kathryn E.; Harris, Rachel; Elliott-Sale, Kirsty J.; Stellingwerff, Trent; Burke, Louise M.</t>
  </si>
  <si>
    <t>International Journal of Sport Nutrition &amp; Exercise Metabolism</t>
  </si>
  <si>
    <t>1526484X</t>
  </si>
  <si>
    <t>Jul2023</t>
  </si>
  <si>
    <t>Human Kinetics Publishers, Inc.</t>
  </si>
  <si>
    <t>FOOD consumption; DIET; PHYSICAL training &amp; conditioning; MENSTRUATION; SEX hormones; DIETARY carbohydrates; ATHLETIC ability; AUDITING; MEDICAL protocols; DESCRIPTIVE statistics; RESEARCH funding</t>
  </si>
  <si>
    <t>The aim of this audit was to assess the representation of female athletes, dietary control methods, and gold standard female methodology that underpins the current guidelines for chronic carbohydrate (CHO) intake strategies for athlete daily training diets. Using a standardized audit, 281 studies were identified that examined high versus moderate CHO, periodized CHO availability, and/or low CHO, high fat diets. There were 3,735 total participants across these studies with only ∼16% of participants being women. Few studies utilized a design that specifically considered females, with only 16 studies (∼6%) including a female-only cohort and six studies (∼2%) with a sex-based comparison in their statistical procedure, in comparison to the 217 studies (∼77%) including a male-only cohort. Most studies (∼72%) did not provide sufficient information to define the menstrual status of participants, and of the 18 studies that did, optimal methodology for control of ovarian hormones was only noted in one study. While ∼40% of male-only studies provided all food and beverages to participants, only ∼20% of studies with a female-specific design used this approach for dietary control. Most studies did not implement strategies to ensure compliance to dietary interventions and/or control energy intake during dietary interventions. The literature that has contributed to the current guidelines for daily CHO intake is lacking in research that is specific to, or adequately addresses, the female athlete. Redressing this imbalance is of high priority to ensure that the female athlete receives evidence-based recommendations that consider her specific needs. ABSTRACT FROM AUTHOR</t>
  </si>
  <si>
    <t>https://search.ebscohost.com/login.aspx?direct=true&amp;db=s3h&amp;AN=164494465&amp;site=ehost-live</t>
  </si>
  <si>
    <t>Field- and Laboratory-derived Power-Cadence Profiles in World-Class and Elite Track Sprint Cyclists.</t>
  </si>
  <si>
    <r>
      <t xml:space="preserve">Wackwitz, Thomas; </t>
    </r>
    <r>
      <rPr>
        <sz val="11"/>
        <color rgb="FF00B050"/>
        <rFont val="Calibri"/>
        <family val="2"/>
        <scheme val="minor"/>
      </rPr>
      <t>Minahan, Clare</t>
    </r>
    <r>
      <rPr>
        <sz val="11"/>
        <color theme="1"/>
        <rFont val="Calibri"/>
        <family val="2"/>
        <scheme val="minor"/>
      </rPr>
      <t>; Menaspà, Paolo; Crampton, Matthew; Bellinger, Phillip</t>
    </r>
  </si>
  <si>
    <t>Journal of Sports Sciences</t>
  </si>
  <si>
    <t>02640414</t>
  </si>
  <si>
    <t>September 2023</t>
  </si>
  <si>
    <t>EXERCISE tests; TORQUE; STANDING position; CYCLING; SITTING position; ATHLETIC ability; BIOMECHANICS; SPRINTING; LABORATORIES; GOODNESS-of-fit tests; RESEARCH funding; JUDGMENT sampling; POWER (Social sciences)</t>
  </si>
  <si>
    <t>Previous investigations comparing Torque-Cadence (T-C) and Power-Cadence (P-C) profiles derived from seated and standing positions and field and laboratory conditions are not congruent with current methodological recommendations. Consequently, the aim of this investigation was to compare seated and standing T-C and P-C profiles generated from field and laboratory testing. Thirteen world-class and elite track sprint cyclists (n = 7 males, maximal power output (Pmax) = 2112 ± 395 W; n = 6 females, Pmax = 1223 ± 102 W) completed two testing sessions in which field- and laboratory-derived T-C and P-C profiles were identified. Standing P-C profiles had significantly (p &lt; 0.05) greater Pmax than seated profiles, however there were no significant differences in optimal cadence (Fopt) between seated and standing positions. Pmax and Fopt were significantly lower in field-derived profiles in both positions compared to laboratory-derived profiles. However, there was no significant difference in the goodness-of-fit (R2) of the P-C profiles between laboratory (0.985 ± 0.02) and field-testing (0.982 ± 0.02) in each position. Valid T-C and P-C profiles can be constructed from field and laboratory protocols; however, the mechanical variables derived from the seated and standing and field and laboratory profiles cannot be used interchangeably. Both field and laboratory-derived profiles provide meaningful information and provide complementary insights into cyclists' capacity to produce power output. ABSTRACT FROM AUTHOR</t>
  </si>
  <si>
    <t>https://search.ebscohost.com/login.aspx?direct=true&amp;db=s3h&amp;AN=174389635&amp;site=ehost-live</t>
  </si>
  <si>
    <t>Fueling the Female Athlete: Auditing Her Representation in Studies of Acute Carbohydrate Intake for Exercise.</t>
  </si>
  <si>
    <t>KUIKMAN, MEGAN A.; SMITH, ELLA S.; MCKAY, ALANNAH K. A.; ACKERMAN, KATHRYN E.; HARRIS, RACHEL; ELLIOTT-SALE, KIRSTY J.; STELLINGWERFF, TRENT; BURKE, LOUISE M.</t>
  </si>
  <si>
    <t>Medicine &amp; Science in Sports &amp; Exercise</t>
  </si>
  <si>
    <t>01959131</t>
  </si>
  <si>
    <t>Mar2023</t>
  </si>
  <si>
    <t>OVARIES; FOOD consumption; MENSTRUAL cycle; NUTRITION; EXERCISE physiology; PHYSICAL activity; SEX hormones; ORAL contraceptives; DIETARY carbohydrates; ATHLETIC ability; AUDITING; HUMAN research subjects; PATIENT selection; MEDICAL protocols; MEDICAL research</t>
  </si>
  <si>
    <t>Purpose: The aim of this audit was to assess the representation of female athletes within the literature that has led to current guidelines for carbohydrate (CHO) intake in the acute periods surrounding exercise and the quality of this research. Methods: We conducted a standardized audit of research assessing CHO loading protocols, CHO mouth rinse, and CHO intake before, during, and after exercise. Results: A total of 937 studies were identified in this audit. There were a total of 11,202 participants across these studies, with only ~11% being women. Most studies involved male-only cohorts (~79%), with a mere 38 studies (~4%) involving female-only cohorts and 14 studies (~2%) including a methodological design for comparison of sex-based responses. The frequent use of incorrect terminology surrounding menstrual status and the failure of most studies (~69%) to provide sufficient information on the menstrual status of participants suggests incomplete understanding and concern for female-specific considerations among researchers. Of the 197 studies that included women, only 13 (~7%) provided evidence of acceptable methodological control of ovarian hormones, and no study met all best-practice recommendations. Of these 13 studies, only half also provided sufficient information regarding the athletic caliber of participants. The topics that received such scrutiny were CHO loading protocols and CHO intake during exercise. Conclusions: The literature that underpins the current guidelines for CHO intake in the acute periods around exercise is lacking in high-quality research that can contribute knowledge specific to the female athlete and sex-based differences. New research that considers ovarian hormones and sex-based differences is needed to ensure that the recommendations for acute CHO fueling provided to female athletes are evidence based. ABSTRACT FROM AUTHOR</t>
  </si>
  <si>
    <t>https://search.ebscohost.com/login.aspx?direct=true&amp;db=s3h&amp;AN=161868932&amp;site=ehost-live</t>
  </si>
  <si>
    <t>2023 Nov 11</t>
  </si>
  <si>
    <t>Gender and system-level differences in stakeholders' perceptions of health and performance factors in athlete attrition.</t>
  </si>
  <si>
    <t>Guevara, S.A.; Donaldson, A.; Keegan, R.J.; Appaneal, R.N.; Mara, J.K.; Smyth, E.A.; Waddington, G.; Mahony, K.; Drew, M.K.</t>
  </si>
  <si>
    <t>S155</t>
  </si>
  <si>
    <t>PHYSICAL activity; PHYSICAL fitness; STAKEHOLDERS; HEALTH outcome assessment; GENDER differences (Psychology)</t>
  </si>
  <si>
    <t>https://search.ebscohost.com/login.aspx?direct=true&amp;db=s3h&amp;AN=172868536&amp;site=ehost-live</t>
  </si>
  <si>
    <t>Global Alliance for the Promotion of Physical Activity: the Hamburg Declaration.</t>
  </si>
  <si>
    <t>Steinacker JM; van Mechelen W; Bloch W; Börjesson M; Casasco M; Wolfarth B; Knoke C; Papadopoulou T; Wendt J; Al Tunaiji H; Andresen D; Andrieieva O; Bachl N; Badtieva V; Beucher FJ; Blauwet CA; Casajus Mallen JA; Chang JH; Clénin G; Constantini N; Constantinou D; Di Luigi L; Declercq L; Doutreleau S; Drozdovska S; Duclos M; Ermolao A; Fischbach T; Fischer AN; Fossati C; Franchella J; Fulcher M; Galle JC; Gerloff C; Georgiades E; Gojanovic B; González Gross M; Grote A; Halle M; Hauner H; Herring MP; Hiura M; Holze K; Huber G; Hughes D; Hutchinson MR; Ionescu A; Janse van Rensburg DC; Jegier A; Jones N; Kappert-Gonther K; Kellerer M; Kimura Y; Kiopa A; Kladny B; Koch G; Kolle E; Kolt G; Koutedakis Y; Kress S; Kriemler S; Kröger J; Kuhn C; Laszlo R; Lehnert R; Lhuissier FJ; Lüdtke K; Makita S; Manonelles Marqueta P; März W; Micallef-Stafrace K; Miller M; Moore M; Müller E; Neunhäuserer D; Onur IR; Ööpik V; Perl M; Philippou A; Predel HG; Racinais S; Raslanas A; Reer R; Reinhardt K; Reinsberger C; Rozenstoka S; Sallis R; Sardinha LB; Scherer M; Schipperijn J; Seil R; Tan B; Schmidt-Trucksäss A; Schumacher N; Schwaab B; Schwirtz A; Suzuki M; Swart J; Tiesler R; Tippelt U; Tillet E; Thornton J; Ulkar B; Unt E; Verhagen E; Weikert T; Vettor R; Zeng S; Budgett R; Engebretsen L; Erdener U; Pigozzi F; Pitsiladis YP</t>
  </si>
  <si>
    <t>2023 Jul 27</t>
  </si>
  <si>
    <t>e001626</t>
  </si>
  <si>
    <t>10.1136/bmjsem-2023-001626</t>
  </si>
  <si>
    <t>Non-communicable diseases (NCDs), including coronary heart disease, stroke, hypertension, type 2 diabetes, dementia, depression and cancers, are on the rise worldwide and are often associated with a lack of physical activity (PA). Globally, the levels of PA among individuals are below WHO recommendations. A lack of PA can increase morbidity and mortality, worsen the quality of life and increase the economic burden on individuals and society. In response to this trend, numerous organisations came together under one umbrella in Hamburg, Germany, in April 2021 and signed the 'Hamburg Declaration'. This represented an international commitment to take all necessary actions to increase PA and improve the health of individuals to entire communities. Individuals and organisations are working together as the 'Global Alliance for the Promotion of Physical Activity' to drive long-term individual and population-wide behaviour change by collaborating with all stakeholders in the community: active hospitals, physical activity specialists, community services and healthcare providers, all achieving sustainable health goals for their patients/clients. The 'Hamburg Declaration' calls on national and international policymakers to take concrete action to promote daily PA and exercise at a population level and in healthcare settings. Competing Interests: Competing interests: EV is Editor in Chief of BMJ Open Sports &amp; Exercise Medicine. © Author(s) (or their employer(s)) 2023. Re-use permitted under CC BY-NC. No commercial re-use. See rights and permissions. Published by BMJ.</t>
  </si>
  <si>
    <t>https://search.ebscohost.com/login.aspx?direct=true&amp;db=mdc&amp;AN=37533594&amp;site=ehost-live</t>
  </si>
  <si>
    <t>Hamstring musculotendon mechanics of prospectively injured elite rugby athletes.</t>
  </si>
  <si>
    <r>
      <rPr>
        <sz val="11"/>
        <color rgb="FF00B050"/>
        <rFont val="Calibri"/>
        <family val="2"/>
        <scheme val="minor"/>
      </rPr>
      <t>Kenneally-Dabrowski C</t>
    </r>
    <r>
      <rPr>
        <sz val="11"/>
        <color theme="1"/>
        <rFont val="Calibri"/>
        <family val="2"/>
        <scheme val="minor"/>
      </rPr>
      <t>; Brown NAT; Serpell BG; Perriman D; Spratford W; Sutherland A; Pickering M; Lai AKM</t>
    </r>
  </si>
  <si>
    <t>Research in sports medicine (Print)</t>
  </si>
  <si>
    <t>1543-8635</t>
  </si>
  <si>
    <t>2023 Mar 16</t>
  </si>
  <si>
    <t>10.1080/15438627.2023.2189115</t>
  </si>
  <si>
    <t>Taylor &amp; Francis</t>
  </si>
  <si>
    <t>The musculotendon mechanics of the hamstrings during high-speed running are thought to relate to injury but have rarely been examined in the context of prospectively occurring injury. This prospective study describes the hamstring musculotendon mechanics of two elite rugby players who sustained hamstring injuries during on-field running. Athletes undertook biomechanical analyses of high-speed running during a Super Rugby pre-season, prior to sustaining hamstring injuries during the subsequent competition season. The biceps femoris long head muscle experienced the greatest strain of all hamstring muscles during the late swing phase. When expressed relative to force capacity, biceps femoris long head also experienced the greatest musculotendon forces of all hamstring muscles. Musculotendon strain and force may both be key mechanisms for hamstring injury during the late swing phase of running.</t>
  </si>
  <si>
    <t>https://search.ebscohost.com/login.aspx?direct=true&amp;db=mdc&amp;AN=36927240&amp;site=ehost-live</t>
  </si>
  <si>
    <t>Health Systems in High-Performance Sport: Key Functions to Protect Health and Optimize Performance in Elite Athletes.</t>
  </si>
  <si>
    <r>
      <t xml:space="preserve">Drew, Michael K.; </t>
    </r>
    <r>
      <rPr>
        <sz val="11"/>
        <color rgb="FF00B050"/>
        <rFont val="Calibri"/>
        <family val="2"/>
        <scheme val="minor"/>
      </rPr>
      <t>Toohey, Liam A</t>
    </r>
    <r>
      <rPr>
        <sz val="11"/>
        <color theme="1"/>
        <rFont val="Calibri"/>
        <family val="2"/>
        <scheme val="minor"/>
      </rPr>
      <t>.; Smith, Miriam; Baugh, Christine M.; Carter, Hannah; McPhail, Steven M.; Jacobsson, Jenny; Timpka, Toomas; Appaneal, Renee</t>
    </r>
  </si>
  <si>
    <t>SPORTS injury prevention; SPORTS injuries treatment; SPORTS sciences; ATHLETIC associations; MEDICAL care; FUNDRAISING; HEALTH insurance; ATHLETIC ability; SPORTS medicine; HEALTH promotion; AUSTRALIA; MANAGEMENT of medical records; ORGANIZATIONAL goals; VALUE-based healthcare; QUALITY assurance; ENDOWMENTS</t>
  </si>
  <si>
    <t>Enabling athletes to achieve peak performances while also maintaining high levels of health is contextually complex. We aim to describe what a 'health system' is and apply the essential functions of stewardship, financing, provision of services and resource generation to an Australian high-performance sport context. We introduce a fifth function that health systems should not detract from athletes' ability to achieve their sports goals. We describe how these functions aim to achieve four overall outcomes of safeguarding the health of the athletes, responding to expectations, providing financial and social protection against the costs of ill health, and efficient use of resources. Lastly, we conclude with key challenges and potential solutions for developing an integrated health system within the overall performance system in high-performance sport. ABSTRACT FROM AUTHOR</t>
  </si>
  <si>
    <t>https://search.ebscohost.com/login.aspx?direct=true&amp;db=s3h&amp;AN=165044798&amp;site=ehost-live</t>
  </si>
  <si>
    <t>Influence of the Thermal Environment on Work Rate and Physiological Strain during a UCI World Tour Multistage Cycling Race.</t>
  </si>
  <si>
    <r>
      <t xml:space="preserve">PÉRIARD, JULIEN D.; WILSON, MATHEW G.; TEBECK, SAMUEL T.; </t>
    </r>
    <r>
      <rPr>
        <sz val="11"/>
        <color rgb="FF00B050"/>
        <rFont val="Calibri"/>
        <family val="2"/>
        <scheme val="minor"/>
      </rPr>
      <t>GILMORE, JAMES</t>
    </r>
    <r>
      <rPr>
        <sz val="11"/>
        <color theme="1"/>
        <rFont val="Calibri"/>
        <family val="2"/>
        <scheme val="minor"/>
      </rPr>
      <t xml:space="preserve"> B.; STANLEY, JAMIE; GIRARD, OLIVIER</t>
    </r>
  </si>
  <si>
    <t>HEAT; PHYSIOLOGICAL stress; GASTROINTESTINAL system; TEMPERATURE; PHYSIOLOGICAL effects of heat; HUMIDITY; CYCLING; EXERCISE intensity; HEART beat; SPORTS events; HEALTH policy</t>
  </si>
  <si>
    <t>Purpose: This study aimed to characterize the thermal and cardiovascular strain of professional cyclists during the 2019 Tour Down Under and determine the associations between thermal indices and power output, and physiological strain. Methods: Gastrointestinal temperature (T gi), heart rate (HR), and power output were recorded during the six stages (129–151.5 km) of the Tour Down Under in ≤22 male participants. Thermal indices included dry-bulb, black-globe, wet-bulb, and wet-bulb-globe (WBGT) temperature; relative humidity (RH), Heat Index; Humidex; and universal thermal climate index. The heat stress index (HSI), which reflects human heat strain, was also calculated. Results: Dry-bulb temperature was 23°C–37°C, and RH was 18%–72% (WBGT: 21°C–29°C). Mean T gi was 38.2°C–38.5°C, and mean peak T gi was 38.9°C–39.4°C, both highest values recorded during stage 3 (WBGT: 27°C). Peak individual T gi was ≥40.0°C in three stages and ≥39.5°C in 14%–33% of cyclists in five stages. Mean HR was 131–147 bpm (68%–77% of peak), with the highest mean recorded in stage 3 (P ≤ 0.005). Mean power output was 180–249 W, with the highest mean recorded during stage 4 (P &lt; 0.001; 21°C WBGT). The thermal indices most strongly correlated with power output were black-globe temperature (r = −0.778), RH (r = 0.768), universal thermal climate index (r = −0.762), and WBGT (r = −0.745; all P &lt; 0.001). Mean T gi was correlated with wet-bulb temperature (r = 0.495), HSI (r = 0.464), and Humidex (r = 0.314; all P &lt; 0.05), whereas mean HR was most strongly correlated with HSI (r = 0.720), along with T gi (r = 0.599) and power output (r = 0.539; all P &lt; 0.05). Conclusions: Peak T gi reached 40.0°C in some cyclists, although most remained &lt;39.5°C with an HR of ~73% of peak. Power output was correlated with several thermal indices, primarily influenced by temperature, whereas T gi and HR were associated with the HSI, which has potential for sport-specific heat policy development. ABSTRACT FROM AUTHOR</t>
  </si>
  <si>
    <t>https://search.ebscohost.com/login.aspx?direct=true&amp;db=s3h&amp;AN=160788147&amp;site=ehost-live</t>
  </si>
  <si>
    <r>
      <t xml:space="preserve">Guevara SA; Crunkhorn ML; Drew M; Waddington G; Périard JD; Etxebarria N; </t>
    </r>
    <r>
      <rPr>
        <sz val="11"/>
        <color rgb="FF00B050"/>
        <rFont val="Calibri"/>
        <family val="2"/>
        <scheme val="minor"/>
      </rPr>
      <t>Toohey LA; Charlton P</t>
    </r>
  </si>
  <si>
    <t>2023 Mar 08</t>
  </si>
  <si>
    <t>Background: Determining the incidence and prevalence of injury and illness in short-course triathletes would improve understanding of their etiologies and therefore assist in the development and implementation of prevention strategies. This study synthesizes the existing evidence on the incidence and/or prevalence of injury and illness and summarizes reported injury or illness etiology and risk factors affecting short-course triathletes. Methods: This review followed the Preferred Reporting Items for Systematic Reviews and Meta-Analyses guidelines. Studies reporting health problems (injury and illness) in triathletes (all sexes, ages, and experience levels) training and/or competing in short-course distances were included. Six electronic databases (Cochrane Central Register of Controlled Trials, MEDLINE, Embase, APA PsychINFO, Web of Science Core Collection, and SPORTDiscus) were searched. Risk of bias was independently assessed by 2 reviewers using the Newcastle-Ottawa Quality Assessment Scale. Two authors independently completed data extraction. Results: The search yielded 7998 studies, with 42 studies eligible for inclusion. Twenty-three studies investigated injury, 24 studies investigated illnesses, and 4 studies investigated both injuries and illnesses. The injury incidence rate was 15.7-24.3 per 1000 athlete exposures, and the illness incidence rate was 1.8-13.1 per 1000 athlete days. Injury and illness prevalence ranged between 2% and 15% and 6% and 84%, respectively. Most injuries reported occurred during running (45%-92%), and the most frequently reported illnesses affected the gastrointestinal (7%-70%), cardiovascular (14%-59%), and respiratory systems (5%-60%). Conclusion: The most frequently reported health problems in short-course triathletes were: overuse, lower limb injuries associated with running; gastrointestinal illnesses and altered cardiac function, primarily attributable to environmental factors; and respiratory illness mostly caused by infection. Copyright © 2023. Production and hosting by Elsevier B.V.</t>
  </si>
  <si>
    <t>Management of lumbar bone stress injury in cricket fast bowlers and other athletes.</t>
  </si>
  <si>
    <r>
      <t xml:space="preserve">Orchard JW; </t>
    </r>
    <r>
      <rPr>
        <sz val="11"/>
        <color rgb="FF00B050"/>
        <rFont val="Calibri"/>
        <family val="2"/>
        <scheme val="minor"/>
      </rPr>
      <t>Saw R</t>
    </r>
    <r>
      <rPr>
        <sz val="11"/>
        <color theme="1"/>
        <rFont val="Calibri"/>
        <family val="2"/>
        <scheme val="minor"/>
      </rPr>
      <t>; Kountouris A; Redrup D; Farhart P; Sims K</t>
    </r>
  </si>
  <si>
    <t>South African journal of sports medicine</t>
  </si>
  <si>
    <t>2078-516X</t>
  </si>
  <si>
    <t>2023 Jun 05</t>
  </si>
  <si>
    <t>v35i1a15172</t>
  </si>
  <si>
    <t>10.17159/2078-516X/2023/v35i1a15172</t>
  </si>
  <si>
    <t>SA Medical Association, Health and Medical Pub. Group</t>
  </si>
  <si>
    <t>Background: Recent guidelines (including a special series in The Lancet ) have emphasised a minimal role for imaging when assessing low back pain in adults, as the majority of patients will have non-specific findings on imaging that do not correlate well with pain. Objective: To assess whether the diagnosis of lumbar bone stress injuries in young athletes should be considered an exception to the recommendation to avoid imaging for low back pain in adults. Method: Narrative review. Results: Early lumbar bone stress injury diagnosis has been available via traditional MRI sequences (and its precursor Single Photon Emission Computed Tomography (SPECT)) for 25-30 years. MRI assessments using bone window sequences (such as Volumetric Interpolated Breath-hold Examination (VIBE)) have allowed a better understanding of the diagnosis and prognosis of lumbar bone stress injury in young athletes. MRI with bone sequences has allowed non-radiating scans to serially follow the healing of unilateral stress fractures. In the majority of cases, non-chronic unilateral fractures can heal; however, this takes three-six months rather than the six-ten weeks that would be the typical unloading period if using symptoms (only) as a guide. The use of MRI to provide evidence of bony healing (as opposed to fibrous union, which creates the pars defect that predisposes to further bone stress lesions) can lead to better long-term outcomes in athletes. There is evidence to flag this as a structural lesion which is both painful and, more importantly, can heal/resolve if managed correctly. Therefore it represents an important 'specific' diagnostic subset within adult low back pain. Conclusion: Structural (rather than functional) management of bone stress injuries in high-demand athletes, such as cricket pace bowlers, is in contrast to the recommendation of functional management for general back pain in adults. Structural management is justified when there are demonstrable superior outcomes of having better structure. Although this has not yet been shown in randomised trials of elite athletes, apparent lengthier Test cricket careers of pace bowlers who do not have pars defects suggest better athletic outcomes if bony healing is achieved. For lower demand young adults, or athletes with established bilateral pars defects, functional management may be more pragmatic. Competing Interests: Conflict of interest and source of funding: The authors declare no conflict of interest and no source of funding.</t>
  </si>
  <si>
    <t>https://search.ebscohost.com/login.aspx?direct=true&amp;db=mdc&amp;AN=38249766&amp;site=ehost-live</t>
  </si>
  <si>
    <t>Match Running Performance in Australian Football Is Related to Muscle Fiber Typology.</t>
  </si>
  <si>
    <r>
      <t xml:space="preserve">Hopwood HJ; Bellinger PM; Compton HR; Bourne MN; Derave W; Lievens E; Kennedy B; </t>
    </r>
    <r>
      <rPr>
        <sz val="11"/>
        <color rgb="FF00B050"/>
        <rFont val="Calibri"/>
        <family val="2"/>
        <scheme val="minor"/>
      </rPr>
      <t>Minahan CL</t>
    </r>
  </si>
  <si>
    <t>International journal of sports physiology and performance</t>
  </si>
  <si>
    <t>1555-0273</t>
  </si>
  <si>
    <t>2023 Oct 10</t>
  </si>
  <si>
    <t>10.1123/ijspp.2023-0014</t>
  </si>
  <si>
    <t>Human Kinetics</t>
  </si>
  <si>
    <t>Observational Study</t>
  </si>
  <si>
    <t>Australia; Carnosine; Running physiology; Athletic Performance physiology; Humans; Australia; Muscle Fibers, Skeletal; Geographic Information Systems; Team Sports</t>
  </si>
  <si>
    <t>Purpose: To examine the association between muscle fiber typology and match running performance in professional Australian football (AF) athletes. Methods: An observational time-motion analysis was performed on 23 professional AF athletes during 224 games throughout the 2020 competitive season. Athletes were categorized by position as hybrid, small, or tall. Athlete running performance was measured using Global Navigation Satellite System devices. Mean total match running performance and maximal mean intensity values were calculated for moving mean durations between 1 and 10 minutes for speed (in meters per minute), high-speed-running distance (HSR, &gt;4.17 m·s-1), and acceleration (in meters per second squared), while intercept and slopes were calculated using power law. Carnosine content was quantified by proton magnetic resonance spectroscopy in the gastrocnemius and soleus and expressed as a carnosine aggregate z score (CAZ score) to estimate muscle fiber typology. Mixed linear models were used to determine the association between CAZ score and running performance. Results: The mean (range) CAZ score was -0.60 (-1.89 to 1.25), indicating that most athletes possessed a greater estimated proportion of type I muscle fibers. A greater estimated proportion of type I fibers (ie, lower CAZ score) was associated with a larger accumulation of HSR (&gt;4.17 m·s-1) and an increased ability to maintain HSR as the peak period duration increased. Conclusion: AF athletes with a greater estimated proportion of type I muscle fibers were associated with a greater capacity to accumulate distance running at high speeds, as well as a greater capacity to maintain higher output of HSR running during peak periods as duration increases.</t>
  </si>
  <si>
    <t>https://search.ebscohost.com/login.aspx?direct=true&amp;db=mdc&amp;AN=37857382&amp;site=ehost-live</t>
  </si>
  <si>
    <t>Methodology for studying Relative Energy Deficiency in Sport (REDs): a narrative review by a subgroup of the International Olympic Committee (IOC) consensus on REDs.</t>
  </si>
  <si>
    <r>
      <t xml:space="preserve">Ackerman KE; </t>
    </r>
    <r>
      <rPr>
        <sz val="11"/>
        <color rgb="FF00B050"/>
        <rFont val="Calibri"/>
        <family val="2"/>
        <scheme val="minor"/>
      </rPr>
      <t>Rogers MA</t>
    </r>
    <r>
      <rPr>
        <sz val="11"/>
        <color theme="1"/>
        <rFont val="Calibri"/>
        <family val="2"/>
        <scheme val="minor"/>
      </rPr>
      <t>; Heikura IA; Burke LM; Stellingwerff T; Hackney AC; Verhagen E; Schley S; Saville GH; Mountjoy M; Holtzman B</t>
    </r>
  </si>
  <si>
    <t>2023 Sep</t>
  </si>
  <si>
    <t>10.1136/bjsports-2023-107359</t>
  </si>
  <si>
    <t>In the past decade, the study of relationships among nutrition, exercise and the effects on health and athletic performance, has substantially increased. The 2014 introduction of Relative Energy Deficiency in Sport (REDs) prompted sports scientists and clinicians to investigate these relationships in more populations and with more outcomes than had been previously pursued in mostly white, adolescent or young adult, female athletes. Much of the existing physiology and concepts, however, are either based on or extrapolated from limited studies, and the comparison of studies is hindered by the lack of standardised protocols. In this review, we have evaluated and outlined current best practice methodologies to study REDs in an attempt to guide future research.This includes an agreement on the definition of key terms, a summary of study designs with appropriate applications, descriptions of best practices for blood collection and assessment and a description of methods used to assess specific REDs sequelae, stratified as either Preferred , Used and Recommended or Potential Researchers can use the compiled information herein when planning studies to more consistently select the proper tools to investigate their domain of interest. Thus, the goal of this review is to standardise REDs research methods to strengthen future studies and improve REDs prevention, diagnosis and care. Competing Interests: Competing interests: KEA is a Deputy Editor of the BJSM and an Associate Editor of the BJSM IPHP. MM is a Deputy Editor of the BJSM and a member of the BJSM IPHP Editorial Board. EV is an Associate Editor of the BJSM, an Associate Editor of the BJSM IPHP and Editor in Chief of BMJ Open Sports and Exercise Medicine. © Author(s) (or their employer(s)) 2023. No commercial re-use. See rights and permissions. Published by BMJ.</t>
  </si>
  <si>
    <t>https://search.ebscohost.com/login.aspx?direct=true&amp;db=mdc&amp;AN=37752010&amp;site=ehost-live</t>
  </si>
  <si>
    <t>Multimodal physiological sensing for the assessment of acute pain.</t>
  </si>
  <si>
    <t>Fernandez Rojas R; Hirachan N; Brown N; Waddington G; Murtagh L; Seymour B; Goecke R</t>
  </si>
  <si>
    <t>Frontiers in pain research (Lausanne, Switzerland)</t>
  </si>
  <si>
    <t>2673-561X</t>
  </si>
  <si>
    <t>2023 Jun 19</t>
  </si>
  <si>
    <t>10.3389/fpain.2023.1150264</t>
  </si>
  <si>
    <t>Frontiers</t>
  </si>
  <si>
    <t>Pain assessment is a challenging task encountered by clinicians. In clinical settings, patients' self-report is considered the gold standard in pain assessment. However, patients who are unable to self-report pain are at a higher risk of undiagnosed pain. In the present study, we explore the use of multiple sensing technologies to monitor physiological changes that can be used as a proxy for objective measurement of acute pain. Electrodermal activity (EDA), photoplethysmography (PPG), and respiration (RESP) signals were collected from 22 participants under two pain intensities (low and high) and on two different anatomical locations (forearm and hand). Three machine learning models were implemented, including support vector machines (SVM), decision trees (DT), and linear discriminant analysis (LDA) for the identification of pain. Various pain scenarios were investigated, identification of pain (no pain, pain), multiclass (no pain, low pain, high pain), and identification of pain location (forearm, hand). Reference classification results from individual sensors and from all sensors together were obtained. After feature selection, results showed that EDA was the most informative sensor in the three pain conditions, 93.2 ± 8 % in identification of pain, 68.9 ± 10 % in the multiclass problem, and 56.0 ± 8 % for the identification of pain location. These results identify EDA as the superior sensor in our experimental conditions. Future work is required to validate the obtained features to improve its feasibility in more realistic scenarios. Finally, this study proposes EDA as a candidate to design a tool that can assist clinicians in the assessment of acute pain of nonverbal patients. Competing Interests: The authors declare that the research was conducted in the absence of any commercial or financial relationships that could be construed as a potential conflict of interest. © 2023 Fernandez Rojas, Hirachan, Brown, Waddington, Murtagh, Seymour and Goecke.</t>
  </si>
  <si>
    <t>https://search.ebscohost.com/login.aspx?direct=true&amp;db=mdc&amp;AN=37415829&amp;site=ehost-live</t>
  </si>
  <si>
    <t>Musculoskeletal Complaint Epidemiology in Australian Special Operation Forces Trainees.</t>
  </si>
  <si>
    <r>
      <t xml:space="preserve">Wolski L; Stannard J; </t>
    </r>
    <r>
      <rPr>
        <sz val="11"/>
        <color rgb="FF00B050"/>
        <rFont val="Calibri"/>
        <family val="2"/>
        <scheme val="minor"/>
      </rPr>
      <t>Toohey L</t>
    </r>
    <r>
      <rPr>
        <sz val="11"/>
        <color theme="1"/>
        <rFont val="Calibri"/>
        <family val="2"/>
        <scheme val="minor"/>
      </rPr>
      <t>; Fogarty A; Drew M</t>
    </r>
  </si>
  <si>
    <t>Military medicine</t>
  </si>
  <si>
    <t>1930-613X</t>
  </si>
  <si>
    <t>2023 Nov 03</t>
  </si>
  <si>
    <t>e3539</t>
  </si>
  <si>
    <t>10.1093/milmed/usad215</t>
  </si>
  <si>
    <t>Oxford University Press</t>
  </si>
  <si>
    <t>Australia; Musculoskeletal Diseases epidemiology; Athletic Injuries epidemiology; Military Personnel; Humans; Australia epidemiology; Retrospective Studies; Prospective Studies</t>
  </si>
  <si>
    <t>Introduction: Elite military trainees are burdened by high numbers of musculoskeletal (MSK) injuries and are a priority military population for injury prevention. This research aims to describe the MSK complaint epidemiology of trainees undertaking special forces (SF) training in the Australian Defence Force (ADF). One barrier to accurate injury surveillance in military populations is that traditional surveillance methods rely on personnel engaging with the military healthcare system to collect injury data. This approach is likely to underestimate the injury burden as it is known that many military personnel, particularly trainees, avoid reporting their injuries because of various motives. Subsequently, the insights from surveillance systems may underestimate the injury burden and limit the ability to inform prevention requirements. This research aims to actively seek MSK complaint information directly from trainees in a sensitive manner to mediate injury-reporting behaviors. Materials and Methods: This descriptive epidemiology study included two consecutive cohorts of ADF SF trainees from 2019 to 2021. Musculoskeletal data items and their respective recording methods were based on international sports injury surveillance guidelines and adapted to a military context. Our case definition encompassed all injuries or physical discomforts as recordable cases. A unit-embedded physiotherapist retrospectively collected MSK complaint data from selection courses and collected prospective data over the training continuum. Data collection processes were external to the military health care system to mediate reporting avoidance and encourage injury reporting. Injury proportions, complaint incidence rates, and incidence rate ratios were calculated and compared between training courses and cohorts. Results: In total, 334 MSK complaints were reported by 103 trainees (90.4%), with a complaint incidence rate of 58.9 per 1,000 training weeks (95% CI, 53.0-65.5). Of these MSK complaints, 6.4% (n = 22) resulted in time loss from work. The lumbar spine (20.6%, n = 71) and the knee (18.9%, n = 65) were the most frequently affected body parts. Most of the MSK complaints were reported during selection courses (41.9%), followed by field survival and team tactics (23.0%) and urban operations courses (21.9%). Physical training accounted for 16.5% of complaints. Fast-roping training was associated with more severe MSK complaints. Conclusions: Musculoskeletal complaints are highly prevalent in ADF SF trainees. Complaints are more frequently reported in selection and qualification training courses than in physical training. These activities are priorities for focused research to understand injury circumstances in ADF elite training programs to inform injury prevention strategies. A strength of our study is the data collection methods which have provided greater MSK complaint information than past research; however, much work remains in conducting consistent and accurate surveillance. Another strength is the use of an embedded physiotherapist to overcome injury-reporting avoidance. Embedded health professionals are recommended as continued practice for ongoing surveillance and early intervention. © The Association of Military Surgeons of the United States 2023.</t>
  </si>
  <si>
    <t>https://search.ebscohost.com/login.aspx?direct=true&amp;db=mdc&amp;AN=37311061&amp;site=ehost-live</t>
  </si>
  <si>
    <t>Musculoskeletal Injury in an Australian Professional Ballet Company, 2018-2021: 953 Medical-Attention and 706 Time-Loss Injuries Over 4 Years.</t>
  </si>
  <si>
    <r>
      <t xml:space="preserve">DRYSDALE, LOUISE; GOMES, ZARA; </t>
    </r>
    <r>
      <rPr>
        <sz val="11"/>
        <color rgb="FF00B050"/>
        <rFont val="Calibri"/>
        <family val="2"/>
        <scheme val="minor"/>
      </rPr>
      <t>TOOHEY, LIAM</t>
    </r>
    <r>
      <rPr>
        <sz val="11"/>
        <color theme="1"/>
        <rFont val="Calibri"/>
        <family val="2"/>
        <scheme val="minor"/>
      </rPr>
      <t>; PUMPA, KATE; NEWMAN, PHIL</t>
    </r>
  </si>
  <si>
    <t>Journal of Orthopaedic &amp; Sports Physical Therapy</t>
  </si>
  <si>
    <t>01906011</t>
  </si>
  <si>
    <t>JOSPT, Inc. d/b/a Movement Science Media</t>
  </si>
  <si>
    <t>* OBJECTIVES: To describe the incidence rate, frequency, severity, recurrence, and burden of musculoskeletal injury in professional ballet. *STUDY DESIGN: Descriptive epidemiological (retrospective). * METHODS: Professional dancers (n = 73, 40 females, 33 males) provided consent for retrospective review of musculoskeletal injury data. Medical-attention injuries were reported to and recorded by onsite physiotherapists between January 2018 and December 2021. Time-loss injuries were any injury that prevented a dancer from taking a full part in all dance-related activities for &gt;1 day. Injuries were classified using the OSICS-10.1 system. Injury incidence rates (IIRs; injuries/1000 h), severity, recurrence, and burden were calculated. * RESULTS: Nine hundred and fifty-three medical-attention injuries were recorded in 72 (98%) dancers at an IIR of 2.79/1000 h (95% confidence interval [CI], 2.62-2.98). 706 were time-loss injuries, which were reported in 70 dancers at an IIR of 2.07/1000 h (95% CI: 1.92, 2.23). Overuse injuries represented 53% of medical-attention injuries. The most frequently injured body area and tissue/ pathology were thoracic facet joint (n = 63/953, 7%) and ankle synovitis/impingement (n = 62/953, 6%). Bone stress injuries (BSIs) were the most severe with the highest median time loss (135 days, interquartile range [IQR] 181) followed by fractures (72.5 days, IQR 132). The injuries with the highest burden were tibial BSIs (13 days lost/1000 h; 95% CI: 13, 14). Jumping and lifting were the most frequently reported injury mechanisms. * CONCLUSION: Almost all dancers required medical attention for at least one injury during the surveillance period. Approximately 74% of injuries resulted in time loss. BSIs and ankle synovitis/im-pingement were of high burden, and a high proportion of BSIs were recurrent. ABSTRACT FROM AUTHOR</t>
  </si>
  <si>
    <t>https://search.ebscohost.com/login.aspx?direct=true&amp;db=s3h&amp;AN=173374297&amp;site=ehost-live</t>
  </si>
  <si>
    <t>No effect of repeated post-resistance exercise cold or hot water immersion on in-season body composition and performance responses in academy rugby players: a randomised controlled cross-over design.</t>
  </si>
  <si>
    <t>Horgan, Barry G.; Halson, Shona L.; Drinkwater, Eric J.; West, Nicholas P.; Tee, Nicolin; Alcock, Rebekah D.; Chapman, Dale W.; Haff, G. Gregory</t>
  </si>
  <si>
    <t>European Journal of Applied Physiology</t>
  </si>
  <si>
    <t>14396319</t>
  </si>
  <si>
    <t>BODY composition; RUGBY football players; HOT water; MALE athletes; WATER immersion; LEAN body mass</t>
  </si>
  <si>
    <t>Purpose: Following resistance exercise, uncertainty exists as to whether the regular application of cold water immersion attenuates lean muscle mass increases in athletes. The effects of repeated post-resistance exercise cold versus hot water immersion on body composition and neuromuscular jump performance responses in athletes were investigated. Methods: Male, academy Super Rugby players (n = 18, 19.9 ± 1.5 y, 1.85 ± 0.06 m, 98.3 ± 10.7 kg) participated in a 12-week (4-week × 3-intervention, i.e., control [CON], cold [CWI] or hot [HWI] water immersion) resistance exercise programme, utilising a randomised cross-over pre–post-design. Body composition measures were collected using dual-energy X-ray absorptiometry prior to commencement and every fourth week thereafter. Neuromuscular squat (SJ) and counter-movement jump (CMJ) performance were measured weekly. Linear mixed-effects models were used to analyse main (treatment, time) and interaction effects. Results: There were no changes in lean (p = 0.960) nor fat mass (p = 0.801) between interventions. CON (p = 0.004) and CWI (p = 0.003) increased (g = 0.08–0.19) SJ height, compared to HWI. There were no changes in CMJ height (p = 0.482) between interventions. Conclusion: Repeated post-resistance exercise whole-body CWI or HWI does not attenuate (nor promote) increases in lean muscle mass in athletes. Post-resistance exercise CON or CWI results in trivial increases in SJ height, compared to HWI. During an in-season competition phase, our data support the continued use of post-resistance exercise whole-body CWI by athletes as a recovery strategy which does not attenuate body composition increases in lean muscle mass, while promoting trivial increases in neuromuscular concentric-only squat jump performance. ABSTRACT FROM AUTHOR</t>
  </si>
  <si>
    <t>https://search.ebscohost.com/login.aspx?direct=true&amp;db=s3h&amp;AN=161655366&amp;site=ehost-live</t>
  </si>
  <si>
    <t>Risk factors for injury and illness in youth floorball players – A prospective cohort study.</t>
  </si>
  <si>
    <r>
      <t xml:space="preserve">Sonesson, S.; Dahlström, Ö.; </t>
    </r>
    <r>
      <rPr>
        <sz val="11"/>
        <color rgb="FF00B050"/>
        <rFont val="Calibri"/>
        <family val="2"/>
        <scheme val="minor"/>
      </rPr>
      <t>Panagodage Perera, N</t>
    </r>
    <r>
      <rPr>
        <sz val="11"/>
        <color theme="1"/>
        <rFont val="Calibri"/>
        <family val="2"/>
        <scheme val="minor"/>
      </rPr>
      <t>.K.; Hägglund, M.</t>
    </r>
  </si>
  <si>
    <t>DISEASE risk factors; SPORTS injuries risk factors; WELL-being; RECREATION; HEALTH; FOOTBALL; PSYCHOLOGICAL stress; SLEEP quality; RISK assessment; EMPLOYEES' workload; DESCRIPTIVE statistics; QUESTIONNAIRES; LOGISTIC regression analysis; LONGITUDINAL method; ADOLESCENCE</t>
  </si>
  <si>
    <t>To investigate risk factors for injury and illness in female and male youth floorball players (12–17 years) during a 26-week floorball season. Prospective cohort study. Recreational youth sport. 471 players (142 females) 12-17 years. Weekly survey including questions about stress, sleep quality, well-being, sport exposure and average weekly rating of perceived exertion (RPE). Acute:chronic workload ratio (ACWR) was calculated. The Oslo Sports Trauma Research Center questionnaire on health problems was used. Predictors of new injury and illness were examined using multi-level logistic regression models with weekly measures nested within individuals. Higher stress, poorer sleep quality and well-being increased the odds of a new injury in the subsequent week by 8% (2.0–13.5%), 10% (4.2–15.9%) and 8% (2.4–13.5%) per 1 unit increase. Higher stress, and poorer well-being increased the odds of illness by 8% (2.6–12.6%), and 12% (7.2–16.6%). ACWR below 0.8 or above 1.3 increased the odds of illness by 34% (4.9–70.8%). Perceived stress, well-being, and sleep quality were associated with injury and illness occurrence in the subsequent week. ACWR outside the range 0.8–1.3 was associated with illness the subsequent week. Clinical Trials registration NCT03309904. • Youth floorball players reported higher levels of wellness during school holidays. • Stress, well-being, sleep quality were associated with injury the subsequent week. • Stress and well-being were associated with illness the subsequent week. • Acute:chronic workload ratio below 0.8 or above 1.3 increased the odds of illness. ABSTRACT FROM AUTHOR</t>
  </si>
  <si>
    <t>https://search.ebscohost.com/login.aspx?direct=true&amp;db=s3h&amp;AN=161401951&amp;site=ehost-live</t>
  </si>
  <si>
    <t>Sports compression garments improve resting markers of venous return and muscle blood flow in male basketball players.</t>
  </si>
  <si>
    <t>O'Riordan, Shane F.; McGregor, Rod; Halson, Shona L.; Bishop, David J.; Broatch, James R.</t>
  </si>
  <si>
    <t>Journal of Sport &amp; Health Science</t>
  </si>
  <si>
    <t>20952546</t>
  </si>
  <si>
    <t>SPORTSWEAR; BASKETBALL players; BLOOD flow</t>
  </si>
  <si>
    <t>• Sports compression socks, shorts, and tights increased resting venous and muscle blood flow of the lower limb. • Sports compression tights were the most effective garment to improve lower-limb blood flow. • In parallel with improvements in muscle blood flow, sports compression tights and socks also enhanced muscle oxygenation. • Manufacturers' sizing guidelines were effective for the alteration of blood flow. The benefits associated with sports compression garments are thought to be closely related to enhanced blood flow. However, findings are equivocal, possibly due to heterogeneity in the techniques used for measuring blood flow, the garment types used, and the pressures applied. This study combined Doppler ultrasound and near-infrared spectroscopy technologies to provide the first comprehensive assessment of the effects of 3 sports compression garment types on markers of venous return and muscle blood flow at rest. Resting lower-limb blood flow measures (markers of venous return, muscle blood flow, and muscle oxygenation) of 22 elite, junior, male basketball players (age = 17.2 ± 0.9 years, mean ± SD) were assessed in 4 separate conditions: no compression (CON), compression tights (TIGHTS), compression shorts (SHORTS), and compression socks (SOCKS). Markers of venous return (cross-sectional area, time-averaged mean and peak blood flow velocity, and venous blood flow) were measured via Doppler ultrasound at the popliteal and common femoral veins. Muscle blood flow and muscle oxygenation were measured in the gastrocnemius medialis and vastus lateralis using near-infrared spectroscopy. Popliteal markers of venous return were higher in TIGHTS compared to CON (p &lt; 0.01) and SHORTS (p &lt; 0.01), with SOCKS values higher compared with CON (p &lt; 0.05). Common femoral vein markers of venous return were higher for all conditions compared to CON (p &lt; 0.05), with TIGHTS values also higher compared to SOCKS (p &lt; 0.05). Gastrocnemius medialis blood flow was higher for TIGHTS compared to CON (p = 0.000), SOCKS (p = 0.012), and SHORTS (p = 0.000), with SOCKS higher compared to SHORTS (p = 0.046). Vastus lateralis blood flow was higher for TIGHTS compared to CON (p = 0.028) and SOCKS (p = 0.019), with SHORTS also higher compared to CON (p = 0.012) and SOCKS (p = 0.005). Gastrocnemius medialis oxygenation was higher for TIGHTS compared to CON (p = 0.003), SOCKS (p = 0.033), and SHORTS (p = 0.003), with SOCKS higher compared to CON (p = 0.044) and SHORTS (p = 0.032). Vastus lateralis oxygenation was higher for TIGHTS compared to CON (p = 0.020) and SOCKS (p = 0.006). Markers of venous return, muscle blood flow, and muscle oxygenation are increased with sports compression garments. TIGHTS are most effective, potentially because of the larger body area compressed. [Display omitted] ABSTRACT FROM AUTHOR</t>
  </si>
  <si>
    <t>https://search.ebscohost.com/login.aspx?direct=true&amp;db=s3h&amp;AN=164862948&amp;site=ehost-live</t>
  </si>
  <si>
    <t>The development and test-retest reliability of the periodic health evaluation for female athletes (PHE FA) survey.</t>
  </si>
  <si>
    <r>
      <t xml:space="preserve">Stevenson NG; Harris R; Montag J; Stay S; </t>
    </r>
    <r>
      <rPr>
        <sz val="11"/>
        <color rgb="FF00B050"/>
        <rFont val="Calibri"/>
        <family val="2"/>
        <scheme val="minor"/>
      </rPr>
      <t>K Panagodage Perera N</t>
    </r>
  </si>
  <si>
    <t>The Physician and sportsmedicine</t>
  </si>
  <si>
    <t>2326-3660</t>
  </si>
  <si>
    <t>2023 Dec</t>
  </si>
  <si>
    <t>10.1080/00913847.2022.2158386</t>
  </si>
  <si>
    <t>Review</t>
  </si>
  <si>
    <t>Australia; Sports; Humans; Female; Young Adult; Adult; Reproducibility of Results; Australia epidemiology; Athletes; Health Surveys</t>
  </si>
  <si>
    <t>Objectives: To develop and assess the test-retest reliability of a survey exploring Australian high-performance female athlete's perspectives toward the periodic health evaluation and their perceived health needs. Methods: A structured three-phase method for survey development was used to develop the periodic health evaluation for female athletes (PHE FA) survey. Initially, a literature review and gap analysis was performed to identify themes and questions (Phase 1). Survey questions were developed covering demographic information (n = 9); sports-related medical screening (n = 19) and health needs and information (n = 7) (Phase 2). Test-retest reliability of the survey was then assessed (Phase 3). The survey was administered to a purposeful sample of seven high-performance level female athletes who completed the survey, on two separate occasions, 3 weeks apart via Checkbox© survey software (Checkbox Technology Inc., San Francisco, CA). Test-retest reliability was assessed using the intraclass correlation coefficient (ICC). Results: The mean age of the athletes was 29 years (SD 4 years, range 24-34 years). All were able-bodied athletes and 71% participated in team sports. Eighty-six percent of athletes have competed in world championships and 71% were Olympians. The average ICC of all items was 0.998 (95% CI 0.997-0.998, p = 0.000) demonstrating excellent consistency of measures between the two time points.All the athletes preferred a Sport and Exercise Medicine Physician to conduct their PHE and 86% preferred a female doctor. The key topics of interest were pelvic floor health including incontinence (100%); fertility (86%); pregnancy (71%); and mental and emotional wellbeing (71%). Face-to-face education was the preferred option to receive health information. Conclusions: The PHE FA survey was co-created with an athlete and other key stakeholders. Excellent consistency of measures between the two time points was indicated by the high test-retest reliability of the PHE FA survey. Data collected using the PHE FA survey can contribute to informed evidence-based policies, and processes to support the health and wellbeing of female athletes.</t>
  </si>
  <si>
    <t>https://search.ebscohost.com/login.aspx?direct=true&amp;db=mdc&amp;AN=36545815&amp;site=ehost-live</t>
  </si>
  <si>
    <r>
      <t xml:space="preserve">Stevenson, N.; Harris, R.; Montag, J.; Stay, S.; </t>
    </r>
    <r>
      <rPr>
        <sz val="11"/>
        <color rgb="FF00B050"/>
        <rFont val="Calibri"/>
        <family val="2"/>
        <scheme val="minor"/>
      </rPr>
      <t>Perera, N.</t>
    </r>
  </si>
  <si>
    <t>S121</t>
  </si>
  <si>
    <t>SPORTS medicine; PHYSICAL fitness; PHYSICAL activity; PHYSICAL training &amp; conditioning; HEALTH outcome assessment</t>
  </si>
  <si>
    <t>https://search.ebscohost.com/login.aspx?direct=true&amp;db=s3h&amp;AN=172868636&amp;site=ehost-live</t>
  </si>
  <si>
    <t>The effects of eating frequency on changes in body composition and cardiometabolic health in adults: a systematic review with meta-analysis of randomized trials.</t>
  </si>
  <si>
    <r>
      <t xml:space="preserve">Blazey P; Habibi A; Hassen N; </t>
    </r>
    <r>
      <rPr>
        <sz val="11"/>
        <color rgb="FF00B050"/>
        <rFont val="Calibri"/>
        <family val="2"/>
        <scheme val="minor"/>
      </rPr>
      <t>Friedman D</t>
    </r>
    <r>
      <rPr>
        <sz val="11"/>
        <color theme="1"/>
        <rFont val="Calibri"/>
        <family val="2"/>
        <scheme val="minor"/>
      </rPr>
      <t>; Khan KM; Ardern CL</t>
    </r>
  </si>
  <si>
    <t>The international journal of behavioral nutrition and physical activity</t>
  </si>
  <si>
    <t>1479-5868</t>
  </si>
  <si>
    <t>2023 Nov 14</t>
  </si>
  <si>
    <t>10.1186/s12966-023-01532-z</t>
  </si>
  <si>
    <t>BioMed Central</t>
  </si>
  <si>
    <t>Meta-Analysis</t>
  </si>
  <si>
    <t>Diet; Cardiovascular Diseases; Middle Aged; Adult; Humans; Randomized Controlled Trials as Topic; Body Weight; Body Composition</t>
  </si>
  <si>
    <t>Background: Eating frequency may affect body weight and cardiometabolic health. Intervention trials and observational studies have both indicated that high- and low-frequency eating can be associated with better health outcomes. There are currently no guidelines to inform how to advise healthy adults about how frequently to consume food or beverages. Aim: To establish whether restricted- (≤ three meals per day) frequency had a superior effect on markers of cardiometabolic health (primary outcome: weight change) compared to unrestricted-eating (≥ four meals per day) frequency in adults. Methods: We searched Medline (Ovid), Embase, CINAHL (EBSCO), Cochrane Central Register of Controlled Trials (CENTRAL), CAB Direct and Web of Science Core Collection electronic databases from inception to 7 June 2022 for clinical trials (randomised parallel or cross-over trials) reporting on the effect of high or low-frequency eating on cardiometabolic health (primary outcome: weight change). Trial interventions had to last for at least two weeks, and had to have been conducted in human adults. Bias was assessed using the Cochrane Risk of Bias tool 2.0. Standardized mean differences (SMD) and 95% confidence intervals were calculated for all outcomes. Certainty of the evidence was assessed using the Grading of Recommendations Assessment, Development, and Evaluation (GRADE) approach. Results: Seventeen reports covering 16 trials were included in the systematic review. Data from five trials were excluded from meta-analysis due to insufficient reporting. 15 of 16 trials were at high risk of bias. There was very low certainty evidence of no difference between high- and low-frequency eating for weight-change (MD: -0.62 kg, CI 95 : -2.76 to 1.52 kg, p = 0.57). Conclusions: There was no discernible advantage to eating in a high- or low-frequency dietary pattern for cardiometabolic health. We cannot advocate for either restricted- or unrestricted eating frequency to change markers of cardiometabolic health in healthy young to middle-aged adults. Protocol Registration: CRD42019137938. © 2023. The Author(s).</t>
  </si>
  <si>
    <t>https://search.ebscohost.com/login.aspx?direct=true&amp;db=mdc&amp;AN=37964316&amp;site=ehost-live</t>
  </si>
  <si>
    <t>The Impact of a Short-Term Ketogenic Low-Carbohydrate High-Fat Diet on Biomarkers of Intestinal Epithelial Integrity and Gastrointestinal Symptoms.</t>
  </si>
  <si>
    <r>
      <t xml:space="preserve">McKay, Alannah K.A.; Wallett, Alice M.; McKune, Andrew J.; Périard, Julien D.; </t>
    </r>
    <r>
      <rPr>
        <sz val="11"/>
        <color rgb="FF00B050"/>
        <rFont val="Calibri"/>
        <family val="2"/>
        <scheme val="minor"/>
      </rPr>
      <t>Saunders, Philo</t>
    </r>
    <r>
      <rPr>
        <sz val="11"/>
        <color theme="1"/>
        <rFont val="Calibri"/>
        <family val="2"/>
        <scheme val="minor"/>
      </rPr>
      <t>; Whitfield, Jamie; Tee, Nicolin; Heikura, Ida A.; Ross, Megan L.R.; Sharma, Avish P.; Costa, Ricardo J.S.; Burke, Louise M.</t>
    </r>
  </si>
  <si>
    <t>KETOGENIC diet; LOW-carbohydrate diet; GASTROINTESTINAL diseases; ATHLETES; DIETARY fats; SYMPTOMS; BIOMARKERS; LIPOPOLYSACCHARIDES; ENDOTOXINS; TREATMENT duration; DESCRIPTIVE statistics; RESEARCH funding; INTESTINAL mucosa; EPITHELIAL cells</t>
  </si>
  <si>
    <t>Endurance exercise can disturb intestinal epithelial integrity, leading to increased systemic indicators of cell injury, hyperpermeability, and pathogenic translocation. However, the interaction between exercise, diet, and gastrointestinal disturbance still warrants exploration. This study examined whether a 6-day dietary intervention influenced perturbations to intestinal epithelial disruption in response to a 25-km race walk. Twenty-eight male race walkers adhered to a high carbohydrate (CHO)/energy diet (65% CHO, energy availability = 40 kcal·kg FFM−1·day−1) for 6 days prior to a Baseline 25-km race walk. Athletes were then split into three subgroups: high CHO/energy diet (n = 10); low-CHO, high-fat diet (LCHF: n = 8; &lt;50 g/day CHO, energy availability = 40 kcal·kg FFM−1·day−1); and low energy availability (n = 10; 65% CHO, energy availability = 15 kcal·kg FFM−1·day−1) for a further 6-day dietary intervention period prior to a second 25-km race walk (Adaptation). During both trials, venous blood was collected pre-, post-, and 1 hr postexercise and analyzed for markers of intestinal epithelial disruption. Intestinal fatty acid-binding protein concentration was significantly higher (twofold increase) in response to exercise during Adaptation compared to Baseline in the LCHF group (p =.001). Similar findings were observed for soluble CD14 (p &lt;.001) and lipopolysaccharide-binding protein (p =.003), where postexercise concentrations were higher (53% and 36%, respectively) during Adaptation than Baseline in LCHF. No differences in high CHO/energy diet or low energy availability were apparent for any blood markers assessed (p &gt;.05). A short-term LCHF diet increased intestinal epithelial cell injury in response to a 25-km race walk. No effect of low energy availability on gastrointestinal injury or symptoms was observed. ABSTRACT FROM AUTHOR</t>
  </si>
  <si>
    <t>https://search.ebscohost.com/login.aspx?direct=true&amp;db=s3h&amp;AN=173432589&amp;site=ehost-live</t>
  </si>
  <si>
    <t>The reliability and validity of mobalytics proving ground as a perceptual-motor skill assessment for esports.</t>
  </si>
  <si>
    <r>
      <t xml:space="preserve">Pluss, Matthew A.; Novak, Andrew R; Bennett, Kyle J.M.; </t>
    </r>
    <r>
      <rPr>
        <sz val="11"/>
        <color theme="5" tint="-0.249977111117893"/>
        <rFont val="Calibri"/>
        <family val="2"/>
        <scheme val="minor"/>
      </rPr>
      <t>Panchuk, Derek</t>
    </r>
    <r>
      <rPr>
        <sz val="11"/>
        <color theme="1"/>
        <rFont val="Calibri"/>
        <family val="2"/>
        <scheme val="minor"/>
      </rPr>
      <t>; Coutts, Aaron J; Fransen, Job</t>
    </r>
  </si>
  <si>
    <t>International Journal of Sports Science &amp; Coaching</t>
  </si>
  <si>
    <t>17479541</t>
  </si>
  <si>
    <t>Sage Publications Inc.</t>
  </si>
  <si>
    <t>ESPORTS; INTRACLASS correlation; STATISTICAL reliability; TEST validity; GAUSSIAN distribution</t>
  </si>
  <si>
    <t>This study aimed to investigate the test-retest reliability and discriminant validity of the Mobalytics Proving Ground™ assessment for League of Legends. Forty participants (age: 24.15 ± 3.68 y, sex: male = 31, female = 9) were a priori classified into two expertise groups: (1) esports players (age: 22.98 ± 3.64 y, sex: male = 18, female = 2), and (2) controls (age: 25.31 ± 3.42 y, sex: male = 13, female = 7). Participants completed three separate trials (60 s each) online. To assess test-retest reliability, variables displaying normal distributions were analysed using intraclass correlation coefficient (ICC) estimates for two-way mixed-effects models with 95% confidence intervals. The average ICC for all the independent variables in the esports group and control group were moderate (ICC esports = 0.53 and ICC control = 0.72). The average 95% confidence intervals for the independent variables in the esports and control group were ICC = 0.30–0.75 and ICC = 0.55–0.86, respectively. A Friedman test revealed an effect size of 0.11 in the esports group and 0.07 in the control group. In terms of discriminant validity, there were significant differences for 17 variables when comparing the best scores of each group. Overall, the Mobalytics Proving Ground™ assessment used in the current study can, to some extent, distinguish esports players from controls. ABSTRACT FROM AUTHOR</t>
  </si>
  <si>
    <t>https://search.ebscohost.com/login.aspx?direct=true&amp;db=s3h&amp;AN=162601188&amp;site=ehost-live</t>
  </si>
  <si>
    <t>The role of the biomechanics analyst in swimming training and competition analysis.</t>
  </si>
  <si>
    <r>
      <t xml:space="preserve">Barbosa, Tiago M.; Barbosa, Augusto Carvalho; Simbaña Escobar, David; Mullen, Gary John; Cossor, Jodi M.; Hodierne, Ryan; Arellano, Raúl; </t>
    </r>
    <r>
      <rPr>
        <sz val="11"/>
        <color rgb="FFFF0000"/>
        <rFont val="Calibri"/>
        <family val="2"/>
        <scheme val="minor"/>
      </rPr>
      <t>Mason, Bruce R.</t>
    </r>
  </si>
  <si>
    <t>Sports Biomechanics</t>
  </si>
  <si>
    <t>14763141</t>
  </si>
  <si>
    <t>Dec2023</t>
  </si>
  <si>
    <t>MUSCULOSKELETAL system injuries; VOCATIONAL guidance; EVIDENCE-based medicine; PHYSICAL training &amp; conditioning; DECISION making; SCOUTING (Athletics); SWIMMING injuries; SWIMMING; BIOMECHANICS; ATHLETIC ability; DISEASE risk factors; PROFESSIONAL practice; OCCUPATIONAL roles; RESEARCH; SOCIAL support; JOB descriptions; RISK assessment; AUTOMATION</t>
  </si>
  <si>
    <t>Swimming analysts aid coaches and athletes in the decision-making by providing evidence-based recommendations. The aim of this narrative review was to report the best practices of swimming analysts that have been supporting high-performance athletes. It also aims to share how swimming analysts can translate applied research into practice. The role of the swimming analyst, as part of a holistic team supporting high-performance athletes, has been expanding and is needed to be distinguished from the job scope of a swimming researcher. As testing can be time-consuming, analysts must decide what to test and when to conduct the evaluation sessions. Swimming analysts engage in the modelling and forecast of the performance, that in short- and mid-term can help set races target-times, and in the long-term provide insights on talent and career development. Races can be analysed by manual, semi-automatic or fully automatic video analysis with single or multi-cameras set-ups. The qualitative and quantitative analyses of the swim strokes, start, turns, and finish are also part of the analyst job scope and associated with race performance goals. Land-based training is another task that can be assigned to analysts and aims to enhance the performance, prevent musculoskeletal injuries and monitor its risk factors. ABSTRACT FROM AUTHOR</t>
  </si>
  <si>
    <t>https://search.ebscohost.com/login.aspx?direct=true&amp;db=s3h&amp;AN=173687090&amp;site=ehost-live</t>
  </si>
  <si>
    <t>The use of inertial measurement units to quantify forearm loading and symmetry during gymnastics vault training sessions.</t>
  </si>
  <si>
    <r>
      <t xml:space="preserve">Campbell, Rhiannon A.; Bradshaw, Elizabeth J.; Ball, Nick; </t>
    </r>
    <r>
      <rPr>
        <sz val="11"/>
        <color rgb="FF00B050"/>
        <rFont val="Calibri"/>
        <family val="2"/>
        <scheme val="minor"/>
      </rPr>
      <t>Hunter, Adam</t>
    </r>
    <r>
      <rPr>
        <sz val="11"/>
        <color theme="1"/>
        <rFont val="Calibri"/>
        <family val="2"/>
        <scheme val="minor"/>
      </rPr>
      <t>; Spratford, Wayne</t>
    </r>
  </si>
  <si>
    <t>FOREARM; PHYSICAL training &amp; conditioning; ACCELEROMETERS; GYMNASTICS; BIOMECHANICS; DESCRIPTIVE statistics</t>
  </si>
  <si>
    <t>The upper limbs are important in gymnastics vaulting, as the success of the flight phase is dependent on a quick and forceful push-off from the vault. This places the upper limbs under stress, which has been associated with pain and injury. This study aimed to quantify forearm segmental loading and symmetry when performing foundation to advanced-level vaulting skills during training. Twelve advanced-level artistic gymnasts (female, n = 6; male, n = 6) wore bilaterally forearm-mounted inertial measurement units while completing their vaulting sessions. The peak resultant acceleration for the leading and non-leading forearms during contact were calculated. Female gymnasts performed variations of Yurchenko vaults, while male gymnasts performed Handspring and Tsukahara vaults. Descriptive statistics (median and inter-quartile range), symmetry index scores, and total session impact load (measure of cumulative loading) were calculated between the lead and non-lead forearms. High asymmetrical loading was identified for some Yurchenko, Handspring, and Tsukahara vaults, with large variations identified between gymnasts. Some gymnasts experienced greater loading at their lead forearm, while others experienced greater loading at their non-lead forearm. Results indicate that limb loading patterns in advanced gymnastics are highly individualised, indicating that individual analysis is needed to identify gymnasts (or limbs) at an increased risk for overuse injury. ABSTRACT FROM AUTHOR</t>
  </si>
  <si>
    <t>https://search.ebscohost.com/login.aspx?direct=true&amp;db=s3h&amp;AN=161131198&amp;site=ehost-live</t>
  </si>
  <si>
    <t>XR Programmers Give Their Perspective on How XR Technology can be Effectively Utilised in High-Performance Sport.</t>
  </si>
  <si>
    <r>
      <t xml:space="preserve">Le Noury PJ; Polman RC; </t>
    </r>
    <r>
      <rPr>
        <sz val="11"/>
        <color rgb="FF00B050"/>
        <rFont val="Calibri"/>
        <family val="2"/>
        <scheme val="minor"/>
      </rPr>
      <t>Maloney MA</t>
    </r>
    <r>
      <rPr>
        <sz val="11"/>
        <rFont val="Calibri"/>
        <family val="2"/>
        <scheme val="minor"/>
      </rPr>
      <t>; Gorman AD</t>
    </r>
  </si>
  <si>
    <t>2023 Jun 13</t>
  </si>
  <si>
    <t>10.1186/s40798-023-00593-5</t>
  </si>
  <si>
    <t>Background: The successful use of extended reality (XR) in sport is highly dependent on the extent to which it can represent the perception-action couplings that exist in the performance setting. However, there are many unknowns regarding the effectiveness of XR technology which is limiting its adoption in sport. Therefore, providing high-performance sporting organisations with more information about the efficacy and utility of XR, specifically its strengths and limitations, is warranted. Results: The results provide insight into the limitations of XR and how those limitations are likely to reduce the effectiveness of XR for training motor skills. The participants described opportunities provided by XR for measuring athlete performance and highlighted several practical applications for enhancing athlete and coaching performance. Using artificial intelligence (AI) for training tactical decision-making and creating new movement solutions was also a key finding. Conclusions: The use of XR in sport is in its infancy, and more research is required to establish a deeper understanding of its utility and efficacy. This research provides sporting organisations, coaches, athletes, and XR technology companies with insights into where XR technology can have the greatest positive impact on performance in sport. © 2023. The Author(s).</t>
  </si>
  <si>
    <t>https://search.ebscohost.com/login.aspx?direct=true&amp;db=mdc&amp;AN=37310507&amp;site=ehost-live</t>
  </si>
  <si>
    <t>A comparison of plantarflexor musculotendon unit output between plyometric exercises and running.</t>
  </si>
  <si>
    <t>Trowell D; Fox A; Saunders N; Vicenzino B; Bonacci J</t>
  </si>
  <si>
    <t>10.1016/j.jsams.2021.11.037</t>
  </si>
  <si>
    <t>Plyometric Exercise; Ankle; Ankle Joint; Biomechanical Phenomena; Humans; Muscle, Skeletal</t>
  </si>
  <si>
    <t>Objectives: Plyometric exercises are used to prevent and rehabilitate plantarflexor running injuries. To facilitate exercise programming, this study compared plantarflexor musculotendon output during running to plyometric exercises. Design: Experimental study with cross-over. Methods: Fourteen trained distance runners performed running, ankle bouncing, A-skips, bounding, and hurdle jumps. Three-dimensional motion capture and force plate data were collected and computational simulations used to calculate gastrocnemius lateralis and soleus musculotendon peak forces, strain, power generation and absorption, and total positive and negative work. Percentage difference and standardised mean differences were used to compare variables between plyometrics and running. Musculotendon units were classified as energy generators or absorbers according to their net mechanical work. Results: Both plantarflexors behaved as net energy generators during running. Plantarflexor peak force and power generation and absorption were lower in the A-skip and ankle bounce compared to running. Soleus behaved as a net energy absorber during hurdle jumps, with greater total negative work (16.5%; standardised mean difference 0.92) and higher peak strain (0.3%; standardised mean difference 0.28) during hurdle jumps than running. Gastrocnemius lateralis behaved as a net energy absorber during bounding, with greater total negative work (63.8%; standardised mean difference 0.81) and peak strain (0.4%; standardised mean difference 0.77) during bounding than running. Conclusions: The ankle bounce and A-skip may be appropriate exercises when runners desire lower plantarflexor loads than running. Hurdle jumps elicited high soleus loads but low gastrocnemius lateralis loads, highlighting the disparate function of the plantarflexors. Bounding demanded high plantarflexor musculotendon output and may be suitable when eccentric overload is desired. Copyright © 2021 Sports Medicine Australia. Published by Elsevier Ltd. All rights reserved.</t>
  </si>
  <si>
    <t>https://search.ebscohost.com/login.aspx?direct=true&amp;db=mdc&amp;AN=34844896&amp;site=ehost-live</t>
  </si>
  <si>
    <t>A Narrative Review of the Current State of Extended Reality Technology and How it can be Utilised in Sport.</t>
  </si>
  <si>
    <t>Le Noury P; Polman R; Maloney M; Gorman A</t>
  </si>
  <si>
    <t>Sports medicine (Auckland, N.Z.)</t>
  </si>
  <si>
    <t>10.1007/s40279-022-01669-0</t>
  </si>
  <si>
    <t>Adis, Springer International</t>
  </si>
  <si>
    <t>Sports; Virtual Reality; Athletes; Humans; Motor Skills; Technology</t>
  </si>
  <si>
    <t>Extended reality is an umbrella term used to describe three computer-generated technologies including virtual reality, augmented reality and mixed reality. Extended reality is an emerging technology that has been utilised in many high-performance domains including psychology, medicine and the military, with the aim of enhancing perceptual-cognitive skills and motor skills. However, the use of extended reality in sport, particularly at the elite level, has only recently started to receive attention. While the growth of extended reality technology continues to accelerate at a rapid rate, empirical evidence aimed at understanding how these devices can best be applied in high-performance sport has not followed suit. Therefore, the purpose of this review is to provide clarity for high-performance sport organisations, researchers, sport scientists, coaches and athletes about the current state of extended reality technology and how it has been utilised in sport. In doing so, we first define and give examples of the types of extended reality technology including virtual reality, augmented reality and mixed reality that are available at the present time. Second, we detail how skill acquisition principles underpinned by the theoretical framework of ecological dynamics can be used to help inform the design and assessment of extended reality training tools. Third, we describe how extended reality has been utilised in sport, including how extended reality tools have been assessed for their level of representativeness, and the effectiveness of extended reality training interventions for improving perceptual-cognitive skills and motor skills. Finally, we discuss the future utilisation of extended reality in sport, including the key learnings that can be drawn from other domains, future research directions, practical applications and areas for consideration related to the use of extended reality for training skills in sport. © 2022. The Author(s).</t>
  </si>
  <si>
    <t>https://search.ebscohost.com/login.aspx?direct=true&amp;db=mdc&amp;AN=35286617&amp;site=ehost-live</t>
  </si>
  <si>
    <t>A Perception-Action Assessment of the Functionality of Peripheral Vision in Expert and Novice Australian Footballers.</t>
  </si>
  <si>
    <t>Panchuk D; Maloney M</t>
  </si>
  <si>
    <t>Journal of sport &amp; exercise psychology</t>
  </si>
  <si>
    <t>10.1123/jsep.2021-0121</t>
  </si>
  <si>
    <t>North American Society for the Psychology of Sport and Physical Activity</t>
  </si>
  <si>
    <t>Australia; Soccer; Sports; Australia; Decision Making; Humans; Visual Perception physiology</t>
  </si>
  <si>
    <t>While widely acknowledged as being important for team-sport performance, the contribution of peripheral vision is poorly understood. This study aimed to better understand the role of far peripheral vision in team sport by exploring how domain experts and novices used far peripheral vision to support decision making and action control. Expert (n = 25) and novice (n = 23) Australian football players completed a perception-only task to assess the extent of their peripheral field. Next, they completed two sport-specific variations (response and recognition) of a "no-look" pass task that required passing a ball to a teammate who appeared in their far peripheral field. In the perception-only task, novices outperformed experts. However, in the sport-specific action response and recognition tasks, experts demonstrated superior performance as they responded to the stimulus farther from central vision and more accurately. Results demonstrate expertise effects for the use of far peripheral vision in sport.</t>
  </si>
  <si>
    <t>https://search.ebscohost.com/login.aspx?direct=true&amp;db=mdc&amp;AN=35894962&amp;site=ehost-live</t>
  </si>
  <si>
    <t>Auditing the Representation of Female Versus Male Athletes in Sports Science and Sports Medicine Research: Evidence-Based Performance Supplements.</t>
  </si>
  <si>
    <t>Smith ES; McKay AKA; Kuikman M; Ackerman KE; Harris R; Elliott-Sale KJ; Stellingwerff T; Burke LM</t>
  </si>
  <si>
    <t>10.3390/nu14050953</t>
  </si>
  <si>
    <t>Sports; Sports Medicine; Athletes; Dietary Supplements; Female; Humans; Male; Nutrition Policy</t>
  </si>
  <si>
    <t>Although sports nutrition guidelines promote evidence-based practice, it is unclear whether women have been adequately included in the underpinning research. In view of the high usage rates of performance supplements by female athletes, we conducted a standardised audit of the literature supporting evidence-based products: β-alanine, caffeine, creatine, glycerol, nitrate/beetroot juice and sodium bicarbonate. Within 1826 studies totalling 34,889 participants, just 23% of participants were women, although 34% of studies included at least one woman. Across different supplements, 0-8% of studies investigated women exclusively, while fewer (0-2%) were specifically designed to compare sex-based responses. The annual publication of female-specific studies was ~8 times fewer than those investigating exclusively male cohorts. Interestingly, 15% of the female participants were classified as international/world-class athletes, compared with 7% of men. Most studies investigated performance outcomes but displayed poorer representation of women (16% of participants), whereas health-focussed studies had the greatest proportion of female participants (35%). Only 14% of studies including women attempted to define menstrual status, with only three studies (~0.5%) implementing best practice methodologies to assess menstrual status. New research should target the efficacy of performance supplements in female athletes, and future sports nutrition recommendations should specifically consider how well female athletes have contributed to the evidence-base.</t>
  </si>
  <si>
    <t>https://search.ebscohost.com/login.aspx?direct=true&amp;db=mdc&amp;AN=35267928&amp;site=ehost-live</t>
  </si>
  <si>
    <t>Changes in Loaded Countermovement Jumps During Precompetition and Competition Training Mesocycles in Elite Rowers.</t>
  </si>
  <si>
    <t>Everett KLA; Chapman DW; Mitchell JA; Ball N</t>
  </si>
  <si>
    <t>Journal of strength and conditioning research</t>
  </si>
  <si>
    <t>10.1519/JSC.0000000000003843</t>
  </si>
  <si>
    <t>Human Kinetics Pub</t>
  </si>
  <si>
    <t>Athletic Performance; Resistance Training; Athletes; Ergometry; Humans; Male; Muscle Strength</t>
  </si>
  <si>
    <t>Abstract: Everett, KLA, Chapman, DW, Mitchell, JA, and Ball, N. Changes in loaded countermovement jumps during precompetition and competition training mesocycles in elite rowers. J Strength Cond Res 36(9): 2622-2627, 2022-To assess changes in velocity, displacement, and power as an indicator of neuromuscular fatigue (NMF) within and between precompetition and competition mesocycles in elite male rowers using loaded countermovement jumps (CMJs). Twenty highly trained rowers completed regular training (on-water rowing, rowing ergometer, and resistance training sessions) in 2 consecutive mesocycles. Athletes completed a single set of 6 loaded (20 kg) CMJs in the first and final week of each mesocycle. Countermovement jumps were assessed for jump height (JH), eccentric displacement, mean velocity (MV), eccentric MV (EMV), and mean power. Changes between time points were reported as Cohen's d effect sizes (95% confidence interval [CI]). The magnitude of the differences was also considered based on their relative strength levels using a linear mixed model. Within the precompetition mesocycle, trivial-to-small reductions for all variables (0.5-4.1%) were observed. During the competition mesocycle, trivial-to-small increases were shown for EMV (1.4%) and eccentric displacement (2.0%) with no change in JH and small reductions in MV (0.5%) and mean power (2.8%). No differences between the precompetition and competition mesocycles were shown. Only mean power showed a significant reduction in weaker athletes (3.2%) compared with stronger athletes (2.3%). Training completed during a precompetition and competitive mesocycle did not result in significant decreases in athlete's loaded CMJ performance, indicating that NMF was minimized. Alternatively, use of a loaded CMJ may not be sensitive enough to observe NMF in elite rowers during the mesocycle immediately leading into and during a competition mesocycle. Copyright © 2020 National Strength and Conditioning Association.</t>
  </si>
  <si>
    <t>https://search.ebscohost.com/login.aspx?direct=true&amp;db=mdc&amp;AN=33065706&amp;site=ehost-live</t>
  </si>
  <si>
    <t>Compression Socks Reduce Running-Induced Intestinal Damage.</t>
  </si>
  <si>
    <t>Zadow EK; Edwards KH; Kitic CM; Fell JW; Adams MJ; Singh I; Kundur A; Johnston ANB; Crilly J; Bulmer AC; Halson SL; Wu SSX</t>
  </si>
  <si>
    <t>10.1519/JSC.0000000000003870</t>
  </si>
  <si>
    <t>Running physiology; Stockings, Compression; Biomarkers; Clothing; Humans</t>
  </si>
  <si>
    <t>Abstract: Zadow, EK, Edwards, KH, Kitic, CM, Fell, JW, Adams, MJ, Singh, I, Kundur, A, Johnstone, ANB, Crilly, J, Bulmer, AC, Halson, SL, and, and Wu, SSX. Compression socks reduce running-induced intestinal damage. J Strength Cond Res 36(9): 2461-2464, 2022-Exercise is associated with a reduction in splanchnic blood flow that leads to the disruption of intestinal epithelium integrity, contributing to exercise-induced gastrointestinal syndrome. Strategies that promote intestinal blood flow during exercise may reduce intestinal damage, which may be advantageous for subsequent recovery and performance. This study aimed to explore if exercise-associated intestinal damage was influenced by wearing compression garments, which may improve central blood flow. Subjects were randomly allocated to wear compression socks ( n = 23) or no compression socks (control, n = 23) during a marathon race. Blood samples were collected 24 hours before and immediately after marathon and analyzed for intestinal fatty acid-binding protein (I-FABP) concentration as a marker of intestinal damage. The magnitude of increase in postmarathon plasma I-FABP concentration was significantly greater in control group (107%; 95% confidence interval [CI], 72-428%) when compared with runners wearing compression socks (38%; 95% CI, 20-120%; p = 0.046; d = 0.59). Wearing compression socks during a marathon run reduced exercise-associated intestinal damage. Compression socks may prove an effective strategy to minimize the intestinal damage component of exercise-induced gastrointestinal syndrome. Copyright © 2020 National Strength and Conditioning Association.</t>
  </si>
  <si>
    <t>https://search.ebscohost.com/login.aspx?direct=true&amp;db=mdc&amp;AN=33065702&amp;site=ehost-live</t>
  </si>
  <si>
    <t>Compression-induced improvements in post-exercise recovery are associated with enhanced blood flow, and are not due to the placebo effect.</t>
  </si>
  <si>
    <t>O'Riordan SF; Bishop DJ; Halson SL; Broatch JR</t>
  </si>
  <si>
    <t>Scientific reports</t>
  </si>
  <si>
    <t>10.1038/s41598-022-21029-2</t>
  </si>
  <si>
    <t>Myalgia; Placebo Effect; Exercise physiology; Humans; Muscle, Skeletal physiology; Polyesters; Thigh</t>
  </si>
  <si>
    <t>The aim of this study was to investigate the physiological effects of compression tights on blood flow following exercise and to assess if the placebo effect is responsible for any acute performance or psychological benefits. Twenty-two resistance-trained participants completed a lower-body resistance exercise session followed by a 4 h recovery period. Participants were assigned a post-exercise recovery intervention of either compression tights applied for 4 h (COMP), placebo tablet consumed every hour for 4 h (PLA) or control (CON). Physiological (markers of venous return, muscle blood flow, blood metabolites, thigh girth), performance (countermovement jump, isometric mid-thigh pull), and psychological measures (perceived muscle soreness, total quality of recovery) were collected pre-exercise, immediately post-exercise, at 30 (markers of venous return and muscle blood flow) and 60 min (blood metabolites, thigh girth and psychological measures) intervals during 4 h of recovery, and at 4 h, 24 h and 48 h post-exercise. No significant (P &gt; 0.05) differences were observed between interventions. However, effect size analysis revealed COMP enhanced markers of venous return, muscle blood flow, recovery of performance measures, psychological measures and reduced thigh girth compared to PLA and CON. There were no group differences in blood metabolites. These findings suggest compression tights worn after resistance exercise enhance blood flow and indices of exercise recovery, and that these benefits were not due to a placebo effect. © 2022. The Author(s).</t>
  </si>
  <si>
    <t>https://search.ebscohost.com/login.aspx?direct=true&amp;db=mdc&amp;AN=36202885&amp;site=ehost-live</t>
  </si>
  <si>
    <t>Design of the performance outcome scoring template (POS-T) with example application on CO 2 emissions reduction amongst 36 OECD member countries.</t>
  </si>
  <si>
    <t>Raysmith BP; Timpka T; Jacobsson J; Drew MK; Dahlström Ö</t>
  </si>
  <si>
    <t>10.1038/s41598-022-08368-w</t>
  </si>
  <si>
    <t>Carbon Dioxide; Organisation for Economic Co-Operation and Development; Humans; Reproducibility of Results</t>
  </si>
  <si>
    <t>In applied program settings, such as in natural environment control and education, performance evaluation is usually conducted by evaluators considering both self-comparison and comparison with peers. We have developed the performance outcome scoring template (POS-T) for assessments with high face-validity in these settings. POS-T puts achievements of individuals or groups in context, i.e. the resulting performance outcome score (POS) reflects a meaningful measure of performance magnitude with regards to internal and external comparisons. Development of a POS is performed in four steps supported by a statistical framework. Software is supplied for creation of scoring applications in different performance evaluation settings. We demonstrate the POS-T by evaluation of CO 2 emissions reduction amongst 36 OECD member countries. © 2022. The Author(s).</t>
  </si>
  <si>
    <t>https://search.ebscohost.com/login.aspx?direct=true&amp;db=mdc&amp;AN=35292671&amp;site=ehost-live</t>
  </si>
  <si>
    <t>Despite maintaining a high daily training availability, a quarter of athletes start the season injured and three quarters experience injury in an Australian State Academy of Sport.</t>
  </si>
  <si>
    <t>Sheehy DJ; Toohey LA; Panagodage Perera NK; Drew MK</t>
  </si>
  <si>
    <t>10.1016/j.jsams.2021.09.003</t>
  </si>
  <si>
    <t>Australia; Athletic Injuries epidemiology; Athletes; Australia epidemiology; Female; Humans; Incidence; Male; Prospective Studies; Seasons</t>
  </si>
  <si>
    <t>Objectives: To 1) investigate the incidence, prevalence, burden and characteristics of injuries; and 2) explore the frequency of physiotherapy and medical servicing for elite sports academy athletes over a 12-month season. Design: Prospective cohort study. Methods: Medical attention and time-loss injuries were prospectively recorded by Physiotherapy and Medical (Sports Physician) staff for 94 athletes (72.3% females). The number of linked physiotherapy and medical servicing appointments was also recorded. Injury incidence rates (IIR), point and period prevalence, and injury burden were calculated and compared by athlete gender, sport, and categorisation (performance level) using incidence rate ratios (IRR). Results: The number of injuries reported was 193 in 71 (75.5%) athletes. The IIR was 2.1 (95%CI: 1.8 to 2.4) injuries per 365 days, with no gender difference observed (IRR: 1.1, 0.8 to 1.4). The injury burden was 43.5 (95%CI: 37.8 to 50.1) days absent per 365 days. More than one-quarter (point prevalence, 26.6%) of athletes commenced the season with an injury. In-season injury risk was 2.5 fold greater in athletes who started the season with an injury compared to athletes who started the season without an injury (IRR: 2.5, 1.9 to 3.4). The majority (81.2%) of the 1164 appointments recorded were physiotherapy, with an overall 4.3:1.0 physiotherapy to medical appointment ratio. Conclusions: One in four athletes began the elite pathway season with a pre-existing injury, while also demonstrating a 2.5 fold greater risk of subsequent injury in the scholarship period. Sports should not assume their athletes are uninjured at the beginning of their scholarship. Injury profiles, and physiotherapy and medical servicing varied across sports. To reduce health as a barrier in the successful transition of talented young athletes to elite athletes, injury management strategies at the commencement of recruitment and throughout the scholarship should be prioritised in the development pathway. Crown Copyright © 2021. Published by Elsevier Ltd. All rights reserved.</t>
  </si>
  <si>
    <t>https://search.ebscohost.com/login.aspx?direct=true&amp;db=mdc&amp;AN=34556402&amp;site=ehost-live</t>
  </si>
  <si>
    <t>Development and validity of the subjective training quality scale.</t>
  </si>
  <si>
    <t>Shell SJ; Slattery K; Clark B; Broatch JR; Halson SL; Coutts AJ</t>
  </si>
  <si>
    <t>10.1080/17461391.2022.2111276</t>
  </si>
  <si>
    <t>Routledge/Taylor &amp; Francis</t>
  </si>
  <si>
    <t>This study aimed to define, develop, and validate a subjective scale of training quality. Two related studies were used to 1) define training quality and 2) develop and validate a subjective scale. Part One: a purposive sample of 15 sub-elite (i.e. national) and elite (i.e. international) swimmers participated in one, 20-30-min semi-structured interview. Thematic analysis of interview responses established three constructs to define training quality. These were the physical, technical, and mental aspects of training. Part Two: development of the Subjective Training Quality (STQ) scale based on the three constructs identified in Part One. 252 sub-elite and elite athletes, across eight sports completed the STQ scale. Cronbach's alpha (α) assessed internal consistency, histogram plot analysis assessed face validity, and confirmatory factor analysis (CFA) compared physical, technical, and mental constructs with training quality. Root mean square error of approximation (RMSEA) and standardised root mean square residual (SRMR) evaluated CFA quality of fit. Physical, technical, and mental constructs demonstrated a high "acceptable" level of internal consistency (α = 0.85) and excellent face validity. Comparatively, the CFA quality of fit was "excellent" (RMSEA = &lt;0.01 "good", SRMR = 0.00 "perfect"). The STQ scale demonstrated excellent internal consistency and face validity, establishing capacity to monitor training quality. The STQ scale could be used in conjunction with traditional training monitoring tools to provide additional insight into athlete's training quality. Further investigation is required to determine how the STQ scale may interact with subjective and objective training performance measures, and how it could be incorporated into daily training monitoring. Highlights Athletes perceive the subjective training quality (STQ) scale adequately represents the physical, technical, and mental constructs of training quality.Excellent internal consistency and confirmatory factor analysis fit demonstrates the STQ scale is an effective tool to monitor training quality.With additional validation, the STQ scale could be used in conjunction with traditional load monitoring tools to provide greater insight to an athlete's training response, and subsequently inform training prescription.</t>
  </si>
  <si>
    <t>https://search.ebscohost.com/login.aspx?direct=true&amp;db=mdc&amp;AN=35965450&amp;site=ehost-live</t>
  </si>
  <si>
    <t>Effect of concurrent strength and endurance training on run performance and biomechanics: A randomized controlled trial.</t>
  </si>
  <si>
    <t>10.1111/sms.14092</t>
  </si>
  <si>
    <t>Endurance Training; Resistance Training; Running; Biomechanical Phenomena; Humans; Muscle Strength; Oxygen Consumption; Physical Endurance</t>
  </si>
  <si>
    <t>This parallel-group randomized controlled trial investigated the effect of concurrent strength and endurance (CSE) training on running performance, biomechanics, and muscle activity during overground running. Thirty moderately trained distance runners were randomly assigned to 10-week CSE training (n = 15; 33.1 ± 7.5 years) or a control group (n = 15; 34.2 ± 8.2 years). Participants ran ≥30 km per week and had no experience with strength training. The primary outcome measure was 2-km run time. Secondary outcome measures included lower limb sagittal plane biomechanics and muscle activity during running (3.89 m s -1 and maximal sprinting); maximal aerobic capacity (V̇O 2 max); running economy; and body composition. CSE training improved 2-km run time (mean difference (MD): -11.3 s [95% CI -3.7, -19.0]; p = 0.006) and time to exhaustion during the V̇O 2 max running test (MD 59.1 s [95% CI 8.58, 109.62]; p = 0.024). The CSE training group also reduced total body fat (MD: -1.05 kg [95% CI -0.21, -1.88]; p = 0.016) while total body mass and lean body mass were unchanged. Hip joint angular velocity during the early swing phase of running at 3.89 m s -1 was the only biomechanical or muscle activity variable that significantly changed following CSE training. CSE training is beneficial for running performance, but changes in running biomechanics and muscle activity may not be contributing factors to the performance improvement. Future research should consider other possible mechanisms and the effect of CSE training on biomechanics and muscle activity during prolonged running under fatigued conditions. © 2021 John Wiley &amp; Sons A/S. Published by John Wiley &amp; Sons Ltd.</t>
  </si>
  <si>
    <t>https://search.ebscohost.com/login.aspx?direct=true&amp;db=mdc&amp;AN=34767655&amp;site=ehost-live</t>
  </si>
  <si>
    <t>Effects of Westbound Trans-meridian Travel on Countermovement Jump Performance in International-Level Rowers.</t>
  </si>
  <si>
    <t>10.1519/JSC.0000000000003762</t>
  </si>
  <si>
    <t>Air Travel; Athletic Performance; Meridians; Athletes; Body Height; Humans; Male; Muscle Strength</t>
  </si>
  <si>
    <t>Abstract: Everett, KLA, Chapman, DW, Mitchell, JA, and Ball, N. Effects of westbound trans-meridian travel on countermovement jump performance in international-level rowers. J Strength Cond Res 36(7): 1961-1965, 2022-International long-haul air travel is a necessity for many athletes as part of their training or competition schedules. However, long-haul travel is also associated with impaired neuromuscular function. An athlete's lower body neuromuscular status is frequently assessed and monitored using countermovement jump (CMJ). This study assessed the impact of westbound trans-meridian travel on changes in CMJ performance in highly trained aerobic athletes. Highly trained male rowers (n = 21, 23.7 ± 1.4 years, 1.91 ± 0.07 m, 86.9 ± 9.9 kg) undertook a westbound flight incurring 22 hours of flight time with 30 hours of total travel time across 9 time zones. Athletes completed a single set of 6 loaded CMJ repetitions before and after travel with performance measured using a digital optical encoder attached to a 20 kg barbell. Each CMJ repetition was assessed for mean concentric velocity, jump height (JH), eccentric displacement, JH:dip ratio, mean power, and mean eccentric velocity, with comparisons made between mean set changes before and after travel. Changes were compared using a one tail paired t-test and characterized using Cohen's d (95% confidence interval) effect sizes. Significance was accepted at p ≤ 0.05. Small-to-moderate changes were observed in all variables following westbound travel. These changes may be because of retention of high training loads before travel resulting in the athletes being in a fatigued state, whereas travel time worked as a forced recovery period. Reductions in CMJ performance are likely following westbound travel, however, may be affected by training fatigue before travel that may confound CMJ performance as a monitoring metric. Copyright © 2020 National Strength and Conditioning Association.</t>
  </si>
  <si>
    <t>https://search.ebscohost.com/login.aspx?direct=true&amp;db=mdc&amp;AN=32947574&amp;site=ehost-live</t>
  </si>
  <si>
    <t>Energetics in elite race walkers.</t>
  </si>
  <si>
    <t>Etxebarria N; Spratford W; Iriberri J; Ross M; Gomez-Ezeiza J; Pyne D</t>
  </si>
  <si>
    <t>10.1080/17461391.2021.1948615</t>
  </si>
  <si>
    <t>Oxygen Consumption; Walking; Adult; Athletes; Exercise Test; Gait; Humans; Male</t>
  </si>
  <si>
    <t>Race walkers must conform to a unique gait pattern with no visible loss of contact with the ground. However, how the gait pattern affects the race walking economy is unclear. We investigated the energy cost (amount of energy spent per distance unit) at different race walking velocities and over a 25 km hybrid walk. Twenty-one international-level male race walkers ( V ˙ O 2peak 63.8 ± 4.3 ml kg -1 min -1 , age 31 ± 5 y, body mass 68.1 ± 7.0 kg) performed an incremental treadmill test consisting of 4 × 4 min submaximal stages with 1 km h -1 increments, and a 25 km submaximal hybrid walk (treadmill-overground) on separate days. Energy cost was measured continuously during the submaximal test and at km 0-1, 6-7, 12-13, 18-19, 23-24 of the 25 km hybrid walk. The C RW was similar across the four submaximal stages where half the athletes completed them at a higher (1 km h -1 ) absolute velocity (-0.01-0.15 ± ∼0.65); range of standardised differences ±90% CL, with a tendency for higher performing athletes to have a lower C RW when this was analysed during absolute race walking velocities of 12, 13 and 14 km -1 for the entire cohort (0.46-0.49 ± ∼0.67). There was no substantial change in C RW from the start to the end of the 25 km walk for the entire cohort (0.08 ± 2.2; standardised change ±90% CL). Elite race walkers are characterised by having a similar energy cost among athletes who perform at the same relative exercise intensity, and substantially higher energetics than counterpart elite endurance runners.</t>
  </si>
  <si>
    <t>https://search.ebscohost.com/login.aspx?direct=true&amp;db=mdc&amp;AN=34379572&amp;site=ehost-live</t>
  </si>
  <si>
    <t>Epidemiology of injuries sustained in professional Australian netball: A three season cohort study.</t>
  </si>
  <si>
    <t>Toohey LA; Antcliff A; Drew MK; Wells F; Saunders N; Piromalli LE; West S; White S; Fox AS</t>
  </si>
  <si>
    <t>10.1016/j.jsams.2021.12.004</t>
  </si>
  <si>
    <t>Australia; Athletic Injuries epidemiology; Basketball injuries; Australia epidemiology; Cohort Studies; Humans; Incidence; Seasons</t>
  </si>
  <si>
    <t>Objectives: To report the medical attention and time-loss injury epidemiology of Australia's premier netball competition. Design: Descriptive epidemiological study. Methods: One-hundred and nineteen players in the Suncorp Super Netball league were under surveillance during three consecutive seasons (2017-2019), inclusive of pre-, in-, and post- season phases. Medical attention injuries were recorded by medical personnel, and additionally sub-categorised according to time loss. Injury incidence rates (IIR) and injury burden were calculated per 365 player contract days, with differences between season and season phase IIRs compared using negative binomial generated incidence rate ratios (IRR). Results: Eight hundred and sixty-six medical attention injuries and 393 time-loss injuries were recorded. The majority of the players had multiple (≥2) medical attention (n = 92; 77.3%) and time-loss (n = 75, 63.0%) injuries reported. The ankle (n = 181; 20.9%), knee (n = 136; 15.7%) and foot (n = 98; 11.3%) were the body sites with the most frequently reported medical attention injuries. Overall, there was a comparable injury incidence rate between the pre-season and in-season periods (IRR = 1.13, 95%CI = 0.98-1.30, p = 0.0842), although variation in the injury burden was identified. Ankle tendon injuries (23.5 days absence) and knee joint injuries (44.9 days absence) the most burdensome injuries in the pre-season and in-season periods respectively. Conclusions: Lower limb injuries are the most frequent in professional level netball. Knee and ankle injuries are the most burdensome overall, however the type of injuries with a high burden vary between pre- and in-season periods. Time-loss, non-time loss and subsequent injuries are prominent in professional level netball. Copyright © 2021 Elsevier Ltd. All rights reserved.</t>
  </si>
  <si>
    <t>https://search.ebscohost.com/login.aspx?direct=true&amp;db=mdc&amp;AN=35031236&amp;site=ehost-live</t>
  </si>
  <si>
    <t>Establishing the incidence and prevalence of injury and illness in Australian sailing athletes over a full year of training and competition to help determine prevention priorities.</t>
  </si>
  <si>
    <t>Crunkhorn ML; Wolff A; Drew M; Witchalls J; Lalor B; Toohey LA</t>
  </si>
  <si>
    <t>10.1016/j.jsams.2022.06.012</t>
  </si>
  <si>
    <t>Australia; Athletic Injuries epidemiology; Athletic Injuries etiology; Athletic Injuries prevention &amp; control; Athletes; Australia epidemiology; Female; Humans; Incidence; Male; Prevalence</t>
  </si>
  <si>
    <t>Objectives: To investigate the prevalence, incidence rate (IR) and burden of health problems (injuries and illnesses) in Australian Olympic class and State Sailing Pathway Program (SSPP) athletes over 12-months of training and competition. Design: Descriptive epidemiological study. Methods: Ninety-two Australian Sailing and SSPP athletes were prospectively followed during the 2019-2020 season. Medical attention injuries and illnesses were prospectively recorded, and further sub-categorised according to time loss. The IR and burden were calculated per 365 athlete-days, with differences in IR between sexes compared using negative binomial generated rate ratios. Results: Three hundred and forty-nine injuries were reported in 53 athletes (57.6 %), with 14.3 % resulting in time loss. Injury IR was 3.71 (95%CI = 3.33-4.12) injuries per 365 athlete-days, with no difference observed between sex (IRR = 1.64; 95%CI = 0.81-3.34). Shoulder injuries were found to have the greatest burden. Fifty-four illnesses were reported in 27 athletes (29.3 %), with 39.0 % resulting in time loss. Respiratory infection (n = 22, 40.7 %) was the most common illness reported. Illness IR was 0.57 (95%CI = 0.43-0.75) illnesses per 365 athlete days, with females found to have a 3.6 fold increase in illness compared to males (IRR = 3.6; 95%CI = 2.0-6.7). Conclusions: The majority of health problems reported in sailing athletes did not result in time loss. There were no differences in the injury IR between sexes, however females had a 3.6-fold increase in reported illness. These results can inform future strategies to reduce key health problems in sailors. Future research investigating whether performance is impacted by the high rate of non-time loss health problems is warranted. Copyright © 2022 Sports Medicine Australia. Published by Elsevier Ltd. All rights reserved.</t>
  </si>
  <si>
    <t>https://search.ebscohost.com/login.aspx?direct=true&amp;db=mdc&amp;AN=35868988&amp;site=ehost-live</t>
  </si>
  <si>
    <t>Exploring Australian high-performance athletes' perceptions and experiences of sport participation during pregnancy and post-pregnancy: Development and test-retest reliability of the Mum-Alete Survey.</t>
  </si>
  <si>
    <t>Forsdick VK; Harris R; Saw R; Hayman M; Buckling H; Sundgot-Borgen J; Hughes D; Panagodage Perera NK</t>
  </si>
  <si>
    <t>Physical therapy in sport : official journal of the Association of Chartered Physiotherapists in Sports Medicine</t>
  </si>
  <si>
    <t>10.1016/j.ptsp.2022.09.003</t>
  </si>
  <si>
    <t>Churchill Livingstone</t>
  </si>
  <si>
    <t>Objectives: To develop and assess the test-retest reliability of a survey exploring high-performance athletes' perceptions and experiences during and post-pregnancy. Design: Cross-sectional mixed-methods survey. Methods: A three-phase approach was employed to develop the Mum-Alete survey. Relevant domains and questions were identified through a review of the literature and gap analysis (Phase 1). The face and content validity were assessed during Phase 2. The survey was modified, and the final survey included 113 questions. The test-retest reliability was assessed during Phase 3. Seven athletes aged ≥18 years who were currently pregnant and/or given birth since 1 July 2016 were recruited. The survey was administered via Qualtrics and completed on two occasions. Intraclass correlation coefficient (ICC) were determined to assess test-retest reliability (excellent, good, moderate, and poor). Results: The average ICC of all items was 0.962 (95% CI 0.957-0.966) demonstrating excellent test-retest reliability. The test-retest reliability was excellent for the demographic and general questions domain (ICC = 0.967 95% CI 0.955-0.977) and good for the exercise (ICC 0.762 95% CI 0.707-0.811), physical health (ICC 0.841 95% CI 0.810-0.868) and well-being (ICC 0.827 95% CI 0.784-0.865) domains. Conclusions: The high test-retest reliability of the survey indicates excellent consistency of measures between the two time-points. Competing Interests: Declaration of competing interest None declared. Crown Copyright © 2022. Published by Elsevier Ltd. All rights reserved.</t>
  </si>
  <si>
    <t>https://search.ebscohost.com/login.aspx?direct=true&amp;db=mdc&amp;AN=36228482&amp;site=ehost-live</t>
  </si>
  <si>
    <t>Factors Influencing Team Performance: What Can Support Teams in High-Performance Sport Learn from Other Industries? A Systematic Scoping Review.</t>
  </si>
  <si>
    <t>Salcinovic B; Drew M; Dijkstra P; Waddington G; Serpell BG</t>
  </si>
  <si>
    <t>10.1186/s40798-021-00406-7</t>
  </si>
  <si>
    <t>Background: The primary aim of our systematic scoping review was to explore the factors influencing team function and performance across various industries and discuss findings in the context of the high-performance sport support team setting. These outcomes may also be used to inform future research into high-performance teamwork in sport. Methods: A systematic scoping review of literature published in English since 2000 reporting team-based performance outcomes and included a performance metric that was 'team outcome based' was conducted using search of the Academic Search Ultimate, Medline, Business Source Ultimate, APA PsycInfo, CINAHL, SPORTDiscus, and Military database (ProQuest) using the terms: 'team', 'function' OR 'dysfunction', 'Perform*' OR 'outcome'. Results: Application of the search strategy identified a total of 11,735 articles for title and abstract review. Seventy-three articles were selected for full-text assessment with the aim to extract data for either quantitative or qualitative analysis. Forty-six of the 73 articles met our inclusion criteria; 27 articles were excluded as they did not report a performance metric. Eleven studies explored leadership roles and styles on team performance, three studies associated performance feedback to team performance, and 12 studies explored the relationship between supportive behaviour and performance. Team orientation and adaptability as key figures of team performance outcomes were explored in 20 studies. Conclusions: Our findings identified 4 key variables that were associated with team function and performance across a variety of industries; (i) leadership styles, (ii) supportive team behaviour, (iii) communication, and (iv) performance feedback. High-performance teams wishing to improve performance should examine these factors within their team and its environment. It is widely acknowledged that the dynamics of team function is important for outcomes in high-performance sport, yet there is little evidence to provide guidance. This inequality between real-world need and the available evidence should be addressed in future research. © 2022. The Author(s).</t>
  </si>
  <si>
    <t>https://search.ebscohost.com/login.aspx?direct=true&amp;db=mdc&amp;AN=35192078&amp;site=ehost-live</t>
  </si>
  <si>
    <t>Free Achilles tendon strain during selected rehabilitation, locomotor, jumping, and landing tasks.</t>
  </si>
  <si>
    <t>Devaprakash D; Graham DF; Barrett RS; Lloyd DG; Obst SJ; Kennedy B; Adams KL; Kiely RJ; Hunter A; Vlahovich N; Pease DL; Shim VB; Besier TF; Zheng M; Cook JL; Pizzolato C</t>
  </si>
  <si>
    <t>Journal of applied physiology (Bethesda, Md. : 1985)</t>
  </si>
  <si>
    <t>10.1152/japplphysiol.00662.2021</t>
  </si>
  <si>
    <t>American Physiological Society</t>
  </si>
  <si>
    <t>Achilles Tendon; Running; Tendinopathy; Tendon Injuries; Biomechanical Phenomena; Humans; Walking</t>
  </si>
  <si>
    <t>A better understanding of the strains experienced by the Achilles tendon during commonly prescribed exercises and locomotor tasks is needed to improve efficacy of Achilles tendon training and rehabilitation programs. The aim of this study was to estimate in vivo free Achilles tendon strain during selected rehabilitation, locomotor, jumping, and landing tasks. Sixteen trained runners with no symptoms of Achilles tendinopathy participated in this study. Personalized free Achilles tendon moment arm and force-strain curve were obtained from imaging data and used in conjunction with motion capture and surface electromyography to estimate free Achilles tendon strain using electromyogram-informed neuromusculoskeletal modeling. There was a strong correspondence between Achilles tendon force estimates from the present study and experimental data reported in the literature ( R 2 &gt; 0.85). The average tendon strain was highest for maximal hop landing (8.8 ± 1.6%), lowest for walking at 1.4 m/s (3.1 ± 0.8%), and increased with locomotor speed during running (run 3.0 m/s: 6.5 ± 1.6%; run 5.0 m/s: 7.9 ± 1.7%) and during heel rise exercise with added mass (BW: 5.8 ± 1.3%; 1.2 BW: 6.9 ± 1.7%). The peak tendon strain was highest during running (5 m/s: 13.7 ± 2.5%) and lowest during walking (1.4 m/s: 7 ± 1.8%). Overall findings provide a preliminary evidence base for exercise selection to maximize anabolic tendon remodeling during training and rehabilitation of the Achilles tendon. NEW &amp; NOTEWORTHY Our work combines medical imaging and electromyogram-informed neuromusculoskeletal modeling data to estimate free Achilles tendon strain during selected rehabilitation, locomotor, jumping, and landing tasks in trained middle-distance runners. These data may potentially be used to inform Achilles tendon training and rehabilitation to maximize anabolic tendon remodeling.</t>
  </si>
  <si>
    <t>https://search.ebscohost.com/login.aspx?direct=true&amp;db=mdc&amp;AN=35142563&amp;site=ehost-live</t>
  </si>
  <si>
    <t>In-Season Nutrition Strategies and Recovery Modalities to Enhance Recovery for Basketball Players: A Narrative Review.</t>
  </si>
  <si>
    <t>Davis JK; Oikawa SY; Halson S; Stephens J; O'Riordan S; Luhrs K; Sopena B; Baker LB</t>
  </si>
  <si>
    <t>10.1007/s40279-021-01606-7</t>
  </si>
  <si>
    <t>Basketball; Humans; Massage; Seasons; Sleep; Workload</t>
  </si>
  <si>
    <t>Basketball players face multiple challenges to in-season recovery. The purpose of this article is to review the literature on recovery modalities and nutritional strategies for basketball players and practical applications that can be incorporated throughout the season at various levels of competition. Sleep, protein, carbohydrate, and fluids should be the foundational components emphasized throughout the season for home and away games to promote recovery. Travel, whether by air or bus, poses nutritional and sleep challenges, therefore teams should be strategic about packing snacks and fluid options while on the road. Practitioners should also plan for meals at hotels and during air travel for their players. Basketball players should aim for a minimum of 8 h of sleep per night and be encouraged to get extra sleep during congested schedules since back-to back games, high workloads, and travel may negatively influence night-time sleep. Regular sleep monitoring, education, and feedback may aid in optimizing sleep in basketball players. In addition, incorporating consistent training times may be beneficial to reduce bed and wake time variability. Hydrotherapy, compression garments, and massage may also provide an effective recovery modality to incorporate post-competition. Future research, however, is warranted to understand the influence these modalities have on enhancing recovery in basketball players. Overall, a strategic well-rounded approach, encompassing both nutrition and recovery modality strategies, should be carefully considered and implemented with teams to support basketball players' recovery for training and competition throughout the season. © 2021. The Author(s).</t>
  </si>
  <si>
    <t>https://search.ebscohost.com/login.aspx?direct=true&amp;db=mdc&amp;AN=34905181&amp;site=ehost-live</t>
  </si>
  <si>
    <t>Managing Female Athlete Health: Auditing the Representation of Female versus Male Participants among Research in Supplements to Manage Diagnosed Micronutrient Issues.</t>
  </si>
  <si>
    <t>10.3390/nu14163372</t>
  </si>
  <si>
    <t>Micronutrients; Trace Elements; Athletes; Calcium; Calcium, Dietary; Dietary Supplements; Female; Humans; Iron; Male; Vitamin D; Vitamins</t>
  </si>
  <si>
    <t>Micronutrient deficiencies and sub-optimal intakes among female athletes are a concern and are commonly prevented or treated with medical supplements. However, it is unclear how well women have been considered in the research underpinning current supplementation practices. We conducted an audit of the literature supporting the use of calcium, iron, and vitamin D. Of the 299 studies, including 25,171 participants, the majority (71%) of participants were women. Studies with exclusively female cohorts (37%) were also more prevalent than those examining males in isolation (31%). However, study designs considering divergent responses between sexes were sparse, accounting for 7% of the literature. Moreover, despite the abundance of female participants, the quality and quantity of the literature specific to female athletes was poor. Just 32% of studies including women defined menstrual status, while none implemented best-practice methodologies regarding ovarian hormonal control. Additionally, only 10% of studies included highly trained female athletes. Investigations of calcium supplementation were particularly lacking, with just two studies conducted in highly trained women. New research should focus on high-quality investigations specific to female athletes, alongside evaluating sex-based differences in the response to calcium, iron, and vitamin D, thus ensuring the specific needs of women have been considered in current protocols involving medical supplements.</t>
  </si>
  <si>
    <t>https://search.ebscohost.com/login.aspx?direct=true&amp;db=mdc&amp;AN=36014878&amp;site=ehost-live</t>
  </si>
  <si>
    <t>Measurement bias in estimates of system power during a vertical jump.</t>
  </si>
  <si>
    <t>Williams KJ; Chapman DW; Phillips EJ; Ball NB</t>
  </si>
  <si>
    <t>10.1080/14763141.2019.1649715</t>
  </si>
  <si>
    <t>Athletes; Muscle Strength; Biomechanical Phenomena; Humans; Male</t>
  </si>
  <si>
    <t>This investigation sought to quantify the level of measurement agreement in system force, velocity and power values derived across three commonly applied assessment techniques during a countermovement jump (CMJ). Twenty-five male national representative athletes completed three CMJs under unloaded (0% 1RM ) and loaded (40% 1RM ) jump conditions. Associated values of force, velocity and power were captured simultaneously from either a linear optical encoder (LOE) or force plate (FP) and then compared to the gold-standard reference values derived from a combined force plate and three-dimensional motion capture system (FPMC). The LOE significantly ( p &lt; 0.001) overestimated and failed to meet the minimum level of relatedness (&lt;0.80) for measures of peak velocity, peak force, peak power and mean power across both conditions compared to the FPMC reference values. A reduction in measurement dispersion and bias was, however, evident during the loaded condition. The FP significantly ( p &lt; 0.05) underestimated mean and peak power across both conditions, yet measurement bias and dispersion remained consistent. These findings highlight a disparity in measurement agreement in force, velocity and power values across alternative assessment techniques and loads. Such variance in measurement agreement will uniquely alter derived force-velocity profiles, and thus the prescription of training loads to maximise system power during unrestricted CMJs.</t>
  </si>
  <si>
    <t>https://search.ebscohost.com/login.aspx?direct=true&amp;db=mdc&amp;AN=31573403&amp;site=ehost-live</t>
  </si>
  <si>
    <t>Measurement of uni-planar and sport specific trunk motion using magneto-inertial measurement units: The concurrent validity of Noraxon and Xsens systems relative to a retro-reflective system.</t>
  </si>
  <si>
    <t>Cottam DS; Campbell AC; Davey MPC; Kent P; Elliott BC; Alderson JA</t>
  </si>
  <si>
    <t>Gait &amp; posture</t>
  </si>
  <si>
    <t>10.1016/j.gaitpost.2021.11.012</t>
  </si>
  <si>
    <t>Elsevier Sciencem</t>
  </si>
  <si>
    <t>Movement; Sports; Biomechanical Phenomena; Humans; Range of Motion, Articular; Torso</t>
  </si>
  <si>
    <t>Background: There is a range of magneto-inertial measurement unit (MIMU) systems commercially available, however sensor specifications and fusion methods vary considerably between manufacturers. Such variability can influence the concurrent validity of MIMUs relative to reference standard measurement devices. Different MIMUs have been compared during static or low-velocity conditions, with higher-velocity movements assessed in robotic-based studies. However, there is a need for the concurrent validity of higher-velocity movements to be established in human-based studies. Research Question: This study aimed to assess the concurrent validity of two commercial MIMU systems (Noraxon and Xsens), relative to a 'gold-standard' retro-reflective motion capture system, when measuring trunk angles during uni-planar range of motion (ROM) and cricket bowling, which involves high-speed, multi-planar movements. Methods: For this criterion-based validity study, both MIMU systems incorporated comparable sensor specifications and employed Kalman filter sensor fusion algorithms. The MIMU based angles were compared with angles derived from concurrently captured three-dimensional retro-reflective data for 10 fast-medium bowlers. Statistical parametric mapping and root mean squared differences (RMSD) were computed for both MIMU systems. Results: One-dimensional statistical parametric mapping showed no significant differences for angles from both MIMU systems when compared with retro-reflective based angle outputs. The MIMU systems produced ROM RMSDs between 1.4 ± 1.0° and 2.6 ± 1.5°. One system displayed RMSDs between 4.6 ± 1.4° and 7.4 ± 1.9° during bowling, indicating functionally relevant differences to retro-reflective derived angles. There were some small but statistically significant differences in RMSDs between the MIMU systems. Significance: MIMU-based angle accuracy is poorer during high-speed, multi-planar movement than uni-planar tasks. Comparable MIMU systems can produce varying measurements during ROM and bowling tasks. It is likely that varying sample rates and sensor fusion algorithm parameters contributed to the differences. Crown Copyright © 2021. Published by Elsevier B.V. All rights reserved.</t>
  </si>
  <si>
    <t>https://search.ebscohost.com/login.aspx?direct=true&amp;db=mdc&amp;AN=34844151&amp;site=ehost-live</t>
  </si>
  <si>
    <t>Mental fatigue increases across a 16-week pre-season in elite female athletes.</t>
  </si>
  <si>
    <t>Russell S; Jenkins DG; Halson SL; Kelly VG</t>
  </si>
  <si>
    <t>10.1016/j.jsams.2021.12.002</t>
  </si>
  <si>
    <t>Athletes; Basketball; Female; Humans; Hydrocortisone analysis; Mental Fatigue</t>
  </si>
  <si>
    <t>Objectives: To examine potential changes in mental and physical fatigue across an elite netball pre-season training phase and relationships between mental fatigue, physical fatigue, salivary cortisol (sCort) and alpha-amylase (sAA). Design: Observational with repeated measures. Methods: Across a 16-week pre-season, 10 elite female netballers (25.3 ± 3.7y) rated their physical fatigue, mental fatigue and readiness to perform on 100-mm visual analogue scales, and provided salivary samples for sCort and sAA analyses. Results: Linear mixed model analyses revealed elevated (p &lt; 0.05) ratings of mental fatigue for weeks 12, 14 and 15 v 1; 12, 14 and 15 v 4 and 14 v 7. Higher (p &lt; 0.05) ratings of physical fatigue were reported on weeks 6, 10, 11 and 12-16 compared to week 4; and 10 and 13 compared to week 7. Moderate and large ES differences were found between multiple weeks. Mental and physical fatigue demonstrated a shared variance of 14.3% (r = 0.38, p &lt; 0.001) and an inverse relationship was observed between mental fatigue and readiness to perform (r = -0.50; p &lt; 0.001). Changes in sCort nor sAA were not related to changes in mental or physical fatigue. Conclusions: Mental fatigue fluctuated across the 16-week pre-season phase with elevated ratings observed in the later weeks. Whilst value remains in identifying subjective tools to assess mental fatigue; salivary biomarkers do not appear to be a suitable objective indicator of mental fatigue in the applied sporting environment. Practitioners should work to identify and manage mental fatigue with the same level of importance given to the periodisation of physical fatigue. Copyright © 2021 Sports Medicine Australia. Published by Elsevier Ltd. All rights reserved.</t>
  </si>
  <si>
    <t>https://search.ebscohost.com/login.aspx?direct=true&amp;db=mdc&amp;AN=35027320&amp;site=ehost-live</t>
  </si>
  <si>
    <t>Methodology Review: A Protocol to Audit the Representation of Female Athletes in Sports Science and Sports Medicine Research.</t>
  </si>
  <si>
    <t>Smith ES; McKay AKA; Ackerman KE; Harris R; Elliott-Sale KJ; Stellingwerff T; Burke LM</t>
  </si>
  <si>
    <t>10.1123/ijsnem.2021-0257</t>
  </si>
  <si>
    <t>Sports physiology; Sports Medicine; Athletes; Female; Humans</t>
  </si>
  <si>
    <t>Female-specific research on sports science and sports medicine (SSSM) fails to mirror the increase in participation and popularity of women's sport. Females have historically been excluded from SSSM research, particularly because their physiological intricacy necessitates more complex study designs, longer research times, and additional costs. Consequently, most SSSM practices are based on research with men, despite potential problems in translation to females due to sexual dimorphism in biological and phenotypical parameters as well as differences in event characteristics (e.g., race distances/durations). Recognition that erroneous extrapolations may hamper the efforts of females to maximize their athletic potential has created an impetus to acknowledge and readdress the sex disparity in SSSM research. To direct the priorities for future research, it is prudent to first develop a comprehensive understanding of the gaps in current knowledge by systematically "auditing" the literature. By conducting audits of the literature to highlight underdeveloped topics or identify potential problems with the quality of research, this information can then be used to expediently direct new research activities. This paper therefore presents a standardized audit methodology to establish the representation of female athletes in subdisciplines of existing SSSM research, including a template for reporting the results of key metrics. This standardized audit process will enable comparisons over time and between research subdisciplines. This working guide provides an important step toward achieving sex equity across SSSM research, with the eventual goal of providing evidence-based recommendations specific to the female athlete.</t>
  </si>
  <si>
    <t>https://search.ebscohost.com/login.aspx?direct=true&amp;db=mdc&amp;AN=35168200&amp;site=ehost-live</t>
  </si>
  <si>
    <t>Nutrition factors associated with rib stress injury history in elite rowers.</t>
  </si>
  <si>
    <t>Lundy B; Suni V; Drew M; Trease L; Burke LM</t>
  </si>
  <si>
    <t>10.1016/j.jsams.2022.08.017</t>
  </si>
  <si>
    <t>Objectives: To investigate associations between nutrition factors (diet restriction, menstrual status, calcium intake, vitamin D and K status), bone mineral density (BMD) and rib stress injury (RSI) history. Design: Cross-sectional. Methods: 133 elite rowers completed a self-report questionnaire to collect information regarding training and injury history, menstrual status and diet restriction, and a calcium intake questionnaire (SCQ2002). BMD and body composition were assessed by dual-energy X-ray absorptiometry. A sub-group (n = 68) had vitamin D and K status assessed from fasted morning blood. History of RSI was self-reported and verified against medical records. Characteristics of injured and uninjured rowers were compared (one-way ANOVA), while relationships with BMD (multiple linear regression) and RSI (multiple logistic regression) were modelled. Results: Diet restriction was inversely related to spine BMD and rib BMD. Within sex, vitamin D and K status, and calcium intake were not associated with injury. Among rowers with RSI history, lightweight males had lower total bone mass, femur BMD and rib BMD, whereas heavyweight females had lower rib BMD. In relation to RSI history, the best models included rib, spine or femur BMD with age, body fat and sex. A female-specific model included rib BMD, current menstrual dysfunction, age and body fat levels. Conclusions: BMD, including that of the rib, diet restriction, menstrual function and weight category were associated with rib injury history and should be considered in the management of elite rowers. Copyright © 2022 Elsevier Ltd. All rights reserved.</t>
  </si>
  <si>
    <t>https://search.ebscohost.com/login.aspx?direct=true&amp;db=mdc&amp;AN=36137920&amp;site=ehost-live</t>
  </si>
  <si>
    <t>Prediction of 2000-m on-water rowing performance with measures derived from instrumented boats.</t>
  </si>
  <si>
    <t>Holt AC; Siegel R; Ball K; Hopkins WG; Aughey RJ</t>
  </si>
  <si>
    <t>10.1111/sms.14125</t>
  </si>
  <si>
    <t>Sports; Water Sports; Efficiency; Female; Humans; Male; Ships; Water</t>
  </si>
  <si>
    <t>Purpose: Rowing instrumentation systems provide measures of stroke power, stroke rate, and boat velocity during rowing races, but how well these measures predict race performance has not been reported previously. Methods: Data were collected per stroke from 45 2000-m races using Peach PowerLine and OptimEye S5 GPS units. The boat classes assessed were nine male singles, eight female singles, three male pairs, and six female pairs. Random effects and residuals from general linear mixed modeling of stroke velocity adjusted for stroke power, stroke rate, and mean headwind provided measures interpreted as technical efficiency, race conditions, and stroke-velocity variability. These measures, along with mean race power, mean stroke rate, and mean headwind were then included in multiple linear regressions to predict race velocity from official race times. Effects were assessed for 2 SD changes in predictors and interpreted using interval hypothesis tests. Results: Effects of mean race power, mean stroke rate, and mean headwind on race velocity ranged from small to extremely large and were mostly decisively substantial. Effects of technical efficiency and race conditions ranged from trivial to extremely large but were generally unclear, while stroke-velocity variability had trivial-small and mostly unclear effects. Prediction error was small to moderate and decisively substantial. Men's pairs lacked sufficient data for analysis. Conclusion: On-water rowing race performance can be predicted with mean race values of power, stroke rate, and headwind. Estimates from stroke data are potentially useful predictors but require impractical numbers of boats and races to reduce their uncertainty. © 2022 John Wiley &amp; Sons A/S . Published by John Wiley &amp; Sons Ltd.</t>
  </si>
  <si>
    <t>https://search.ebscohost.com/login.aspx?direct=true&amp;db=mdc&amp;AN=34981575&amp;site=ehost-live</t>
  </si>
  <si>
    <t>Prevalence and Correlates of Mental Health Symptoms and Well-Being Among Elite Sport Coaches and High-Performance Support Staff.</t>
  </si>
  <si>
    <t>Pilkington V; Rice SM; Walton CC; Gwyther K; Olive L; Butterworth M; Clements M; Cross G; Purcell R</t>
  </si>
  <si>
    <t>10.1186/s40798-022-00479-y</t>
  </si>
  <si>
    <t>Background: There is growing understanding of mental health needs in elite athletes, but less is known about the mental health of coaches and support staff who work within elite sport settings. This study examined the prevalence and correlates of mental health symptoms in elite-level coaches and high-performance support staff (HPSS) and compared rates against published elite athlete samples. A cross-sectional, anonymous, online survey was administered to coaches and HPSS working in Australia's high-performance sports system. Main outcomes were scores on validated measures of psychological distress, probable 'caseness' for a diagnosable psychological condition, alcohol consumption and sleep disturbance. Results: Data were provided by 78 coaches (mean age = 46.4 years, 23.8% female) and 174 HPSS (mean age = 40.0 years, 56.7% female). Overall, 41.2% of the sample met probable caseness criteria, 13.9% reported high to very high psychological distress, 41.8% reported potential risky alcohol consumption and 17.7% reported moderate to severe sleep disturbance, with no statistically significant differences between coaches and HPSS. The most robust correlates of psychological distress and probable caseness were dissatisfaction with social support and dissatisfaction with life balance, while poor life balance was also associated with increased alcohol consumption and poor social support with sleep disturbance. Coaches and HPSS reported similar prevalence of mental health outcomes compared to rates previously observed in elite athletes, with the exception of higher reporting of alcohol consumption among coaches and HPSS. Conclusions: Elite-level coaches and HPSS reported levels of psychological distress and probable caseness similar to those previously reported among elite-level athletes, suggesting that these groups are also susceptible to the pressures of high-performance sporting environments. Screening for mental health symptoms in elite sport should be extended from athletes to all key stakeholders in the daily training environment, as should access to programs to support mental health and well-being. © 2022. The Author(s).</t>
  </si>
  <si>
    <t>https://search.ebscohost.com/login.aspx?direct=true&amp;db=mdc&amp;AN=35792942&amp;site=ehost-live</t>
  </si>
  <si>
    <t>Prickly pear juice consumption after fat intake affects postprandial heart rate variability but not traditional risk factors of cardiovascular disease in healthy men.</t>
  </si>
  <si>
    <t>Gouws CA; McKune A; Tee N; Somerset S; Mortazavi R</t>
  </si>
  <si>
    <t>Nutrition (Burbank, Los Angeles County, Calif.)</t>
  </si>
  <si>
    <t>10.1016/j.nut.2021.111555</t>
  </si>
  <si>
    <t>Elsevier Science</t>
  </si>
  <si>
    <t>Beverages; Cardiovascular Diseases blood; Cardiovascular Diseases etiology; Cardiovascular Diseases prevention &amp; control; Heart Rate drug effects; Heart Rate physiology; Opuntia chemistry; Plant Extracts pharmacology; Blood Glucose; Cholesterol, LDL blood; Cross-Over Studies; Double-Blind Method; Humans; Male; Postprandial Period; Risk Factors; Triglycerides blood</t>
  </si>
  <si>
    <t>Objective: Prickly Pear (PP) fruit is proposed to have anti-atherosclerotic and anti-hyperglycemic effects. The aim of this study was to examine the effects of a single consumption of PP juice on modifiable blood and physiological markers of cardiovascular disease risk in healthy men using a postprandial hyperlipidemia model. Methods: This was a double-blind, randomized, placebo-controlled, crossover trial with 17 healthy men (body mass index 22.6 ± 2.04 kg/m 2 ; 29.5 ± 7.19 y of age). Participants consumed PP juice (250 mL; 45 mg betalain content; reduced fiber) or a simple placebo drink (water-based), with a high-fat muffin (50 g fat) to determine potential effects on physiologic and biological responses, for up to 3 h post-consumption (hourly, 2 sessions, 7-d washout period). Blood pressure, heart rate variability (HRV), total cholesterol (TC), triacylglycerides (TGs), low-density and high-density lipoprotein cholesterol (LDL-C and HDL-C, respectively), and glucose were measured. Results: Key findings included a lower HRV measure after PP consumption (main effect for group, P ≤0.001-0.020) but no differences for TC, TG, LDL-C, or HDL-C. Conclusion: Consumption of PP (with high-fat muffin), did not alter traditional cardiovascular disease risk responses but rather markers of HRV, beyond an expected increase in glucose attributed to the carbohydrate content of the trials foods. Additionally, macronutrient content is important when understanding HRV responses to meals. Copyright © 2021 Elsevier Inc. All rights reserved.</t>
  </si>
  <si>
    <t>https://search.ebscohost.com/login.aspx?direct=true&amp;db=mdc&amp;AN=35167999&amp;site=ehost-live</t>
  </si>
  <si>
    <t>Psychological safety in elite sport settings: a psychometric study of the Sport Psychological Safety Inventory.</t>
  </si>
  <si>
    <t>Rice S; Walton CC; Pilkington V; Gwyther K; Olive LS; Lloyd M; Kountouris A; Butterworth M; Clements M; Purcell R</t>
  </si>
  <si>
    <t>e001251</t>
  </si>
  <si>
    <t>10.1136/bmjsem-2021-001251</t>
  </si>
  <si>
    <t>Objectives: Effectively supporting the mental health of elite athletes and coaches requires validated tools that assess not only individual-level factors but organisational-level influences. The aim of this study was to develop a bespoke scale assessing perceived psychological safety within high-performance environments. Methods: 337 elite athletes ( M =24.12 years) and 238 elite-level coaches and high-performance support staff (HPSS; M=41.9 years) identified via the Australian Institute of Sport provided data across a range of mental health and well-being domains. Exploratory factor analysis (EFA; n=169 athletes) with parallel analysis identified the Sport Psychological Safety Inventory (SPSI) factor structure. Confirmatory factor analysis (CFA) validated the identified structure in separate validation subsamples of athletes (n=168) and coaches/HPSS (n=238). Results: EFA identified the 11-item, 3-factor SPSI. Factors assessed domains of the Mentally Healthy Environment, Mental Health Literacy and Low Self-Stigma. All scale items loaded strongly on their specific domain. CFA model fit indices validated scale structure for athletes and coaches/HPSS. Internal consistency and convergent and divergent validity were evident. Logistic regression indicated that incrementally higher Mentally Healthy Environment scores reduced the likelihood of athletes scoring in the 'moderate' range of general and athlete-specific distress, with a stronger endorsement of the Low Self-Stigma subscale reducing the likelihood of being identified for athlete-specific distress. Conclusion: Psychometric properties of the SPSI support scale utility among athletes and coaches/HPSS in elite sports settings, though further psychometric efforts are needed. This brief measure may support benchmarking efforts across elite sporting contexts to improve mental health culture and broader well-being among athletes and coaches/HPSS. Competing Interests: Competing interests: Authors MB and MC are employed by the Australian Institute of Sport, which is funded by Sport Australia. © Author(s) (or their employer(s)) 2022. Re-use permitted under CC BY-NC. No commercial re-use. See rights and permissions. Published by BMJ.</t>
  </si>
  <si>
    <t>https://search.ebscohost.com/login.aspx?direct=true&amp;db=mdc&amp;AN=35592544&amp;site=ehost-live</t>
  </si>
  <si>
    <t>Relationships Between Punch Impact Force and Upper- and Lower-Body Muscular Strength and Power in Highly Trained Amateur Boxers.</t>
  </si>
  <si>
    <t>Dunn EC; Humberstone CE; Franchini E; Iredale KF; Blazevich AJ</t>
  </si>
  <si>
    <t>10.1519/JSC.0000000000003585</t>
  </si>
  <si>
    <t>Boxing; Muscle Strength; Humans; Male; Upper Extremity</t>
  </si>
  <si>
    <t>Abstract: Dunn, EC, Humberstone, CE, Franchini, E, Iredale, KF, and Blazevich, AJ. Relationships between punch impact force and upper- and lower-body muscular strength and power in highly trained amateur boxers. J Strength Cond Res 36(4): 1019-1025, 2022-This study examined the relationship between upper- and lower-body strength and power characteristics and punch performance in 28 highly trained male amateur boxers. Punch performance was assessed with a custom-built punch integrator using a 3-minute maximal effort punch test that contained straight- and bent-arm punches from the lead and rear hands. Peak punch force and force-time variables including impulse and rate of force development (RFD; calculated to various points) were assessed. Force, power, and RFD of the upper and lower body were assessed with countermovement bench throw, isometric bench push, countermovement jump (CMJ), and isometric midthigh pull (IMTP) tests. Correlation and regression analyses revealed significant (p &lt; 0.05) relationships between peak punch force and forces measured in CMJ and IMTP tests. In addition, peak punch force was moderately and significantly correlated to body mass, but RFD in the lower body was not. Moreover, no meaningful relationships between punch performance characteristics and any upper-body strength or power parameter were identified. The results of this study show that lower-body strength but not RFD had a moderate to strong positive and significant correlation to peak punch force production. Although upper-body strength and power are expected to be important in boxing, they did not discriminate between boxers who punched with higher or lower peak force nor were they correlated to peak punch force. Training that improves lower-body strength without increasing total body mass (to maintain weight category) may positively influence punch capacity in highly trained amateur boxers. Copyright © 2020 National Strength and Conditioning Association.</t>
  </si>
  <si>
    <t>https://search.ebscohost.com/login.aspx?direct=true&amp;db=mdc&amp;AN=32218063&amp;site=ehost-live</t>
  </si>
  <si>
    <t>Repeated-Sprint Exercise in the Heat Increases Indirect Markers of Gastrointestinal Damage in Well-Trained Team-Sport Athletes.</t>
  </si>
  <si>
    <t>Wallett A; McKune A; Pyne D; Bishop D; Girard O; Saunders P; Périard J</t>
  </si>
  <si>
    <t>10.1123/ijsnem.2021-0150</t>
  </si>
  <si>
    <t>Gastrointestinal Tract physiopathology; Hot Temperature; Lipopolysaccharide Receptors; Running; Acute-Phase Proteins; Athletes; Carrier Proteins; Fatty Acid-Binding Proteins; Heart Rate physiology; Heat-Shock Proteins; Humans; Male; Membrane Glycoproteins</t>
  </si>
  <si>
    <t>Introduction: Athletes engaged in repeated-sprint training in the heat can be at an increased risk of gastrointestinal ischemia and damage in response to a redistribution of blood to working skeletal muscles and the skin. This study investigated the effects of repeated sprinting in hot and cool conditions on markers of gastrointestinal damage. Methods: Twenty-five, well-trained, nonheat acclimated male team-sport athletes completed a five-session, repeated-sprint training regimen over 7 days in either HOT (40 °C and 40% relative humidity [RH]) or COOL (20 °C and 40% RH) conditions. Participants underwent a 20-min warm-up and four sets of 5 × 6-s maximal cycling sprints, with 24-s rest and 5-min recovery between sets. Venous blood was collected pre-, post-, and 1 hr postexercise and analyzed for intestinal fatty acid binding protein, lipopolysaccharide binding protein, soluble CD14, and heat-shock protein. Results: Intestinal fatty acid binding protein concentrations were significantly increased (p &lt; .004) postexercise (593 and 454 pg/ml) and 1 hr postexercise (466 and 410 pg/ml) on both Days 1 and 5 in HOT. Soluble CD14 increased by 398 and 308 ng/ml postexercise (p = .041), and lipopolysaccharide binding protein increased by 1,694 ng/ml postexercise on Day 1 in HOT (p &lt; .05) and by 1,520 ng/ml on Day 5 in COOL (p = .026). Core and skin temperature, rating of perceived exertion, and thermal sensation were higher (p &lt; .05) in HOT on Days 1 and 5 during sprinting. Conclusions: Repeated sprinting in the heat induced greater thermal strain and mild changes in gastrointestinal damage, likely attributable to the combination of environmental conditions and maximal-intensity exercise.</t>
  </si>
  <si>
    <t>https://search.ebscohost.com/login.aspx?direct=true&amp;db=mdc&amp;AN=35130515&amp;site=ehost-live</t>
  </si>
  <si>
    <t>Return to exercise post-COVID-19 infection: A pragmatic approach in mid-2022.</t>
  </si>
  <si>
    <t>Hughes DC; Orchard JW; Partridge EM; La Gerche A; Broderick C</t>
  </si>
  <si>
    <t>10.1016/j.jsams.2022.06.001</t>
  </si>
  <si>
    <t>Editorial</t>
  </si>
  <si>
    <t>COVID-19; Exercise; Exercise Therapy; Humans</t>
  </si>
  <si>
    <t>https://search.ebscohost.com/login.aspx?direct=true&amp;db=mdc&amp;AN=35725689&amp;site=ehost-live</t>
  </si>
  <si>
    <t>Risk and protective factors for mental ill-health in elite para- and non-para athletes.</t>
  </si>
  <si>
    <t>Olive LS; Rice SM; Gao C; Pilkington V; Walton CC; Butterworth M; Abbott L; Cross G; Clements M; Purcell R</t>
  </si>
  <si>
    <t>Frontiers in psychology</t>
  </si>
  <si>
    <t>10.3389/fpsyg.2022.939087</t>
  </si>
  <si>
    <t>Frontiers Research Foundation</t>
  </si>
  <si>
    <t>Objective: To apply a socioecological approach to identify risk and protective factors across levels of the "sports-ecosystem," which are associated with mental health outcomes among athletes in para-sports and non-para sports. A further aim is to determine whether para athletes have unique risks and protective factor profiles compared to non-para athletes. Methods: A cross-sectional, anonymous online-survey was provided to all categorized (e.g., highest level) athletes aged 16 years and older, registered with the Australian Institute of Sport (AIS). Mental health outcomes included mental health symptoms (GHQ-28), general psychological distress (K-10), risky alcohol consumption (AUDIT-C) and eating disorder risk (BEDA-Q). Risk and protective factors across multiple levels of the socioecological model, including individual, microsystem, exosystem and macrosystem level factors were assessed via self-report. Results: A total of 427 elite athletes (71 para and 356 non-para athletes) participated in the study. No significant differences in the rates of mental health problems were observed between para and non-para athletes. Both differences and similarities in risk and protective factor profiles were found across the multiple levels of the sports-ecosystem. Weak evidence was also found to support the hypothesis that certain risk factors, including experiencing two or more adverse life events in the past year, sports related concussion, high self-stigma, inadequate social support and low psychological safety conferred a greater risk for poorer mental health outcomes for para athletes in particular. Conclusion: Risk factors occurring across various levels of the sports ecosystem, including individual, interpersonal and organizational level risk factors were found to be associated with a range of poorer mental health outcomes. The association between mental ill-health and certain risk factors, particularly those at the individual and microsystem level, appear to be greater for para athletes. These findings have important implications for policy and mental health service provision in elite sports settings, highlighting the need for more nuanced approaches to subpopulations, and the delivery of mental health interventions across all levels of the sports ecosystem. Competing Interests: MB, MC, and GC were employed by the Australian Institute of Sport, which is funded by the Australian Sports Commission. The remaining authors declare that the research was conducted in the absence of any commercial or financial relationships that could be construed as a potential conflict of interest. Copyright © 2022 Olive, Rice, Gao, Pilkington, Walton, Butterworth, Abbott, Cross, Clements and Purcell.</t>
  </si>
  <si>
    <t>https://search.ebscohost.com/login.aspx?direct=true&amp;db=mdc&amp;AN=36118450&amp;site=ehost-live</t>
  </si>
  <si>
    <t>Short-Term Very High Carbohydrate Diet and Gut-Training Have Minor Effects on Gastrointestinal Status and Performance in Highly Trained Endurance Athletes.</t>
  </si>
  <si>
    <t>King AJ; Etxebarria N; Ross ML; Garvican-Lewis L; Heikura IA; McKay AKA; Tee N; Forbes SF; Beard NA; Saunders PU; Sharma AP; Gaskell SK; Costa RJS; Burke LM</t>
  </si>
  <si>
    <t>10.3390/nu14091929</t>
  </si>
  <si>
    <t>Clinical Trial</t>
  </si>
  <si>
    <t>Dietary Carbohydrates; Physical Endurance physiology; Athletes; Diet; Female; Humans; Male; Walking physiology</t>
  </si>
  <si>
    <t>We implemented a multi-pronged strategy (MAX) involving chronic (2 weeks high carbohydrate [CHO] diet + gut-training) and acute (CHO loading + 90 g·h -1 CHO during exercise) strategies to promote endogenous and exogenous CHO availability, compared with strategies reflecting lower ranges of current guidelines (CON) in two groups of athletes. Nineteen elite male race walkers (MAX: 9; CON:10) undertook a 26 km race-walking session before and after the respective interventions to investigate gastrointestinal function (absorption capacity), integrity (epithelial injury), and symptoms (GIS). We observed considerable individual variability in responses, resulting in a statistically significant ( p &amp;lt; 0.001) yet likely clinically insignificant increase (Δ 736 pg·mL -1 ) in I-FABP after exercise across all trials, with no significant differences in breath H 2 across exercise ( p = 0.970). MAX was associated with increased GIS in the second half of the exercise, especially in upper GIS ( p &amp;lt; 0.01). Eighteen highly trained male and female distance runners (MAX: 10; CON: 8) then completed a 35 km run (28 km steady-state + 7 km time-trial) supported by either a slightly modified MAX or CON strategy. Inter-individual variability was observed, without major differences in epithelial cell intestinal fatty acid binding protein (I-FABP) or GIS, due to exercise, trial, or group, despite the 3-fold increase in exercise CHO intake in MAX post-intervention. The tight-junction (claudin-3) response decreased in both groups from pre- to post-intervention. Groups achieved a similar performance improvement from pre- to post-intervention (CON = 39 s [95 CI 15-63 s]; MAX = 36 s [13-59 s]; p = 0.002). Although this suggests that further increases in CHO availability above current guidelines do not confer additional advantages, limitations in our study execution (e.g., confounding loss of BM in several individuals despite a live-in training camp environment and significant increases in aerobic capacity due to intensified training) may have masked small differences. Therefore, athletes should meet the minimum CHO guidelines for training and competition goals, noting that, with practice, increased CHO intake can be tolerated, and may contribute to performance outcomes.</t>
  </si>
  <si>
    <t>https://search.ebscohost.com/login.aspx?direct=true&amp;db=mdc&amp;AN=35565896&amp;site=ehost-live</t>
  </si>
  <si>
    <t>Sleep Quality in Elite Athletes: Normative Values, Reliability and Understanding Contributors to Poor Sleep.</t>
  </si>
  <si>
    <t>Halson SL; Johnston RD; Appaneal RN; Rogers MA; Toohey LA; Drew MK; Sargent C; Roach GD</t>
  </si>
  <si>
    <t>10.1007/s40279-021-01555-1</t>
  </si>
  <si>
    <t>Athletes; Sleep Quality; Female; Humans; Male; Reproducibility of Results; Retrospective Studies; Sleep; Surveys and Questionnaires</t>
  </si>
  <si>
    <t>Background: The aims of this retrospective study were to (i) provide a description of sleep quality in elite athletes as measured by the Pittsburgh Sleep Quality Index (PSQI), (ii) provide normative PSQI data, (iii) identify differences across sex and sport, (iv) identify components that contribute to high PSQI scores and (v) assess PSQI test-retest reliability. Methods: The PSQI was completed by 479 athletes (371 female and 108 male) across 20 Olympic team and individual sports. For ordinal and categorical variables, the Wilcoxon rank sum test and Chi Squared tests were used, respectively. A random forest regression was built to determine the importance of each PSQI component. Test-retest reliability was assessed using two-way mixed effects intraclass correlation coefficients. Results: Fifty-two percent of athletes had a global PSQI score ≥ 5. Team sport athletes reported significantly longer sleep onset latency times but longer sleep durations compared with individual sport athletes. Sleep onset latency and sleep quality made the greatest contribution to the global PSQI scores. The PSQI demonstrated variability over periods of 2 months or more, with a minimal detectable change of 3 arbitrary units (AU). Conclusion: Long sleep onset latency and poor perceived sleep quality made the greatest contribution to the high PSQI scores observed in approximately half of elite athletes investigated. The PSQI should be administered at regular intervals due to variability within individuals over periods of 2 months or more. Individual questionnaire items or component scores of the PSQI may be useful for practitioners in guiding decision-making regarding sleep interventions in athletes. © 2021. The Author(s), under exclusive licence to Springer Nature Switzerland AG.</t>
  </si>
  <si>
    <t>https://search.ebscohost.com/login.aspx?direct=true&amp;db=mdc&amp;AN=34554425&amp;site=ehost-live</t>
  </si>
  <si>
    <t>Stakeholder insights into athlete attrition in the high-performance pathway.</t>
  </si>
  <si>
    <t>Guevara SA; Donaldson A; Keegan RJ; Appaneal RN; Smyth EA; Waddington G; Mahony K; Drew MK</t>
  </si>
  <si>
    <t>10.1016/j.jsams.2022.05.011</t>
  </si>
  <si>
    <t>Australia; Athletes psychology; Sports psychology; Australia; Cluster Analysis; Humans</t>
  </si>
  <si>
    <t>Objectives: Primary: To gain a system-wide perspective on factors leading to athlete attrition from a high-performance sport system (HPSS). Secondary: To identify what a sample of system-wide stakeholders and past athletes value as the most important and feasible attrition factors to address to retain talented athletes. Design: Mixed-methods. Methods: Concept mapping was used for qualitative data collection and quantitative data analysis. Sixty-one participants including: (i) past athletes from an Australian state sporting institute; (ii) their families; and (iii) internal and external stakeholders to a HPSS who supported past athletes. Results: Participants brainstormed 83 unique statements (i.e. attrition factors) that were mapped into 13 clusters of attrition factors following multidimensional scaling and hierarchical cluster analysis performed on the participants sorting data: 'abuse and mismanagement of health'; 'athlete health'; 'limited support/resourcing'; 'coaching'; 'inconsistent processes'; 'financial and career support'; 'pathway structure'; 'organisational dynamics'; 'competitive stress'; 'performance potential'; 'challenges with selection and transition'; 'psychological state'; and 'competing non-sport priorities'. 'Abuse and mismanagement of health' had the highest mean importance (3.76 out of 5) and feasibility (3.31) rating. The 13 clusters were further grouped into four overarching domains: 'sport system policy, structure and processes'; 'pathway structure, transition and support'; 'individual athlete health and capability'; and 'whole-of-life demands and priorities'. The domain 'sport system policy, structure and processes' contained the most important and feasible clusters. Conclusions: Macro (system-level) and micro (intrapersonal and interpersonal) level athlete attrition factors should be considered together. Athlete health was considered the most important athlete retention issue to address. Copyright © 2022. Published by Elsevier Ltd.</t>
  </si>
  <si>
    <t>https://search.ebscohost.com/login.aspx?direct=true&amp;db=mdc&amp;AN=35718681&amp;site=ehost-live</t>
  </si>
  <si>
    <t>'That time of the month' … for the biggest event of your career! Perception of menstrual cycle on performance of Australian athletes training for the 2020 Olympic and Paralympic Games.</t>
  </si>
  <si>
    <t>McNamara A; Harris R; Minahan C</t>
  </si>
  <si>
    <t>e001300</t>
  </si>
  <si>
    <t>10.1136/bmjsem-2021-001300</t>
  </si>
  <si>
    <t>Objective: This study explored the perceived effect of the menstrual cycle (MC) on the performance of Australian female athletes, preparing for the Tokyo Olympic and/or Paralympic Games. Methods: 195 female athletes, nominated by 24 National Sporting Organisations as preparing for the Tokyo Olympic and/or Paralympic Games, completed an online questionnaire ('MCq perceptions'). The MCq perceptions investigated menstrual symptoms, hormonal contraceptive (HC) use and a preferred competition window within the MC. Results: Two-thirds (65.6%) athletes reported that their MC affected their performance; in training (65.6%) compared with competition (58.0%).Aesthetic-sport athletes were most likely to perceive their performance to be affected by their MC (RR=1.40) compared with endurance (RR=0.88) and strength-sport (RR=1.04) athletes. Athletes experiencing three or more symptoms were twice as likely to identify as affected. Athletes who reported pain (RR=1.89) or the use of analgesia (RR=1.45) were more likely to identify as affected by their MC.A preferred competition window was identified by athletes as 'just after your period' (41.5%). For athletes not using HC, this window was identified by 53.7%. Conclusion: In Australia, elite-female athletes perceive their MC to affect their performance, and many have a preferred performance window. Performance-focused strategies should be created for 'affected' athletes, aiming to provide these athletes with education, and where appropriate, control over predictability, timing and symptoms of their MC. Competing Interests: Competing interests: RH as CMO of Paralympics Australia, sought approval from PA to collect data in parasport. AM as Pathways Medical Lead of Rowing Australia sought approval from PMO of Rowing Australia and Head Coach of Women’s Rowing NTC to collect data in rowing. © Author(s) (or their employer(s)) 2022. Re-use permitted under CC BY-NC. No commercial re-use. See rights and permissions. Published by BMJ.</t>
  </si>
  <si>
    <t>https://search.ebscohost.com/login.aspx?direct=true&amp;db=mdc&amp;AN=35505980&amp;site=ehost-live</t>
  </si>
  <si>
    <t>The effect of fatiguing lower-body exercise on punch forces in highly-trained boxers.</t>
  </si>
  <si>
    <t>Dunn EC; Humberstone CE; Franchini E; Iredale FK; Blazevich AJ</t>
  </si>
  <si>
    <t>10.1080/17461391.2021.1916085</t>
  </si>
  <si>
    <t>Boxing physiology; Muscle Fatigue; Fatigue; Hand; Humans; Male; Muscle, Skeletal</t>
  </si>
  <si>
    <t>This study aimed to examine the effect of intense intermittent lower-body and trunk exercise (rowing) on punching performance in 28 highly-trained male amateur boxers. Straight- and bent-arm punch performances were assessed with a custom-built punch integrator using a 3-min maximal-effort punch test, completed in both non-fatigued (ROW pre ) and fatigued (ROW post ) states. A within-subject repeated measures design was implemented; subjects completed ROW pre , then 9 × 1-min bouts of rowing (1-min rest intervals), followed by ROW post . Peak punch force and force-time variables, including impulse and rate of force development (RFD; calculated to five time points), were assessed. Differences between ROW pre and ROW post for each punch type (jab, cross, lead- and rear-hand hook) were tested with a linear mixed model, and effect sizes (Cohen's d ) were calculated. Results showed significant ( p &lt; 0.05) reductions in punch force in ROW post compared to ROW pre for all punch types as well as significant delays in the time to reach specific force levels, and relative percentages of peak force (RFD) in all punches except the jab. It is likely that fatigue of the lower body and trunk muscles impaired ground reaction force, and thus punch force, production. This effect was larger in punches that involved a greater degree of trunk rotation, crosses and hooks, than in the jab which relies predominantly on arm extension. These findings reveal the negative effect of fatigue on punch force production, and provide evidence that lower-body and trunk force are important for generating punch force. HighlightsThe ability of the lower body to generate force affects the magnitude of punch force produced in trained boxers.A bout of intense rowing exercise significantly reduces punch force, and rate of force development. This should be carefully considered when programming and scheduling boxing specific training sessions and strength and conditioning sessions.While non-specific fatigue affected the punch performance of boxers, the authors call for further research to examine the effects of fatigue sustained during a boxing bout in comparison to non-boxing muscular fatigue and a non-exercise control.</t>
  </si>
  <si>
    <t>https://search.ebscohost.com/login.aspx?direct=true&amp;db=mdc&amp;AN=33858296&amp;site=ehost-live</t>
  </si>
  <si>
    <t>The effect of footwear on mechanical behaviour of the human ankle plantar-flexors in forefoot runners.</t>
  </si>
  <si>
    <t>Bonacci J; Spratford W; Kenneally-Dabrowski C; Trowell D; Lai A</t>
  </si>
  <si>
    <t>PloS one</t>
  </si>
  <si>
    <t>e0274806</t>
  </si>
  <si>
    <t>10.1371/journal.pone.0274806</t>
  </si>
  <si>
    <t>Public Library of Science</t>
  </si>
  <si>
    <t>Ankle physiology; Running physiology; Ankle Joint physiology; Foot physiology; Humans; Shoes</t>
  </si>
  <si>
    <t>Purpose: To compare the ankle plantar-flexor muscle-tendon mechanical behaviour during barefoot and shod forefoot running. Methods: Thirteen highly trained forefoot runners performed five overground steady-state running trials (4.5 ± 0.5 m.s-1) while barefoot and shod. Three-dimensional kinematic and ground reaction force data were collected and used as inputs for musculoskeletal modelling. Muscle-tendon behaviour of the ankle plantar-flexors (soleus; medial gastrocnemius; and lateral gastrocnemius) were estimated across the stance phase and compared between barefoot and shod running using a two-way multivariate analysis of variance. Results: During barefoot running peak muscle-tendon unit (MTU) power generation was 16.5% (p = 0.01) higher compared to shod running. Total positive MTU work was 18.5% (p = 0.002) higher during barefoot running compared to shod running. The total sum of tendon elastic strain energy was 8% (p = 0.036) greater during barefoot compared to shod running, however the relative contribution of tendon and muscle fibres to muscle-tendon unit positive work was not different between conditions. Conclusion: Barefoot forefoot running demands greater muscle and tendon work than shod forefoot running, but the relative contribution of tendon strain energy to overall muscle-tendon unit work was not greater. Competing Interests: The authors have declared that no competing interests exist.</t>
  </si>
  <si>
    <t>https://search.ebscohost.com/login.aspx?direct=true&amp;db=mdc&amp;AN=36121825&amp;site=ehost-live</t>
  </si>
  <si>
    <t>The Impact of Sleep Inertia on Physical, Cognitive, and Subjective Performance Following a 1- or 2-Hour Afternoon Nap in Semiprofessional Athletes.</t>
  </si>
  <si>
    <t>Romyn G; Roach GD; Lastella M; Miller DJ; Versey NG; Sargent C</t>
  </si>
  <si>
    <t>10.1123/ijspp.2021-0414</t>
  </si>
  <si>
    <t>Sleep physiology; Wakefulness physiology; Athletes; Cognition; Humans; Male; Polysomnography; Sleep Deprivation</t>
  </si>
  <si>
    <t>Purpose: This study examined the impact of sleep inertia on physical, cognitive, and subjective performance immediately after a 1- or 2-hour afternoon nap opportunity. Methods: Twelve well-trained male athletes completed 3 conditions in a randomized, counterbalanced order-9 hours in bed overnight without a nap opportunity the next day (9 + 0), 8 hours in bed overnight with a 1-hour nap opportunity the next day (8 + 1), and 7 hours in bed overnight with a 2-hour nap opportunity the next day (7 + 2). Nap opportunities ended at 4:00 PM. Sleep was assessed using polysomnography. Following each condition, participants completed four 30-minute test batteries beginning at 4:15, 4:45, 5:15, and 5:45 PM. Test batteries included a warm-up, self-ratings of readiness to perform, motivation to perform and expected performance, two 10-m sprints, 2 agility tests, a 90-second response-time task, and 5 minutes of seated rest. Results: Total sleep time was not different between conditions (P = .920). There was an effect of condition on readiness (P &lt; .001), motivation (P = .001), and expected performance (P = .004)-all 3 were lower in the 8 + 1 and 7 + 2 conditions compared with the 9 + 0 condition. There was no effect of condition on response time (P = .958), sprint time (P = .204), or agility (P = .240), but a large effect size was observed for agility. Conclusions: After waking from a nap opportunity, agility may be reduced, and athletes may feel sleepy and not ready or motivated to perform. Athletes should schedule sufficient time (∼1 h) after waking from a nap opportunity to avoid the effects of sleep inertia on performance.</t>
  </si>
  <si>
    <t>https://search.ebscohost.com/login.aspx?direct=true&amp;db=mdc&amp;AN=35606094&amp;site=ehost-live</t>
  </si>
  <si>
    <t>The Physiological Nature of Mental Fatigue: Current Knowledge and Future Avenues for Sport Science.</t>
  </si>
  <si>
    <t>Roelands B; Kelly V; Russell S; Habay J</t>
  </si>
  <si>
    <t>10.1123/ijspp.2021-0524</t>
  </si>
  <si>
    <t>Sports physiology; Humans; Mental Fatigue</t>
  </si>
  <si>
    <t>https://search.ebscohost.com/login.aspx?direct=true&amp;db=mdc&amp;AN=34942596&amp;site=ehost-live</t>
  </si>
  <si>
    <t>The Relationship Between Cricket Participation, Health, and Wellbeing: A Systematic Scoping Review.</t>
  </si>
  <si>
    <t>Bullock GS; Perera N; Murray A; Orchard J; Arden NA; Filbay SR</t>
  </si>
  <si>
    <t>International journal of sports medicine</t>
  </si>
  <si>
    <t>10.1055/a-1686-6632</t>
  </si>
  <si>
    <t>Thieme</t>
  </si>
  <si>
    <t>Athletic Injuries; Gryllidae; Animals; Exercise; Female; Humans; Prospective Studies; Quality of Life; Retirement</t>
  </si>
  <si>
    <t>Summarising and synthesising the evidence on cricket health and wellbeing can help inform cricket stakeholders and navigate future research directions. The purpose of this study was to investigate the relationship between cricket participation, health and wellbeing at all ages and playing standards, and identify research gaps in the existing literature. A scoping review was performed from inception to March, 2020. Studies were included if they assessed a construct related to health and/or wellbeing in cricketers, available in English. 219 articles were eligible. Injury incidence per 1,000 player exposures ranged from 1.8-5.7 injuries. 48% of former cricketers experienced persistent joint pain. However, former cricketers reported greater physical activity levels and mental-components of quality of life compared to the general population. Heat injury/illness and skin cancer are concerns and require further research. Cricket participation is associated with an inherent injury risk, which may have negative implications for musculoskeletal health in later life. However, cricket participation is associated with high quality of life which can persist after retirement. Gaps in the literature include prospective studies on health and wellbeing of cricketers, female cricketers, injury prevention strategies, and the impact of cricket participation on metabolic health and lifetime physical activity. Competing Interests: The authors declare that they have no conflict of interest. Thieme. All rights reserved.</t>
  </si>
  <si>
    <t>https://search.ebscohost.com/login.aspx?direct=true&amp;db=mdc&amp;AN=34734400&amp;site=ehost-live</t>
  </si>
  <si>
    <t>Campbell RA; Bradshaw EJ; Ball N; Hunter A; Spratford W</t>
  </si>
  <si>
    <t>10.1080/14763141.2022.2117642</t>
  </si>
  <si>
    <t>The upper limbs are important in gymnastics vaulting, as the success of the flight phase is dependent on a quick and forceful push-off from the vault. This places the upper limbs under stress, which has been associated with pain and injury. This study aimed to quantify forearm segmental loading and symmetry when performing foundation to advanced-level vaulting skills during training. Twelve advanced-level artistic gymnasts (female, n = 6; male, n = 6) wore bilaterally forearm-mounted inertial measurement units while completing their vaulting sessions. The peak resultant acceleration for the leading and non-leading forearms during contact were calculated. Female gymnasts performed variations of Yurchenko vaults, while male gymnasts performed Handspring and Tsukahara vaults. Descriptive statistics (median and inter-quartile range), symmetry index scores, and total session impact load (measure of cumulative loading) were calculated between the lead and non-lead forearms. High asymmetrical loading was identified for some Yurchenko, Handspring, and Tsukahara vaults, with large variations identified between gymnasts. Some gymnasts experienced greater loading at their lead forearm, while others experienced greater loading at their non-lead forearm. Results indicate that limb loading patterns in advanced gymnastics are highly individualised, indicating that individual analysis is needed to identify gymnasts (or limbs) at an increased risk for overuse injury.</t>
  </si>
  <si>
    <t>https://search.ebscohost.com/login.aspx?direct=true&amp;db=mdc&amp;AN=36065960&amp;site=ehost-live</t>
  </si>
  <si>
    <t>Training During the COVID-19 Lockdown: Knowledge, Beliefs, and Practices of 12,526 Athletes from 142 Countries and Six Continents.</t>
  </si>
  <si>
    <t>Washif JA; Farooq A; Krug I; Pyne DB; Verhagen E; Taylor L; Wong DP; Mujika I; Cortis C; Haddad M; Ahmadian O; Al Jufaili M; Al-Horani RA; Al-Mohannadi AS; Aloui A; Ammar A; Arifi F; Aziz AR; Batuev M; Beaven CM; Beneke R; Bici A; Bishnoi P; Bogwasi L; Bok D; Boukhris O; Boullosa D; Bragazzi N; Brito J; Cartagena RPP; Chaouachi A; Cheung SS; Chtourou H; Cosma G; Debevec T; DeLang MD; Dellal A; Dönmez G; Driss T; Peña Duque JD; Eirale C; Elloumi M; Foster C; Franchini E; Fusco A; Galy O; Gastin PB; Gill N; Girard O; Gregov C; Halson S; Hammouda O; Hanzlíková I; Hassanmirzaei B; Haugen T; Hébert-Losier K; Muñoz Helú H; Herrera-Valenzuela T; Hettinga FJ; Holtzhausen L; Hue O; Dello Iacono A; Ihalainen JK; James C; Janse van Rensburg DC; Joseph S; Kamoun K; Khaled M; Khalladi K; Kim KJ; Kok LY; MacMillan L; Mataruna-Dos-Santos LJ; Matsunaga R; Memishi S; Millet GP; Moussa-Chamari I; Musa DI; Nguyen HMT; Nikolaidis PT; Owen A; Padulo J; Pagaduan JC; Perera NP; Pérez-Gómez J; Pillay L; Popa A; Pudasaini A; Rabbani A; Rahayu T; Romdhani M; Salamh P; Sarkar AS; Schillinger A; Seiler S; Setyawati H; Shrestha N; Suraya F; Tabben M; Trabelsi K; Urhausen A; Valtonen M; Weber J; Whiteley R; Zrane A; Zerguini Y; Zmijewski P; Sandbakk Ø; Ben Saad H; Chamari K</t>
  </si>
  <si>
    <t>10.1007/s40279-021-01573-z</t>
  </si>
  <si>
    <t>COVID-19; Athletes psychology; Communicable Disease Control; Humans; Pandemics; SARS-CoV-2</t>
  </si>
  <si>
    <t>Objective: Our objective was to explore the training-related knowledge, beliefs, and practices of athletes and the influence of lockdowns in response to the coronavirus disease 2019 (COVID-19) pandemic caused by severe acute respiratory syndrome coronavirus 2 (SARS-CoV-2). Methods: Athletes (n = 12,526, comprising 13% world class, 21% international, 36% national, 24% state, and 6% recreational) completed an online survey that was available from 17 May to 5 July 2020 and explored their training behaviors (training knowledge, beliefs/attitudes, and practices), including specific questions on their training intensity, frequency, and session duration before and during lockdown (March-June 2020). Results: Overall, 85% of athletes wanted to "maintain training," and 79% disagreed with the statement that it is "okay to not train during lockdown," with a greater prevalence for both in higher-level athletes. In total, 60% of athletes considered "coaching by correspondence (remote coaching)" to be sufficient (highest amongst world-class athletes). During lockdown, &lt; 40% were able to maintain sport-specific training (e.g., long endurance [39%], interval training [35%], weightlifting [33%], plyometric exercise [30%]) at pre-lockdown levels (higher among world-class, international, and national athletes), with most (83%) training for "general fitness and health maintenance" during lockdown. Athletes trained alone (80%) and focused on bodyweight (65%) and cardiovascular (59%) exercise/training during lockdown. Compared with before lockdown, most athletes reported reduced training frequency (from between five and seven sessions per week to four or fewer), shorter training sessions (from ≥ 60 to &lt; 60 min), and lower sport-specific intensity (~ 38% reduction), irrespective of athlete classification. Conclusions: COVID-19-related lockdowns saw marked reductions in athletic training specificity, intensity, frequency, and duration, with notable within-sample differences (by athlete classification). Higher classification athletes had the strongest desire to "maintain" training and the greatest opposition to "not training" during lockdowns. These higher classification athletes retained training specificity to a greater degree than others, probably because of preferential access to limited training resources. More higher classification athletes considered "coaching by correspondence" as sufficient than did lower classification athletes. These lockdown-mediated changes in training were not conducive to maintenance or progression of athletes' physical capacities and were also likely detrimental to athletes' mental health. These data can be used by policy makers, athletes, and their multidisciplinary teams to modulate their practice, with a degree of individualization, in the current and continued pandemic-related scenario. Furthermore, the data may drive training-related educational resources for athletes and their multidisciplinary teams. Such upskilling would provide athletes with evidence to inform their training modifications in response to germane situations (e.g., COVID related, injury, and illness). © 2021. The Author(s).</t>
  </si>
  <si>
    <t>https://search.ebscohost.com/login.aspx?direct=true&amp;db=mdc&amp;AN=34687439&amp;site=ehost-live</t>
  </si>
  <si>
    <t>Treatment Considerations for Compulsive Exercise in High-Performance Athletes with an Eating Disorder.</t>
  </si>
  <si>
    <t>Martenstyn JA; Jeacocke NA; Pittman J; Touyz S; Maguire S</t>
  </si>
  <si>
    <t>10.1186/s40798-022-00425-y</t>
  </si>
  <si>
    <t>Compulsive exercise is linked with poorer treatment outcomes in people with eating disorder (EDs). High-performance athletes represent a growing and complex subcomponent of the broader ED population, and emergent evidence indicates that different conceptualisations of compulsive exercise are needed in this population. Existing randomised controlled trials in ED populations have demonstrated small treatment effects on compulsive exercise compared with control groups; however, athletes were sparsely sampled across these studies. Thus, the extent to which current treatments for compulsive exercise in EDs are also effective in high-performance athletes is unknown. For this opinion paper, we sought representation from high-performance sports leadership, someone with lived experience of both an ED and high-performance athletics, and ED clinical experts. We discuss the utility of recommending exercise abstinence in ED treatment with athletes, as well as a number of other treatment strategies with some evidence in other contexts for further consideration and research in this population. These include using mindfulness-based interventions as an adjunct to cognitive-behavioural therapies, using wearable technologies and self-reported fatigue to inform training decisions, and incorporating greater exercise variation into training programs. We also offer practical considerations for clinicians seeking to apply foundational elements of cognitive-behavioural interventions (e.g., exposure and response prevention, cognitive restructuring, behavioural experiments) into an ED treatment program for a high-performance athlete. Future research is needed to examine characteristics of pathological compulsive exercise in athletes and whether available treatments are both feasible and effective in the treatment of compulsive exercise in athletes with an ED. © 2022. The Author(s).</t>
  </si>
  <si>
    <t>https://search.ebscohost.com/login.aspx?direct=true&amp;db=mdc&amp;AN=35239063&amp;site=ehost-live</t>
  </si>
  <si>
    <t>What are the sleep characteristics of elite female athletes? A systematic review with meta-analysis.</t>
  </si>
  <si>
    <t>Miles KH; Clark B; Fowler PM; Miller J; Pumpa KL</t>
  </si>
  <si>
    <t>Biology of sport</t>
  </si>
  <si>
    <t>10.5114/biolsport.2022.108705</t>
  </si>
  <si>
    <t>PWN-Polish Scientific Publishers</t>
  </si>
  <si>
    <t>With the recent growth in female sport, practitioners need to be able to provide specific support to female athletes to ensure their sleep, health and athletic performance are optimised. Examine the patterns, duration and quality of sleep among elite female athletes, and consider the impact of situational challenges and their effects on the sleep of elite female athletes. Data was located through a search of SPORTDiscus, MEDLINE and Scopus from inception up to May 2021. Studies needed to be peer-reviewed research reporting quantitative sleep outcomes for female athletes ≥ 18 years of age and competing at a predefined elite level. A meta-analysis was performed on habitual sleep outcomes (e.g. total sleep time [TST] and sleep efficiency [SE]) measured with actigraphy. A total of 38 studies were included. Meta-analysis showed habitual TST (n = 14) was 7.8 h [7.4, 8.2] (mean [95% CI]), and SE was 86.7% [84.7, 88.6], with high variability among studies (I 2 = 97.8-98.2%). Subjective sleep complaints are common before a competition, as do post-training sleep disturbances (63% studies report TST decrease), and post-competition sleep disturbances (75% studies report TST decrease). Female athletes achieve satisfactory objective sleep quantity and quality during habitual periods, but experience sleep disturbances pre- and post-situational challenges. There is high variability of objective sleep outcomes, demonstrating the individual nature of habitual female athlete sleep. Overall, future research must focus on optimising the sleep appraisal methods and creating high-quality study designs in a broader number of sports. Competing Interests: Kathleen Miles, Brad Clark, Peter Fowler, Joanna Miller and Kate Pumpa declare they have no conflicts of interest. Copyright © Biology of Sport 2022.</t>
  </si>
  <si>
    <t>https://search.ebscohost.com/login.aspx?direct=true&amp;db=mdc&amp;AN=35959341&amp;site=ehost-live</t>
  </si>
  <si>
    <t>Below articles were added to this document 14 February 2023</t>
  </si>
  <si>
    <t>Acute Inflammatory, Anthropometric, and Perceptual (Muscle Soreness) Effects of Postresistance Exercise Water Immersion in Junior International and Subelite Male Volleyball Athletes.</t>
  </si>
  <si>
    <t>Horgan BG; West NP; Tee N; Drinkwater EJ; Halson SL; Vider J; Fonda CJ; Haff GG; Chapman DW</t>
  </si>
  <si>
    <t>1533-4287</t>
  </si>
  <si>
    <t>2022 Dec 01</t>
  </si>
  <si>
    <t>10.1519/JSC.0000000000004122</t>
  </si>
  <si>
    <t>Myalgia prevention &amp; control; Volleyball; Male; Humans; Water; Immersion; Athletes; Cold Temperature; Muscle, Skeletal physiology</t>
  </si>
  <si>
    <t>Abstract: Horgan, BG, West, NP, Tee, N, Drinkwater, EJ, Halson, SL, Vider, J, Fonda, CJ, Haff, GG, and Chapman, DW. Acute inflammatory, anthropometric, and perceptual (muscle soreness) effects of postresistance exercise water immersion in junior international and subelite male volleyball athletes. J Strength Cond Res 36(12): 3473-3484, 2022-Athletes use water immersion strategies to recover from training and competition. This study investigated the acute effects of postexercise water immersion after resistance exercise. Eighteen elite and subelite male volleyball athletes participated in an intervention using a randomized cross-over design. On separate occasions after resistance exercise, subjects completed 1 of 4 15-minute interventions: control (CON), cold water immersion (CWI), contrast water therapy (CWT), or hot water immersion (HWI). Significance was accepted at p ≤ 0.05. Resistance exercise induced significant temporal changes (time effect) for inflammatory, anthropometric, perceptual, and performance measures. Serum creatine kinase was reduced ( g = 0.02-0.30) after CWI ( p = 0.007), CWT ( p = 0.006), or HWI ( p &lt; 0.001) vs. CON, whereas it increased significantly ( g = 0.50) after CWI vs. HWI. Contrast water therapy resulted in significantly higher ( g = 0.56) interleukin-6 concentrations vs. HWI. Thigh girth increased ( g = 0.06-0.16) after CWI vs. CON ( p = 0.013) and HWI ( p &lt; 0.001) and between CWT vs. HWI ( p = 0.050). Similarly, calf girth increased ( g = 0.01-0.12) after CWI vs. CON ( p = 0.039) and CWT ( p = 0.018), and HWI vs. CON ( p = 0.041) and CWT ( p = 0.018). Subject belief in a postexercise intervention strategy was associated with HSP72 ("believer"&gt;"nonbeliever," p = 0.026), muscle soreness ("believer"&gt;"nonbeliever," p = 0.002), and interleukin-4 ("nonbeliever"&gt;"believer," p = 0.002). There were no significant treatment × time (interaction effect) pairwise comparisons. Choice of postexercise water immersion strategy (i.e., cold, contrast, or hot) combined with a belief in the efficacy of that strategy to enhance recovery or performance improves biological and perceptual markers of muscle damage and soreness. On same or subsequent days where resistance exercise bouts are performed, practitioners should consider athlete beliefs when prescribing postexercise water immersion, to reduce muscle soreness. Copyright © 2021 National Strength and Conditioning Association.</t>
  </si>
  <si>
    <t>https://search.ebscohost.com/login.aspx?direct=true&amp;db=mdc&amp;AN=34537801&amp;site=ehost-live</t>
  </si>
  <si>
    <t>Between-Limb Differences During 180° Turns in Female Soccer Players: Application of Statistical Parametric Mapping.</t>
  </si>
  <si>
    <t>Thomas C; Dos'Santos T; Warmenhoven J; Jones PA</t>
  </si>
  <si>
    <t>2022 Nov 01</t>
  </si>
  <si>
    <t>10.1519/JSC.0000000000004022</t>
  </si>
  <si>
    <t>Soccer injuries; Female; Humans; Young Adult; Adult; Knee Joint; Biomechanical Phenomena; Lower Extremity; Movement</t>
  </si>
  <si>
    <t>Abstract: Thomas, C, Dos'Santos, T, Warmenhoven, J, and Jones, PA. Between-limb differences during 180° turns in female soccer players: application of statistical parametric mapping. J Strength Cond Res 36(11): 3136-3142, 2022-This study was exploratory in nature and investigated the ability of statistical parametric mapping (SPM) to assess between-limb differences in lower-extremity movement change of direction. Fourteen female soccer players (mean ± SD ; age = 20.6 ± 0.6 years; height = 1.65 ± 0.07 m; and body mass = 56.04 ± 6.20 kg). For comparisons between preferred and nonpreferred limbs, vertical (Fz) and horizontal (Fx) ground reaction force were determined along with hip, knee, and ankle angles and moments in the sagittal plane during weight acceptance during the final contact. In addition, frontal plane knee abduction angles and moments were calculated during the final contact. Statistical parametric mapping software was then used to assess for differences between the entire weight acceptance phase of preferred and nonpreferred limbs. There were no differences between limbs in all variables using SPM. These results demonstrate that female soccer players exhibit little side-to-side differences in certain lower-limb biomechanics when performing a turn maneuver. These findings can be utilized by practitioners and clinicians when developing injury prevention and rehabilitation programs. Copyright © 2021 National Strength and Conditioning Association.</t>
  </si>
  <si>
    <t>https://search.ebscohost.com/login.aspx?direct=true&amp;db=mdc&amp;AN=33795602&amp;site=ehost-live</t>
  </si>
  <si>
    <t>Classifying ball trajectories in invasion sports using dynamic time warping: A basketball case study.</t>
  </si>
  <si>
    <t>Yu YY; Wu PP; Mengersen K; Hobbs W</t>
  </si>
  <si>
    <t>1932-6203</t>
  </si>
  <si>
    <t>2022 Oct 20</t>
  </si>
  <si>
    <t>e0272848</t>
  </si>
  <si>
    <t>10.1371/journal.pone.0272848</t>
  </si>
  <si>
    <t>Basketball; Athletic Performance; Humans; Female; Movement; Entropy; Machine Learning</t>
  </si>
  <si>
    <t>Comparison and classification of ball trajectories can provide insight to support coaches and players in analysing their plays or opposition plays. This is challenging due to the innate variability and uncertainty of ball trajectories in space and time. We propose a framework based on Dynamic Time Warping (DTW) to cluster, compare and characterise trajectories in relation to play outcomes. Seventy-two international women's basketball games were analysed, where features such as ball trajectory, possession time and possession outcome were recorded. DTW was used to quantify the alignment-adjusted distance between three dimensional (two spatial, one temporal) trajectories. This distance, along with final location for the play (usually the shot), was then used to cluster trajectories. These clusters supported the conventional wisdom of higher scoring rates for fast breaks, but also identified other contextual factors affecting scoring rate, including bias towards one side of the court. In addition, some high scoring rate clusters were associated with greater mean change in the direction of ball movement, supporting the notion of entropy affecting effectiveness. Coaches and other end users could use such a framework to help make better use of their time by honing in on groups of effective or problematic plays for manual video analysis, for both their team and when scouting opponent teams and suggests new predictors for machine learning to analyse and predict trajectory-based sports. Competing Interests: The authors report no conflict of interest.</t>
  </si>
  <si>
    <t>https://search.ebscohost.com/login.aspx?direct=true&amp;db=mdc&amp;AN=36264879&amp;site=ehost-live</t>
  </si>
  <si>
    <t>Correction to: Training During the COVID-19 Lockdown: Knowledge, Beliefs, and Practices of 12,526 Athletes from 142 Countries and Six Continents.</t>
  </si>
  <si>
    <t>1179-2035</t>
  </si>
  <si>
    <t>2022 Oct 22</t>
  </si>
  <si>
    <t>10.1007/s40279-022-01776-y</t>
  </si>
  <si>
    <t>Published Erratum</t>
  </si>
  <si>
    <t>https://search.ebscohost.com/login.aspx?direct=true&amp;db=mdc&amp;AN=36272061&amp;site=ehost-live</t>
  </si>
  <si>
    <t>Curves and kinematics: Relationship between the force-time curve and landing ability.</t>
  </si>
  <si>
    <t>Mifsud B; Stephens JM; Warmenhoven J; Ball N</t>
  </si>
  <si>
    <t>2022 Nov 21</t>
  </si>
  <si>
    <t>10.1111/sms.14272</t>
  </si>
  <si>
    <t>Anterior cruciate ligament (ACL) injuries have a significant impact on athletic performance and long-term quality of life. Force plates and qualitative screening tools are feasible and effective screening methods to identify abnormal movement quality associated with increased injury risk. Comparing qualitative assessments of landing ability with force-time curves, may detect unique differences between safe and high-risk athletic movement patterns. The aim of this study was to determine low- and high-risk landing ability from qualitive landing assessments and to examine the resulting force-time curves using functional principal component analysis (fPCA). Thirty-one healthy academy athletes (10 males and 21 females) completed double- and single-leg dominant and non-dominant jump-landing-rebound tasks. All movements were filmed in multiple-planes, and vertical ground reaction forces (vGRF) were simultaneously collected. The Landing Error Scoring System (LESS) and Single-Leg Landing Error Scoring System (SL-LESS) were used to score landing footage. From these scores, athletes were categorized into low-risk and high-risk groups for further analysis. fPCA was used to examine differences between landing quality groups force-time curves. Compared to high-risk landers, low-risk landers demonstrated significantly longer contact times across all movements. Scores from fPC1 revealed safe and high-risk landing techniques expose athletes to significantly different loading patterns during double- and single-leg dominant movements. A significant positive relationship was observed between fPC1 and LESS scores, however this relationship was not observed in both single-leg landing scores. Where possible incorporating curve analysis methods like fPCA into multi-faceted screening approaches may help practitioners uncover unique insights into athletic loading strategies. © 2022 The Authors. Scandinavian Journal of Medicine &amp; Science In Sports published by John Wiley &amp; Sons Ltd.</t>
  </si>
  <si>
    <t>https://search.ebscohost.com/login.aspx?direct=true&amp;db=mdc&amp;AN=36408795&amp;site=ehost-live</t>
  </si>
  <si>
    <t>Game-play affects hamstring but not adductor muscle fibre mechanics in elite U20 basketball athletes.</t>
  </si>
  <si>
    <t>Akhundov R; Saxby DJ; Diamond LE; Snodgrass S; Clausen P; Drew M; Dooley K; Pizzari T; Rio E; Schultz A; Donnan L; McGann T; Edwards S</t>
  </si>
  <si>
    <t>2022 Oct 18</t>
  </si>
  <si>
    <t>10.1080/14763141.2022.2133006</t>
  </si>
  <si>
    <t>Muscle tendon unit fibre mechanics of hamstring and adductor strain injuries are not well studied, with factors such as fatigue promoted as risk factors in the absence of mechanistic evidence. In this study, musculoskeletal modelling was used to estimate fibre mechanics of four hamstring (biceps femoris long head, biceps femoris short head, semimembranosus and semitendinosus) and four adductor (adductor brevis, adductor longus, adductor magnus and gracilis) muscles during an anticipated cut task. The cut task was performed by 10 healthy elite male U20 basketball players both before and immediately after they played in one (of four) competitive basketball game. Biceps femoris long head produced significantly lower (p = 0.032) submaximal force post-game in the latter part of swing (30.7% to 35.0% of stride), though its peak force occurred later (37%) and remained unchanged. Semimembranosus produced significantly lower (p = 0.006) force post-game (32.9% to 44.9% of stride), which encompassed the instance of peak force (39%). Neither fibre velocity nor fibre length of the investigated muscles were significantly affected by game-play. These finding suggest that if fatigue is a factor in hamstring and adductor muscle strain injuries and is brought about by game-play, it is unlikely through the fibre mechanisms investigated in this study.</t>
  </si>
  <si>
    <t>https://search.ebscohost.com/login.aspx?direct=true&amp;db=mdc&amp;AN=36254725&amp;site=ehost-live</t>
  </si>
  <si>
    <t>Stevenson NG; Harris R; Montag J; Stay S; K Panagodage Perera N</t>
  </si>
  <si>
    <t>2022 Dec 22</t>
  </si>
  <si>
    <t>What Contributes to Athlete Performance Health? A Concept Mapping Approach.</t>
  </si>
  <si>
    <t>Smyth EA; Donaldson A; Drew MK; Menaspa M; Cooke J; Guevara SA; Purdam C; Appaneal C; Wiasak R; Toohey L</t>
  </si>
  <si>
    <t>International journal of environmental research and public health</t>
  </si>
  <si>
    <t>1660-4601</t>
  </si>
  <si>
    <t>2022 Dec 24</t>
  </si>
  <si>
    <t>10.3390/ijerph20010300</t>
  </si>
  <si>
    <t>MDPI</t>
  </si>
  <si>
    <t>Athletes; Athletic Performance; Humans; Cluster Analysis; Leadership</t>
  </si>
  <si>
    <t>Background: In high-performance sport, athlete performance health encompasses a state of optimal physical, mental, and social wellbeing related to an athlete's sporting success. The aim of this study was to identify the priority areas for achieving athlete performance health in Australia's high-performance sport system (HPSS). Methods: Participants across five socioecological levels of Australia's HPSS were invited to contribute to this study. Concept mapping, a mixed-methods approach incorporating qualitative and quantitative data collection, was used. Participants brainstormed ideas for what athlete performance health requires, sorted the ideas into groups based on similar meaning and rated the importance, and ease of achieving each idea on a scale from 1 (not important/easiest to overcome) to 5 (extremely important/hardest to overcome). Results: Forty-nine participants generated 97 unique statements that were grouped into 12 clusters following multidimensional scaling and hierarchical cluster analysis. The three clusters with highest mean importance rating were (mean importance rating (1-5), mean ease of overcoming (1-5)): 'Behavioral competency' (4.37, 2.30); 'Collaboration and teamwork' (4.19, 2.65); 'Valuing athlete wellbeing' (4.17, 2.77). The 12 clusters were grouped into five overarching domains: Domain one-Performance health culture; Domain two-Integrated strategy; Domain three-Operational effectiveness; Domain four-Skilled people; Domain five-Leadership. Conclusion: A diverse sample of key stakeholders from Australia's HPSS identified five overarching domains that contribute to athlete performance health. The themes that need to be addressed in a strategy to achieve athlete performance health in Australia's HPSS are 'Leadership', 'Skilled people', 'Performance health culture', 'Operational effectiveness', and 'Integrated strategy'.</t>
  </si>
  <si>
    <t>https://search.ebscohost.com/login.aspx?direct=true&amp;db=mdc&amp;AN=36612621&amp;site=ehost-live</t>
  </si>
  <si>
    <t>Keywords</t>
  </si>
  <si>
    <t>A practical assessment of wheelchair racing performance kinetics using accelerometers.</t>
  </si>
  <si>
    <t>Lewis AR; Phillips EJ; Robertson WSP; Grimshaw PN; Portus M; Winter J</t>
  </si>
  <si>
    <t>10.1080/14763141.2019.1634136</t>
  </si>
  <si>
    <t>Wheelchairs; Accelerometry; Athletes; Biomechanical Phenomena; Humans; Kinetics</t>
  </si>
  <si>
    <t>Due to the detrimental influence of unnecessary mass on performance, racing wheelchair instrumentation used in both competition assessment and research is currently limited. Attaining key kinetic parameters of propulsion can enhance technique and provide athletes with a competitive advantage. This research examined the plausibility of inertial measurement units (IMUs) to estimate propulsion forces, during a simulated wheelchair race start and training. Start propulsion data calculated from an IMU system was compared to reference force plate data; steady state motion data was compared with existing literature. Some agreement in kinetic parameters between IMU data was observed under steady state motion, with data from athletes following a linear force-velocity relationship. In this context, it is important to identify that this cannot be directly compared to the existing literature due to the different methods of force measurement and the lack of data for similar force measurements using IMUs. IMUs were ineffective when used with wheelchairs having spoked wheels. Performance was best for measurements in the direction of motion. Although exact agreement was not observed, the IMU can provide an effective tool in the in-field assessment of propulsion kinetics.</t>
  </si>
  <si>
    <t>https://search.ebscohost.com/login.aspx?direct=true&amp;db=mdc&amp;AN=31354108&amp;site=ehost-live</t>
  </si>
  <si>
    <t>Abstract: Horgan, BG, West, NP, Tee, N, Drinkwater, EJ, Halson, SL, Vider, J, Fonda, CJ, Haff, GG, and Chapman, DW. Acute inflammatory, anthropometric, and perceptual (muscle soreness) effects of postresistance exercise water immersion in junior international and subelite male volleyball athletes. J Strength Cond Res XX(X): 000-000, 2021-Athletes use water immersion strategies to recover from training and competition. This study investigated the acute effects of postexercise water immersion after resistance exercise. Eighteen elite and subelite male volleyball athletes participated in an intervention using a randomized cross-over design. On separate occasions after resistance exercise, subjects completed 1 of 4 15-minute interventions: control (CON), cold water immersion (CWI), contrast water therapy (CWT), or hot water immersion (HWI). Significance was accepted at p ≤ 0.05. Resistance exercise induced significant temporal changes (time effect) for inflammatory, anthropometric, perceptual, and performance measures. Serum creatine kinase was reduced (g = 0.02-0.30) after CWI (p = 0.007), CWT (p = 0.006), or HWI (p &lt; 0.001) vs. CON, whereas it increased significantly (g = 0.50) after CWI vs. HWI. Contrast water therapy resulted in significantly higher (g = 0.56) interleukin-6 concentrations vs. HWI. Thigh girth increased (g = 0.06-0.16) after CWI vs. CON (p = 0.013) and HWI (p &lt; 0.001) and between CWT vs. HWI (p = 0.050). Similarly, calf girth increased (g = 0.01-0.12) after CWI vs. CON (p = 0.039) and CWT (p = 0.018), and HWI vs. CON (p = 0.041) and CWT (p = 0.018). Subject belief in a postexercise intervention strategy was associated with HSP72 ("believer"&gt;"nonbeliever," p = 0.026), muscle soreness ("believer"&gt;"nonbeliever," p = 0.002), and interleukin-4 ("nonbeliever"&gt;"believer," p = 0.002). There were no significant treatment × time (interaction effect) pairwise comparisons. Choice of postexercise water immersion strategy (i.e., cold, contrast, or hot) combined with a belief in the efficacy of that strategy to enhance recovery or performance improves biological and perceptual markers of muscle damage and soreness. On same or subsequent days where resistance exercise bouts are performed, practitioners should consider athlete beliefs when prescribing postexercise water immersion, to reduce muscle soreness. Copyright © 2021 by the National Strength &amp; Conditioning Association.</t>
  </si>
  <si>
    <t>Adaptation to a low carbohydrate high fat diet is rapid but impairs endurance exercise metabolism and performance despite enhanced glycogen availability.</t>
  </si>
  <si>
    <t>Burke LM; Whitfield J; Heikura IA; Ross MLR; Tee N; Forbes SF; Hall R; McKay AKA; Wallett AM; Sharma AP</t>
  </si>
  <si>
    <t>The Journal of physiology</t>
  </si>
  <si>
    <t>10.1113/JP280221</t>
  </si>
  <si>
    <t>Cambridge Univ. Press</t>
  </si>
  <si>
    <t>Diet, High-Fat; Glycogen; Adaptation, Physiological; Diet, Carbohydrate-Restricted; Dietary Carbohydrates; Humans; Male; Physical Endurance</t>
  </si>
  <si>
    <t>Key Points: Brief (5-6 days) adaptation to a low carbohydrate high fat diet in elite athletes increased exercise fat oxidation to rates previously observed with medium (3-4 weeks) or chronic (&gt;12 months) adherence to this diet, with metabolic changes being washed out in a similar time frame. Increased fat utilisation during exercise was associated with a 5-8% increase in oxygen cost at speeds related to Olympic Programme races. Acute restoration of endogenous carbohydrate (CHO) availability (24 h high CHO diet, pre-race CHO) only partially restored substrate utilisation during a race warm-up. Fat oxidation continued to be elevated above baseline values although it was lower than achieved by 5-6 days' keto adaptation; CHO oxidation only reached 61% and 78% of values previously seen at exercise intensities related to race events. Acute restoration of CHO availability failed to overturn the impairment of high-intensity endurance performance previously associated with low carbohydrate high fat adaptation, potentially due to the blunted capacity for CHO oxidation. Abstract: We investigated substrate utilisation during exercise after brief (5-6 days) adaptation to a ketogenic low-carbohydrate (CHO), high-fat (LCHF) diet and similar washout period. Thirteen world-class male race walkers completed economy testing, 25 km training and a 10,000 m race (Baseline), with high CHO availability (HCHO), repeating this (Adaptation) after 5-6 days' LCHF (n = 7; CHO: &lt;50 g day -1 , protein: 2.2 g kg -1 day -1 ; 80% fat) or HCHO (n = 6; CHO: 9.7 g kg -1 day -1 ; protein: 2.2 g kg -1 day -1 ) diet. An Adaptation race was undertaken after 24 h HCHO and pre-race CHO (2 g kg -1 ) diet, identical to the Baseline race. Substantial (&gt;200%) increases in exercise fat oxidation occurred in the LCHF Adaptation economy and 25 km tests, reaching mean rates of ∼1.43 g min -1 . However, relative V ̇ O 2 (ml min -1 kg -1 ) was higher (P &lt; 0.0001), by ∼8% and 5% at speeds related to 50 km and 20 km events. During Adaptation race warm-up in the LCHF group, rates of fat and CHO oxidation at these speeds were decreased and increased, respectively (P &lt; 0.001), compared with the previous day, but were not restored to Baseline values. Performance changes differed between groups (P = 0.009), with all HCHO athletes improving in the Adaptation race (5.7 (5.6)%), while 6/7 LCHF athletes were slower (2.2 (3.4)%). Substrate utilisation returned to Baseline values after 5-6 days of HCHO diet. In summary, robust changes in exercise substrate use occurred in 5-6 days of extreme changes in CHO intake. However, adaptation to a LCHF diet plus acute restoration of endogenous CHO availability failed to restore high-intensity endurance performance, with CHO oxidation rates remaining blunted. © 2020 The Authors. The Journal of Physiology published by John Wiley &amp; Sons Ltd on behalf of The Physiological Society.</t>
  </si>
  <si>
    <t>https://search.ebscohost.com/login.aspx?direct=true&amp;db=mdc&amp;AN=32697366&amp;site=ehost-live</t>
  </si>
  <si>
    <t>ɑ-Lactalbumin Improves Sleep and Recovery after Simulated Evening Competition in Female Athletes.</t>
  </si>
  <si>
    <t>Miles KH; Clark B; Fowler PM; Gratwicke MJ; Martin K; Welvaert M; Miller J; Pumpa KL</t>
  </si>
  <si>
    <t>Medicine and science in sports and exercise</t>
  </si>
  <si>
    <t>10.1249/MSS.0000000000002743</t>
  </si>
  <si>
    <t>Athletic Performance physiology; Cognition physiology; Dietary Supplements; Lactalbumin administration &amp; dosage; Sleep physiology; Adult; Athletes; Cross-Over Studies; Double-Blind Method; Female; Humans; Polysomnography</t>
  </si>
  <si>
    <t>Purpose: This study aimed to determine the efficacy of α-lactalbumin (A-LAC) supplementation for improving sleep and performance recovery after simulated evening competition in female athletes. Methods: Sixteen trained women (mean ± SD: age, 27 ± 7 yr; mass, 62 ± 10 kg; stature, 167 ± 8 cm) participated in this randomized double-blind three-arm crossover study. Participants completed a simulated evening competition before consuming either an A-LAC whey protein, whey protein placebo (PLA), or water control (CON) beverage. Sleep was monitored via polysomnography, and participants completed a series of physical, cognitive, and perceptual assessments before, and 14 and 24 h after simulated competition. Results: Non-rapid eye movement stage 2 sleep increased after competition in A-LAC (pre, 199 ± 44 min; post, 212 ± 37 min) but decreased in CON (pre, 228 ± 43 min; post, 195 ± 40 min) and PLA (pre, 224 ± 25 min; post, 211 ± 35 min; P = 0.012). In addition, Yo-Yo Intermittent Recovery Test Level 1 distance improved over time in A-LAC (baseline, 664 ± 332 m; 14 h post, 667 ± 326 m; 24 h post, 781 ± 427 m) compared with CON (baseline, 741 ± 366 m; 14 h post, 648 ± 351 m; 24 h post, 720 ± 407 m) and PLA (baseline, 763 ± 394 m; 14 h post, 636 ± 366 m; 24 h post, 720 ± 396 m; P &lt; 0.001). Conclusions: The findings indicate that A-LAC supplementation may be useful for retaining some sleep characteristics after evening competition, leading to improved physical performance in female athletes. Copyright © 2021 by the American College of Sports Medicine.</t>
  </si>
  <si>
    <t>https://search.ebscohost.com/login.aspx?direct=true&amp;db=mdc&amp;AN=34649262&amp;site=ehost-live</t>
  </si>
  <si>
    <t>Abstract: Thomas, C, Dos'Santos, T, Warmenhoven, J, and Jones, PA. Between-limb differences during 180° turns in female soccer players: application of statistical parametric mapping. J Strength Cond Res XX(X): 000-000, 2021-This study was exploratory in nature and investigated the ability of statistical parametric mapping (SPM) to assess between-limb differences in lower-extremity movement change of direction. Fourteen female soccer players (mean ± SD; age = 20.6 ± 0.6 years; height = 1.65 ± 0.07 m; and body mass = 56.04 ± 6.20 kg). For comparisons between preferred and nonpreferred limbs, vertical (Fz) and horizontal (Fx) ground reaction force were determined along with hip, knee, and ankle angles and moments in the sagittal plane during weight acceptance during the final contact. In addition, frontal plane knee abduction angles and moments were calculated during the final contact. Statistical parametric mapping software was then used to assess for differences between the entire weight acceptance phase of preferred and nonpreferred limbs. There were no differences between limbs in all variables using SPM. These results demonstrate that female soccer players exhibit little side-to-side differences in certain lower-limb biomechanics when performing a turn maneuver. These findings can be utilized by practitioners and clinicians when developing injury prevention and rehabilitation programs. Copyright © 2021 by the National Strength &amp; Conditioning Association.</t>
  </si>
  <si>
    <t>Call to increase statistical collaboration in sports science, sport and exercise medicine and sports physiotherapy.</t>
  </si>
  <si>
    <t>Sainani KL; Borg DN; Caldwell AR; Butson ML; Tenan MS; Vickers AJ; Vigotsky AD; Warmenhoven J; Nguyen R; Lohse KR; Knight EJ; Bargary N</t>
  </si>
  <si>
    <t>10.1136/bjsports-2020-102607</t>
  </si>
  <si>
    <t>Physical Therapy Specialty statistics &amp; numerical data; Sports Medicine statistics &amp; numerical data; Anterior Cruciate Ligament Reconstruction rehabilitation; Anterior Cruciate Ligament Reconstruction statistics &amp; numerical data; Athletic Injuries; Data Analysis; Exercise physiology; Female; Humans; Interprofessional Relations; Male; Menstruation Disturbances blood; Principal Component Analysis methods; Statistics as Topic education; Statistics as Topic methods; Vitamin D Deficiency</t>
  </si>
  <si>
    <t>Competing Interests: Competing interests: None declared.</t>
  </si>
  <si>
    <t>https://search.ebscohost.com/login.aspx?direct=true&amp;db=mdc&amp;AN=32816788&amp;site=ehost-live</t>
  </si>
  <si>
    <t>Can Physical Characteristics and Sports Bra Use Predict Exercise-Induced Breast Pain in Elite Female Athletes?</t>
  </si>
  <si>
    <t>Brisbine BR; Steele JR; Phillips EJ; McGhee DE</t>
  </si>
  <si>
    <t>e380</t>
  </si>
  <si>
    <t>10.1097/JSM.0000000000000831</t>
  </si>
  <si>
    <t>Mastodynia diagnosis; Sports; Athletes; Body Mass Index; Female; Humans; Surveys and Questionnaires</t>
  </si>
  <si>
    <t>Objective: To evaluate whether a simple 4-factor model using self-reported data could be used to predict exercise-induced breast pain in elite female athletes. Design: Survey study. Setting: Online or hard-copy surveys completed at sporting competitions and training facilities around Australia. Participants: Four hundred ninety female athletes competing nationally or internationally across 49 sports. Independent Variables: A binomial logistic regression analysis was used to evaluate the strength of a predictive model that included 2 continuous independent variables (age and body mass index) and 2 binary independent variables (breast size and sports bra use). Odds ratios were also calculated to determine the likelihood of an athlete reporting exercise-induced breast pain in association with each of the 4 variables. Main Outcome Measures: Exercise-induced breast pain was the binary dependent variable. Results: The model incorporating athlete age, breast size, body mass index, and sports bra use was found to be statistically significant, but weak, in its ability to predict exercise-induced breast pain in elite female athletes (correctly identified 66% of athletes). For every 1-year increase in age, a significant 2.6% increase in the likelihood of experiencing exercise-induced breast pain was observed. Athletes with medium-to-hypertrophic sized breasts were 5.5 times more likely to experience exercise-induced breast pain than athletes with small breasts. Conclusions: Although the current model was not sensitive enough for use by clinicians and coaches, age and breast size were both identified as critical variables in the prediction of exercise-induced breast pain. Future research is encouraged to investigate whether incorporating additional variables such body fat percentage, bra fit, and other relevant factors can add strength to the model. Competing Interests: The authors report no conflicts of interest. Copyright © 2020 Wolters Kluwer Health, Inc. All rights reserved.</t>
  </si>
  <si>
    <t>https://search.ebscohost.com/login.aspx?direct=true&amp;db=mdc&amp;AN=32073475&amp;site=ehost-live</t>
  </si>
  <si>
    <t>Cardiovascular Screening of Elite Athletes by Sporting Organizations in Australia: A Survey of Chief Medical Officers.</t>
  </si>
  <si>
    <t>Orchard JJ; Orchard JW; Toresdahl B; Asif IM; Hughes D; La Gerche A; Semsarian C</t>
  </si>
  <si>
    <t>10.1097/JSM.0000000000000798</t>
  </si>
  <si>
    <t>Australia; Athletes; Cardiovascular Diseases diagnosis; Mass Screening standards; Sports; Sports Medicine standards; Adult; Australia; Death, Sudden, Cardiac prevention &amp; control; Electrocardiography; Humans</t>
  </si>
  <si>
    <t>Objective: To compare cardiovascular screening policies of Australian elite sporting organizations. Design: Online survey. Setting: Elite/professional sports in Australia. Participants: Chief medical officers (CMOs) of elite/professional sports in Australia, including rugby union and league, cricket, tennis, Australian football, and cycling. Assessment of Variables: Survey questions about each sport's cardiac screening policy: which screening components were included [eg, history and physical (H&amp;P), resting 12-lead electrocardiogram (ECG)], whether screening was mandatory, whether the policy applied to elite junior and/or adult players, and which criteria were used to interpret ECGs. Main Outcome Measures: Which sports had a formal cardiac screening policy, which athletes the policy applied to, components of screening, ECG interpretation criteria used. Results: Chief medical officers for 22/31 (71%) sports responded, representing &gt;5000 athletes. Of these, 19/22 (86%) perform regular screening (100% H&amp;P; 89% included ECG) with international cyclists also having routine echocardiograms and stress testing. Thirty-three percent of CMOs used the 2017 International Criteria for athlete ECG interpretation. Screening was mandatory with enforcement (26%), mandatory without enforcement (48%), and opt-out (26%). All screened adult elite athletes, and 68% screened junior elite athletes. Forty-two percent indicated athletes were required to pay for screening tests, and 63% required athletes to pay for follow-up tests. Almost all (94%) sports with a sports physician as the CMO screened athletes. Conclusions: Most sports have a screening policy, with reasonable uniformity of components. All included H&amp;P, and almost all included ECG. Only one sport included an echocardiogram and stress test as a standard (international players only). Promoting the latest ECG interpretation criteria may reduce false-positives and cost. Future work should explore cardiac emergency plans, screening infrastructure, cost, and long-term follow-up. Competing Interests: J. J. Orchard is supported by an Australian Government Research Training Program scholarship. C. Semsarian is supported by an NHMRC Australia Practitioner Fellowship (#1154992). J. W. Orchard is the chief medical officer of Cricket Australia. D. Hughes is the chief medical officer at the Australian Institute of Sport. The remaining authors report no conflicts of interest. Copyright © 2020 Wolters Kluwer Health, Inc. All rights reserved.</t>
  </si>
  <si>
    <t>https://search.ebscohost.com/login.aspx?direct=true&amp;db=mdc&amp;AN=32073477&amp;site=ehost-live</t>
  </si>
  <si>
    <t>Chronic pantothenic acid supplementation does not affect muscle coenzyme A content or cycling performance.</t>
  </si>
  <si>
    <t>Whitfield J; Harris RC; Broad EM; Patterson AK; Ross MLR; Shaw G; Spriet LL; Burke LM</t>
  </si>
  <si>
    <t>Applied physiology, nutrition, and metabolism = Physiologie appliquee, nutrition et metabolisme</t>
  </si>
  <si>
    <t>10.1139/apnm-2020-0692</t>
  </si>
  <si>
    <t>Canadian Science Publishing</t>
  </si>
  <si>
    <t>Athletic Performance physiology; Bicycling physiology; Coenzyme A metabolism; Muscle, Skeletal enzymology; Pantothenic Acid administration &amp; dosage; Acetyl Coenzyme A metabolism; Adult; Dietary Supplements; Humans; Male; Muscle, Skeletal physiology; Oxygen Consumption; Sports Nutritional Physiological Phenomena; Young Adult</t>
  </si>
  <si>
    <t>This study determined if supplementation with pantothenic acid (PA) for 16 weeks could increase skeletal muscle coenzyme A (CoASH) content and exercise performance. Trained male cyclists ( n = 14) were matched into control or PA (6 g·day -1 ) groups. At 0, 4, 8, and 16 weeks, subjects performed an incremental time to exhaustion cycle with muscle biopsies taken prior to and following exercise. Prolonged PA supplementation did not change skeletal muscle CoASH and acetyl-CoA contents or exercise performance. Novelty: Supplementation with pantothenic acid for 16 weeks had no effect on skeletal muscle CoASH and acetyl-CoA content or exercise performance in trained male cyclists.</t>
  </si>
  <si>
    <t>https://search.ebscohost.com/login.aspx?direct=true&amp;db=mdc&amp;AN=33075232&amp;site=ehost-live</t>
  </si>
  <si>
    <t>Comparisons of Macro-Kinematic Strategies During the Rounds of a Cross-Country Skiing Sprint Competition in Classic Technique.</t>
  </si>
  <si>
    <t>Marsland F; Anson JM; Waddington G; Holmberg HC; Chapman DW</t>
  </si>
  <si>
    <t>Frontiers in sports and active living</t>
  </si>
  <si>
    <t>10.3389/fspor.2020.546205</t>
  </si>
  <si>
    <t>Frontiers Media S.A</t>
  </si>
  <si>
    <t>This study was designed to examine macro-kinematic parameters of six female cross-country skiers during the qualifying, semi-final and final rounds of a 1.1 km sprint competition in classical technique. During each round these skiers were monitored continuously with a single micro-sensor, and their cycle parameters and relative use of these two sub-techniques calculated. Within each round six sections of the course, during which all skiers employed either double pole (DP) or diagonal stride (DS) sub-technique, were chosen for additional analysis. The mean macro-kinematic cycle parameters and relative usage of sub-techniques over the full course did not differ significantly between rounds. On average 54% of the course was covered employing DP and 13% using DS, while 32% was covered utilizing a non-cyclical or irregular technique. With DP, the mean racing speed and cycle rate (CR) on the starting, middle and finishing sections of the course differed significantly, with no differences in mean cycle length (CL) between the last two sections. At the finish, higher DP speed was achieved by increasing CR. On the three hills, where all athletes utilized DS, mean racing speed and CL, but not mean CR, differed significantly. On these sections DS speed was increased by utilizing longer cycles. The individual skiers utilized a variety of macro-kinematic strategies during different rounds and on different sections of the course, depending on individual strengths, preferences and pacing strategies, as well as the course topography and tactical interactions with other skiers. Such collection of macro-kinematic data during competitions can help to identify an individual skier's strengths and weaknesses, guiding the testing of different cycle rates, and lengths on different terrains during training in order to optimize performance. Competing Interests: The authors declare that the research was conducted in the absence of any commercial or financial relationships that could be construed as a potential conflict of interest. Copyright © 2021 Marsland, Anson, Waddington, Holmberg and Chapman.</t>
  </si>
  <si>
    <t>https://search.ebscohost.com/login.aspx?direct=true&amp;db=mdc&amp;AN=33585810&amp;site=ehost-live</t>
  </si>
  <si>
    <t>Concurrent Validity of Power From Three On-Water Rowing Instrumentation Systems and a Concept2 Ergometer.</t>
  </si>
  <si>
    <t>Holt AC; Hopkins WG; Aughey RJ; Siegel R; Rouillard V; Ball K</t>
  </si>
  <si>
    <t>Frontiers in physiology</t>
  </si>
  <si>
    <t>10.3389/fphys.2021.758015</t>
  </si>
  <si>
    <t>Purpose: Instrumentation systems are increasingly used in rowing to measure training intensity and performance but have not been validated for measures of power. In this study, the concurrent validity of Peach PowerLine (six units), Nielsen-Kellerman EmPower (five units), Weba OarPowerMeter (three units), Concept2 model D ergometer (one unit), and a custom-built reference instrumentation system (Reference System; one unit) were investigated. Methods: Eight female and seven male rowers [age, 21 ± 2.5 years; rowing experience, 7.1 ± 2.6 years, mean ± standard deviation (SD)] performed a 30-s maximal test and a 7 × 4-min incremental test once per week for 5 weeks. Power per stroke was extracted concurrently from the Reference System ( via chain force and velocity), the Concept2 itself, Weba (oar shaft-based), and either Peach or EmPower (oarlock-based). Differences from the Reference System in the mean (representing potential error) and the stroke-to-stroke variability (represented by its SD) of power per stroke for each stage and device, and between-unit differences, were estimated using general linear mixed modeling and interpreted using rejection of non-substantial and substantial hypotheses. Results: Potential error in mean power was decisively substantial for all devices (Concept2, -11 to -15%; Peach, -7.9 to -17%; EmPower, -32 to -48%; and Weba, -7.9 to -16%). Between-unit differences (as SD) in mean power lacked statistical precision but were substantial and consistent across stages (Peach, ∼5%; EmPower, ∼7%; and Weba, ∼2%). Most differences from the Reference System in stroke-to-stroke variability of power were possibly or likely trivial or small for Peach (-3.0 to -16%), and likely or decisively substantial for EmPower (9.7-57%), and mostly decisively substantial for Weba (61-139%) and the Concept2 (-28 to 177%). Conclusion: Potential negative error in mean power was evident for all devices and units, particularly EmPower. Stroke-to-stroke variation in power showed a lack of measurement sensitivity (apparent smoothing) that was minor for Peach but larger for the Concept2, whereas EmPower and Weba added random error. Peach is therefore recommended for measurement of mean and stroke power. Competing Interests: The authors declare that the research was conducted in the absence of any commercial or financial relationships that could be construed as a potential conflict of interest. Copyright © 2021 Holt, Hopkins, Aughey, Siegel, Rouillard and Ball.</t>
  </si>
  <si>
    <t>https://search.ebscohost.com/login.aspx?direct=true&amp;db=mdc&amp;AN=34867462&amp;site=ehost-live</t>
  </si>
  <si>
    <t>Corrigendum: Technical Determinants of On-Water Rowing Performance.</t>
  </si>
  <si>
    <t>Holt AC; Aughey RJ; Ball K; Hopkins WG; Siegel R</t>
  </si>
  <si>
    <t>10.3389/fspor.2021.681766</t>
  </si>
  <si>
    <t>[This corrects the article DOI: 10.3389/fspor.2020.589013.]. Copyright © 2021 Holt, Aughey, Ball, Hopkins and Siegel.</t>
  </si>
  <si>
    <t>https://search.ebscohost.com/login.aspx?direct=true&amp;db=mdc&amp;AN=33969301&amp;site=ehost-live</t>
  </si>
  <si>
    <t>Development of a "Cooling" Menthol Energy Gel for Endurance Athletes: Effect of Menthol Concentration on Acceptability and Preferences.</t>
  </si>
  <si>
    <t>Stevens CJ; Ross MLR; Vogel RM</t>
  </si>
  <si>
    <t>10.1123/ijsnem.2020-0190</t>
  </si>
  <si>
    <t>Consumer Behavior; Endurance Training; Exercise physiology; Menthol administration &amp; dosage; Performance-Enhancing Substances administration &amp; dosage; Thermosensing drug effects; Cross-Over Studies; Double-Blind Method; Female; Gels; Humans; Male; Taste</t>
  </si>
  <si>
    <t>Menthol is effective at stimulating thermosensitive neurons that evoke pleasant cooling sensations. Internal application of menthol can be ergogenic for athletes, and hence, addition of menthol to sports nutrition products may be beneficial for athletes. The aim of this study was to develop a menthol energy gel for consumption during exercise and to determine acceptability and preferences for gels with different menthol concentrations. With a randomized, crossover, and double-blind placebo-controlled design, 40 endurance athletes (20 females) ingested an energy gel with a menthol additive at a high (0.5%; HIGH) or low concentration (0.1%; LOW), or a mint-flavored placebo (CON), on separate occasions during outdoor endurance training sessions. The athletes rated the gels for cooling sensation, mint flavor intensity, sweetness, and overall experience and provided feedback. Results are reported as median (interquartile range). Both menthol gels successfully delivered a cooling sensation, with a significantly greater response for HIGH (5.0 [4.0-5.0]) compared with LOW (3.5 [3.0-4.0]; p = .022) and CON (1.0 [1.0-2.0]; p &lt; .0005), and LOW compared with CON (p &lt; .0005). Ratings of mint flavor intensity followed the same trend as cooling sensation, while ratings of overall experience were significantly worse for HIGH (2.0 [1.0-3.0]) compared with LOW (4.0 [2.0-4.0]; p = .001) and CON (4.0 [3.0-4.0]; p &lt; .0005). An energy gel with the addition of menthol at 0.1-0.5% provides a cooling sensation for athletes with a dose-response when ingested during exercise. The 0.1% concentration is recommended to maximize the overall experience of the gel.</t>
  </si>
  <si>
    <t>https://search.ebscohost.com/login.aspx?direct=true&amp;db=mdc&amp;AN=33248439&amp;site=ehost-live</t>
  </si>
  <si>
    <t>Dietary Intake and Gastrointestinal Integrity in Runners Undertaking High-Intensity Exercise in the Heat.</t>
  </si>
  <si>
    <t>Etxebarria N; Beard NA; Gleeson M; Wallett A; McDonald WA; Pumpa KL; Pyne DB</t>
  </si>
  <si>
    <t>10.1123/ijsnem.2020-0367</t>
  </si>
  <si>
    <t>Eating; Gastrointestinal Tract physiology; Hot Temperature; Physical Exertion physiology; Running physiology; Adult; Biomarkers blood; Confidence Intervals; Cross-Over Studies; Diet Records; Dietary Carbohydrates administration &amp; dosage; Dietary Fats administration &amp; dosage; Energy Intake; Fatty Acid-Binding Proteins blood; Fatty Acids, Unsaturated administration &amp; dosage; Humans; Lipopolysaccharides blood; Male; Oxygen Consumption; Physical Conditioning, Human physiology; Physical Endurance; Sports Nutritional Physiological Phenomena; Time Factors</t>
  </si>
  <si>
    <t>Gastrointestinal disturbances are one of the most common issues for endurance athletes during training and competition in the heat. The relationship between typical dietary intake or nutritional interventions and perturbations in or maintenance of gut integrity is unclear. Twelve well-trained male endurance athletes (peak oxygen consumption = 61.4 ± 7.0 ml·kg-1·min-1) completed two trials in a randomized order in 35 °C (heat) and 21 °C (thermoneutral) conditions and kept a detailed nutritional diary for eight consecutive days between the two trials. The treadmill running trials consisted of 15 min at 60% peak oxygen consumption, 15 min at 75% peak oxygen consumption, followed by 8 × 1-min high-intensity efforts. Venous blood samples were taken at the baseline, at the end of each of the three exercise stages, and 1 hr postexercise to measure gut integrity and the permeability biomarker concentration for intestinal fatty-acid-binding protein, lipopolysaccharide, and lipopolysaccharide-binding protein. The runners self-reported gut symptoms 1 hr postexercise and 3 days postexercise. The heat condition induced large (45-370%) increases in intestinal fatty-acid-binding protein, lipopolysaccharide-binding protein, and lipopolysaccharide concentrations compared with the baseline, but induced mild gastrointestinal symptoms. Carbohydrate and polyunsaturated fat intake 24 hr preexercise were associated with less lipopolysaccharide translocation. Protein, carbohydrate, total fat, and polyunsaturated fat intake (8 days) were positively associated with the percentage increase of intestinal fatty-acid-binding protein in both conditions (range of correlations, 95% confidence interval = .62-.93 [.02, .98]). Typical nutrition intake partly explained increases in biomarkers and the attenuation of symptoms induced by moderate- and high-intensity exercise under both heat and thermoneutral conditions.</t>
  </si>
  <si>
    <t>https://search.ebscohost.com/login.aspx?direct=true&amp;db=mdc&amp;AN=34030124&amp;site=ehost-live</t>
  </si>
  <si>
    <t>Differences in Handgrip Strength-Endurance and Muscle Activation Between Young Male Judo Athletes and Untrained Individuals.</t>
  </si>
  <si>
    <t>Honorato RC; Franchini E; Lara JPR; Fonteles AI; Pinto JCBL; Mortatti AL</t>
  </si>
  <si>
    <t>Research quarterly for exercise and sport</t>
  </si>
  <si>
    <t>10.1080/02701367.2019.1699233</t>
  </si>
  <si>
    <t>American Alliance For Health, Physical Education, Recreation, And Dance</t>
  </si>
  <si>
    <t>Hand Strength physiology; Martial Arts physiology; Muscle, Skeletal physiology; Physical Endurance physiology; Adolescent; Anthropometry; Child; Cross-Sectional Studies; Electromyography; Functional Laterality; Humans; Isometric Contraction; Male; Muscle Fatigue; Muscle Strength Dynamometer; Physical Conditioning, Human physiology; Sexual Maturation</t>
  </si>
  <si>
    <t>Purpose: The aim of this study was to compare strength-endurance handgrip performance and muscle coactivation between judo athletes and untrained young males. Method: The sample was 38 judo athletes and 38 untrained young males, between 12 and 15 years-old. Maturational status was evaluated by age at peak height velocity. A maximal isometric handgrip test (three 5-s repetitions, with 90-s intervals) and an isometric strength-endurance handgrip test (ten 10-s all-out isometric handgrip repetitions, 20-s intervals) was conducted in dominant (D) and nondominant (ND) hands, using a dynamometer with EMG monitor to detect muscle activation. Results: ANCOVA analysis, controlling for maturational status, showed that judo athletes had higher values of maximal absolute (D = 33.6 ± 8.9 kgf vs 29.1 ± 9.0 kgf; ND = 33.8 ± 9.9 kgf vs 28.1 ± 8.1 kgf) and relative strength to body mass (D = 0.64 ± 0.12 kg/kgf vs 0.57 ± 0.13 kg/kgf; ND = 0.64 ± 0.16 kg/kgf vs 0.56 ± 0.14 kg/kgf). Moreover, judo athletes presented lower strength mean fatigue index (33.2 ± 6.9 % vs 37.9 ± 8.7 %) and muscle coactivation (48 ± 19.8 % vs 57.5 ± 22 %), only in the dominant hand, during the isometric strength-endurance handgrip test. During all repetitions of isometric endurance test there were no group or interaction between factors effects for absolute strength, relative strength and muscle coactivation. Conclusion: In summary, judo athletes present higher maximal absolute and relative strength and strength-endurance performance, concomitantly with decreased muscles co-activation (primary in dominant hand) during handgrip tests.</t>
  </si>
  <si>
    <t>https://search.ebscohost.com/login.aspx?direct=true&amp;db=mdc&amp;AN=32023202&amp;site=ehost-live</t>
  </si>
  <si>
    <t>Do Rates of Mental Health Symptoms in Currently Competing Elite Athletes in Paralympic Sports Differ from Non-Para-Athletes?</t>
  </si>
  <si>
    <t>Olive LS; Rice S; Butterworth M; Clements M; Purcell R</t>
  </si>
  <si>
    <t>10.1186/s40798-021-00352-4</t>
  </si>
  <si>
    <t>Background: This study addresses the lack of comparative data on the mental health of athletes in Paralympic sports ('para-athletes') and non-para athletes by examining the prevalence and correlates of mental health symptoms in a national sample of elite athletes representative of the population from which it was drawn on age and para-status. Methods: A cross-sectional, anonymous, online-survey was provided to all categorised (e.g. highest level) athletes, aged 17 years and older, registered with the Australian Institute of Sport (n = 1566). Measures included psychological distress, mental health caseness, risky alcohol consumption, body weight and shape dissatisfaction, self-esteem, life satisfaction, and problem gambling. Correlates of outcomes included individual (e.g. demographic and psychosocial) and sport-related variables. Results: The participation rate was 51.7% (n = 810), with valid data available from 749 athletes. No significant differences were observed between athletes from para- and non-para-sports on most mental health symptoms, with the exception of alcohol consumption (p &lt; .001) and self-esteem (p = .007), both lower in athletes from para-sports. A trend for an interaction was found for anxiety and insomnia (p = .018), whereby the difference between athletes from para- and non-para-sports was qualified by gender. Conclusions: In a large sample of elite athletes, mental health and wellbeing symptoms are comparable between athletes from para- and non-para-sports, with the exception of para-athletes reporting lower alcohol consumption but also lower self-esteem. While overall mental health and wellbeing symptom profiles are largely similar, attention to areas of differences will help to better address the unmet and distinct mental health needs of athletes from para-sports. © 2021. The Author(s).</t>
  </si>
  <si>
    <t>https://search.ebscohost.com/login.aspx?direct=true&amp;db=mdc&amp;AN=34427796&amp;site=ehost-live</t>
  </si>
  <si>
    <t>Does ankle tape improve proprioception acuity immediately after application and following a netball session? A randomised controlled trial.</t>
  </si>
  <si>
    <t>Smyth E; Waddington G; Witchalls J; Newman P; Weissensteiner J; Hughes S; Niyonsenga T; Drew M</t>
  </si>
  <si>
    <t>10.1016/j.ptsp.2020.12.010</t>
  </si>
  <si>
    <t>Australia; Ankle; Athletes; Athletic Tape; Basketball; Proprioception; Adolescent; Ankle Injuries epidemiology; Ankle Injuries prevention &amp; control; Ankle Joint; Australia; Female; Humans; Linear Models; Movement; Young Adult</t>
  </si>
  <si>
    <t>Objectives: To assess whether ankle tape applied by a Sport and Exercise Physiotherapist (SEP) or self-applied by the athlete results in a change in proprioception and whether it is maintained during a netball session. Design: Randomised controlled trial. Setting: Australian Institute of Sport. Participants: 53 pre-elite netball athletes. Main Outcome Measures: Athlete proprioception was assessed using the Active Movement Extent Discrimination Apparatus (AMEDA) on four occasions for each taping condition: 1) pre-tape, 2) post-tape, 3) post-netball &amp; 4) post-netball no-tape. Results: Mixed effect linear models were used for analysis. A significant increase in proprioception was observed when self-tape: 0.022 (95% CI: [-0.000 - 0.044], p = 0.05), and SEP tape: 0.034 (95% CI: [0.012-0.055], p &lt; 0.01), were initially applied. These improvements were maintained during a netball session for both, self-taping: 0.01 (95% CI: [-0.01 - 0.02], p = 0.45) and SEP-taping: &lt;0.01 (95% CI: [-0.02 - 0.01], p = 0.56). Results also indicate there was no significant difference between taping conditions (β = -0.001, 95% CI: [-0.02 - 0.02], p = 0.90). Conclusions: Proprioception improves and is maintained during a netball session with either SEP or self-applied taping. Competing Interests: Declaration of competing interest None declared. Crown Copyright © 2020. Published by Elsevier Ltd. All rights reserved.</t>
  </si>
  <si>
    <t>https://search.ebscohost.com/login.aspx?direct=true&amp;db=mdc&amp;AN=33341518&amp;site=ehost-live</t>
  </si>
  <si>
    <t>Effect of Exercising in the Heat on Intestinal Fatty Acid-Binding Protein, Endotoxins, and Lipopolysaccharide-Binding Protein Markers in Trained Athletic Populations: A Systematic Literature Review.</t>
  </si>
  <si>
    <t>Wallett A; Périard JD; Saunders P; McKune A</t>
  </si>
  <si>
    <t>10.1123/ijsnem.2021-0040</t>
  </si>
  <si>
    <t>Athletes; Biomarkers blood; Carrier Proteins blood; Endotoxins blood; Exercise physiology; Fatty Acid-Binding Proteins blood; Hot Temperature adverse effects; Intestinal Mucosa metabolism; Membrane Glycoproteins blood; Acute-Phase Proteins; Gastrointestinal Tract physiopathology; Humans; Intestinal Mucosa physiopathology; Oxygen Consumption; Physical Exertion</t>
  </si>
  <si>
    <t>Along with digestion and absorption of nutrients, the gastrointestinal epithelium acts as a primary intestinal defense layer, preventing luminal pathogens from entering the circulation. During exercise in the heat, epithelial integrity can become compromised, allowing bacteria and bacterial endotoxins to translocate into circulation, triggering a systemic inflammatory response and exacerbating gastrointestinal damage. While this relationship seems clear in the general population in endurance/ultraendurance exercise, the aim of this systematic review was to evaluate the effect of exercise in the heat on blood markers of gastrointestinal epithelial disturbance in well-trained individuals. Following the 2009 Preferred Reporting Items for Systematic Reviewed and Meta-Analyses guidelines, five electronic databases were searched for appropriate research, and 1,885 studies were identified. Five studies met the inclusion criteria and were subject to full methodological appraisal by two reviewers. Critical appraisal of the studies was conducted using the McMasters Critical Review Form. The studies investigated changes in markers of gastrointestinal damage (intestinal fatty acid-binding protein, endotoxin, and/or lipopolysaccharide-binding protein) following acute exercise in warm to hot conditions (≥ 30 °C) and included trained or well-trained participants with direct comparisons to a control temperate condition (≤ 22 °C). The studies found that prolonged submaximal and strenuous exercise in hot environmental conditions can acutely increase epithelial disturbance compared with exercise in cooler conditions, with disturbances not being clinically relevant. However, trained and well-trained populations appear to tolerate exercise-induced gastrointestinal disturbance in the heat. Whether this is an acquired tolerance related to regular training remains to be investigated.</t>
  </si>
  <si>
    <t>https://search.ebscohost.com/login.aspx?direct=true&amp;db=mdc&amp;AN=34039771&amp;site=ehost-live</t>
  </si>
  <si>
    <t>Extended post-exercise hyperthermia in athletes with a spinal cord injury.</t>
  </si>
  <si>
    <t>Maloney PL; Pumpa KL; Miller J; Thompson KG; Jay O</t>
  </si>
  <si>
    <t>10.1016/j.jsams.2021.03.005</t>
  </si>
  <si>
    <t>Exercise physiology; Hyperthermia etiology; Paraplegia physiopathology; Quadriplegia physiopathology; Spinal Cord Injuries physiopathology; Blood Pressure; Body Temperature Regulation; Cryotherapy; Heat-Shock Response; Humans; Hyperthermia prevention &amp; control; Male; Risk Factors; Sweating</t>
  </si>
  <si>
    <t>Objectives: Determine the extent and underlying causes of post-exercise hyperthermia in athletes with a spinal cord injury following exercise. Design: Observational. Methods: Thirty-one males (8 with tetraplegia [TP; C5-C8], 7 with high paraplegia [HP; T1-T5], 8 with low paraplegia [LP; T6-L1] and 8 able-bodied [AB]), recovered in 35°C/50%RH for 45min after 30-min of exercise at a metabolic heat production (H prod ) of 4.0W/kg (AB vs TP) or 6.0W/kg (AB vs HP vs LP). Esophageal (T es ), gastrointestinal (T gi ) and skin temperatures, H prod , local sweat rate (LSR) and mean arterial pressure were measured. Results: TP maintained a higher T es (38.05°C [95% CI: 37.83°C, 38.28°C], AB: 36.77°C [36.56°C, 36.98°C], p&lt;0.001) and T gi (TP: 38.36°C [38.15°C, 38.58°C], AB: 37.26°C [37.04°C, 37.47°C], p&lt;0.001), with peak values observed 45min post-exercise. Core temperatures all declined in HP, LP and AB, but HP maintained a higher T es than AB (p=0.030), and higher T gi than LP and AB (p=0.019). No differences in post-exercise H prod were observed between TP and AB (p=0.264), or HP, LP and AB (p=0.124). Evaporative heat loss was estimated to be zero in TP, while back LSR was greater in HP than LP (p=0.009). Minimal dry heat loss occurred in SCI groups (TP: 9W/m 2 [6, 12], HP: 4W/m 2 [1, 6], LP: 2W/m 2 [0, 5]). Conclusions: Substantial post-exercise hyperthermia is evident in TP (∼1.4°C hotter than AB after 45min of post-exercise recovery) due to minimal evaporation. HP have delayed post-exercise thermoregulatory recovery whereas LP respond similarly to AB. Copyright © 2021. Published by Elsevier Ltd.</t>
  </si>
  <si>
    <t>https://search.ebscohost.com/login.aspx?direct=true&amp;db=mdc&amp;AN=33773931&amp;site=ehost-live</t>
  </si>
  <si>
    <t>Functional calibration does not improve the concurrent validity of magneto-inertial wearable sensor-based thorax and lumbar angle measurements when compared with retro-reflective motion capture.</t>
  </si>
  <si>
    <t>Cottam DS; Campbell AC; Davey PC; Kent P; Elliott BC; Alderson JA</t>
  </si>
  <si>
    <t>Medical &amp; biological engineering &amp; computing</t>
  </si>
  <si>
    <t>10.1007/s11517-021-02440-9</t>
  </si>
  <si>
    <t>Springer</t>
  </si>
  <si>
    <t>Knee Joint; Wearable Electronic Devices; Biomechanical Phenomena; Calibration; Humans; Range of Motion, Articular; Thorax</t>
  </si>
  <si>
    <t>Magneto-inertial measurement unit (MIMU) systems allow calculation of simple sensor-to-sensor Euler angles, though this process does not address sensor-to-segment alignment, which is important for deriving meaningful MIMU-based kinematics. Functional sensor-to-segment calibrations have improved concurrent validity for elbow and knee angle measurements but have not yet been comprehensively investigated for trunk or sport-specific movements. This study aimed to determine the influence of MIMU functional calibration on thorax and lumbar joint angles during uni-planar and multi-planar, sport-specific tasks. It was hypothesised that functionally calibrating segment axes prior to angle decomposition would produce smaller differences than a non-functional method when both approaches were compared with concurrently collected 3D retro-reflective derived angles. Movements of 10 fast-medium cricket bowlers were simultaneously recorded by MIMUs and retro-reflective motion capture. Joint angles derived from four different segment definitions were compared, with three incorporating functionally defined axes. Statistical parametric mapping and root mean squared differences (RMSD) quantified measurement differences one-dimensionally and zero-dimensionally, respectively. Statistical parametric mapping found no significant differences between MIMU and retro-reflective data for any method across bowling and uni-planar trunk movements. The RMSDs for the functionally calibrated methods and non-functional method were not significantly different. Functional segment calibration may be unnecessary for MIMU-based measurement of thorax and lumbar joint angles. © 2021. Crown.</t>
  </si>
  <si>
    <t>https://search.ebscohost.com/login.aspx?direct=true&amp;db=mdc&amp;AN=34529184&amp;site=ehost-live</t>
  </si>
  <si>
    <t>Gender differences in mental health symptoms and risk factors in Australian elite athletes.</t>
  </si>
  <si>
    <t>Walton CC; Rice S; Gao CX; Butterworth M; Clements M; Purcell R</t>
  </si>
  <si>
    <t>e000984</t>
  </si>
  <si>
    <t>10.1136/bmjsem-2020-000984</t>
  </si>
  <si>
    <t>Objectives: To examine gender differences in the reporting of, and contributors to, mental health symptoms. Methods: This was a cross-sectional observational study of adult athletes within a national elite sporting system (n=523; women=292;56%), who completed a battery of assessments including measures of mental health and adverse life events. Group differences across a range of scores were examined, followed by gender-stratified bootstrapped linear regression and meta-regression on measures where gender differences were observed. Results: Women athletes reported higher rates of mental health symptoms, and lower rates of mental well-being, although there were no differences in general psychological distress or life satisfaction. Women reported experiencing several adverse life events at higher rates than men; particularly interpersonal conflict, financial hardship and discrimination. Low self-esteem was consistently associated with poorer mental health outcomes for all athletes. While a range of factors were associated with poor mental health in men or women athletes, meta-regression suggested that experiencing financial difficulty and social media abuse were more uniquely associated with mental health symptoms in men. Conclusion: Gender differences in mental health in elite athletes are apparent. Approaches to increasing well-being are required in elite sport. Competing Interests: Competing interests: Authors MB and MC are employed by the Australian Institute of Sport, which is funded by the Australian Sports Commission. Their involvement in the study included the survey design, data interpretation and contributions to the final draft manuscript, but not to the survey implementation or data analysis. The remaining authors have no conflicts of interest to declare. © Author(s) (or their employer(s)) 2021. Re-use permitted under CC BY-NC. No commercial re-use. See rights and permissions. Published by BMJ.</t>
  </si>
  <si>
    <t>https://search.ebscohost.com/login.aspx?direct=true&amp;db=mdc&amp;AN=33754081&amp;site=ehost-live</t>
  </si>
  <si>
    <t>Illness prevalence and symptoms in youth floorball players: a one-season prospective cohort study involving 471 players.</t>
  </si>
  <si>
    <t>Perera NKP; Waldén M; Lindblom H; Åkerlund I; Sonesson S; Hägglund M</t>
  </si>
  <si>
    <t>BMJ open</t>
  </si>
  <si>
    <t>e051902</t>
  </si>
  <si>
    <t>10.1136/bmjopen-2021-051902</t>
  </si>
  <si>
    <t>Athletic Injuries epidemiology; Sports; Adolescent; Athletes; Child; Female; Humans; Male; Prevalence; Prospective Studies; Seasons</t>
  </si>
  <si>
    <t>Objective: To describe weekly illness prevalence and illness symptoms by sex in youth floorball players during one season. Design: Prospective cohort study. Setting: Players who were registered to play community level floorball during the 2017-2018 season (26 weeks) in two provinces in southern Sweden. Participants: 471 youth players aged 12-17 years. Mean (SD) age for 329 male players 13.3 (1.0) years and 142 female players 13.7 (1.5) years. Primary and Secondary Outcome Measures: Weekly self-reported illness prevalence and illness symptoms according to the 2020 International Olympic Committee's consensus recommendations. Results: 61% of youth floorball players reported at least one illness week during the season, with an average weekly illness prevalence of 12% (95% CI 10.8% to 12.3%). The prevalence was slightly higher among females (13%, 95% CI 11.6% to 14.3%) than males (11%, 95% CI 9.9% to 11.7%), prevalence rate ratio 1.20 (95% CI 1.05 to 1.37, p=0.009). In total, 49% (53% male, 43% female) of illness reports indicated that the player could not participate in floorball (time loss), with a mean (SD) absence of 2.0 (1.7) days per illness week. Fever (30%), sore throat (16%) and cough (14%) were the most common symptoms. Female players more often reported difficulty in breathing/tight airways and fainting, and male players more often reported coughing, feeling tired/feverish and headache. Illness prevalence was highest in the peak winter months (late January/February) reaching 15%-18% during this period. Conclusions: Our novel findings of the illness prevalence and symptoms in youth floorball may help direct prevention strategies. Athletes, coaches, parents and support personnel need to be educated about risk mitigation strategies. Trial Registration Number: NCT03309904. Competing Interests: Competing interests: None declared. © Author(s) (or their employer(s)) 2021. Re-use permitted under CC BY-NC. No commercial re-use. See rights and permissions. Published by BMJ.</t>
  </si>
  <si>
    <t>https://search.ebscohost.com/login.aspx?direct=true&amp;db=mdc&amp;AN=34907058&amp;site=ehost-live</t>
  </si>
  <si>
    <t>Impaired recovery is associated with increased injury and illness: A retrospective study of 536 female netball athletes.</t>
  </si>
  <si>
    <t>Horgan BG; Drew MK; Halson SL; Piromalli LE; Drinkwater EJ; Chapman DW; Haff GG</t>
  </si>
  <si>
    <t>10.1111/sms.13866</t>
  </si>
  <si>
    <t>Athletic Injuries physiopathology; Athletic Injuries psychology; Physical Conditioning, Human physiology; Physical Conditioning, Human psychology; Adolescent; Affect; Athletic Injuries complications; Fatigue etiology; Female; Humans; Motivation; Myalgia physiopathology; Principal Component Analysis; Retrospective Studies; Risk Factors; Sleep physiology; Stress, Psychological etiology; Time Factors; Young Adult</t>
  </si>
  <si>
    <t>Sport science and medicine practitioners are interested in the relationships between training load, injury, and illness. The extent to which training preparedness is associated with workload-related injury and illness risk is debated. Therefore, this study applied multi-level mixed effect logistic regression to investigate time-dependent (±7- and ±28-day) relationships between training preparedness (fatigue, mood, motivation, soreness, stress, sleep duration, and quality), training load, injury, and illness in 536 elite and pre-elite female netball athletes. Absolute risk (AR ± 95% CI) of sustaining an injury (0.98 ± 0.06%, n = 1122 injuries, N = 254 athletes) or illness (1.09 ± 0.10%, n = 2881, N = 432 athletes) was calculated. All training preparedness variables combined resulted in an absolute risk of 0.88%-5.88% and 0.87%-20% for injury and illness, respectively. Injury and illness had significant (P &lt; .05) bidirectional (ie, both increased and decreased) associations with physical (soreness) and physiological (sleep duration and quality), while illness also had negative (mood, motivation) and positive (stress) associations with psychological training preparedness variables. Low sleep duration in the 48-h period prior was associated (P = .005) with increased injury risk (OR = 0.91 ± 0.03; AR = 4.00%), while "very poor" sleep quality (OR = 0.59 ± 0.02; AR = 7.83%) or extremes of too little (&lt;5 hours, OR = 1.01 ± 0.03; AR = 3.13%-14.29%) and too much (&gt;10 hours, OR = 1.01 ± 0.03; AR = 2.61%-10.98%) sleep had bidirectional associations (P &lt; .001) with an increased illness risk. Changes in training preparedness variables demonstrated bidirectional associations with injury and illness. These outcomes suggest that sport science and medicine practitioners should monitor sleep, physical, and psychological recovery status, to aid early detection and intervention regarding injury and illness symptomology. © 2020 John Wiley &amp; Sons A/S. Published by John Wiley &amp; Sons Ltd.</t>
  </si>
  <si>
    <t>https://search.ebscohost.com/login.aspx?direct=true&amp;db=mdc&amp;AN=33124056&amp;site=ehost-live</t>
  </si>
  <si>
    <t>Improving data acquisition speed and accuracy in sport using neural networks.</t>
  </si>
  <si>
    <t>Papic C; Sanders RH; Naemi R; Elipot M; Andersen J</t>
  </si>
  <si>
    <t>Journal of sports sciences</t>
  </si>
  <si>
    <t>10.1080/02640414.2020.1832735</t>
  </si>
  <si>
    <t>Routledge</t>
  </si>
  <si>
    <t>Comparative Study</t>
  </si>
  <si>
    <t>Neural Networks, Computer; Swimming physiology; Time and Motion Studies; Adolescent; Adult; Biomechanical Phenomena; Female; Hip Joint physiology; Humans; Knee Joint physiology; Male; Reproducibility of Results; Shoulder Joint physiology; Young Adult</t>
  </si>
  <si>
    <t>Video analysis is used in sport to derive kinematic variables of interest but often relies on time-consuming tracking operations. The purpose of this study was to determine speed, accuracy and reliability of 2D body landmark digitisation by a neural network (NN), compared with manual digitisation, for the glide phase in swimming. Glide variables including glide factor; instantaneous hip angles, trunk inclines and horizontal velocities were selected as they influence performance and are susceptible to digitisation propagation error. The NN was "trained" on 400 frames of 2D glide video from a sample of eight elite swimmers. Four glide trials of another swimmer were used to test agreement between the NN and a manual operator for body marker position data of the knee, hip and shoulder, and the effect of digitisation on glide variables. The NN digitised body landmarks 233 times faster than the manual operator, with digitising root-mean-square-error of ~4-5 mm. High accuracy and reliability was found between body position and glide variable data between the two methods with relative error ≤5.4% and correlation coefficients &gt;0.95 for all variables. NNs could be applied to greatly reduce the time of kinematic analysis in sports and facilitate rapid feedback of performance measures.</t>
  </si>
  <si>
    <t>https://search.ebscohost.com/login.aspx?direct=true&amp;db=mdc&amp;AN=33140693&amp;site=ehost-live</t>
  </si>
  <si>
    <t>Influence of Electronic Devices on Sleep and Cognitive Performance During Athlete Training Camps.</t>
  </si>
  <si>
    <t>Jones MJ; Dawson B; Eastwood PR; Halson SL; Miller J; Murray K; Dunican IC; Landers GJ; Peeling P</t>
  </si>
  <si>
    <t>10.1519/JSC.0000000000002991</t>
  </si>
  <si>
    <t>Athletes; Cognition physiology; Sleep physiology; Actigraphy; Electronics; Humans</t>
  </si>
  <si>
    <t>Abstract: Jones, MJ, Dawson, B, Eastwood, PR, Halson, SL, Miller, J, Murray, K, Dunican, IC, Landers, GJ, and Peeling, P. Influence of electronic devices on sleep and cognitive performance during athlete training camps. J Strength Cond Res 35(6): 1620-1627, 2021-This study investigated the effects of removing athletes' electronic devices in the evening on sleep and performance during training camps. Water polo athletes (n = 26) attending a 7-night training camp (study 1) and triathletes (n = 23) attending a 4-night training camp (study 2) were randomly allocated to a no-device group (no electronic devices could be used after dinner or overnight; ND) or control group (unrestricted electronic device use; CON). Sleep was monitored through wrist actigraphy. The ND group completed a questionnaire measuring anxiety related to being unable to use electronic devices ("nomophobia"). Triathletes also completed a psychomotor vigilance test (PVT) at the start and end of camp. Water polo ND athletes went to bed earlier and spent longer time in bed than CON on the first night, but not on other nights. In triathletes, sleep quantity was not different between groups on any night. No statistically significant differences were observed for changes in nomophobia from the first to the last night of camp. No differences in PVT performance were observed between ND and CON triathletes. In conclusion, removal of evening electronic devices does not improve sleep quantity or cognitive performance in athletes during short-duration (4-7 nights) training camps. Copyright © 2019 National Strength and Conditioning Association.</t>
  </si>
  <si>
    <t>https://search.ebscohost.com/login.aspx?direct=true&amp;db=mdc&amp;AN=30741866&amp;site=ehost-live</t>
  </si>
  <si>
    <t>Influence of Physical Fitness on Special Judo Fitness Test Performance: A Multiple Linear Regression Analysis.</t>
  </si>
  <si>
    <t>Paulo Lopes-Silva J; Panissa VLG; Julio UF; Franchini E</t>
  </si>
  <si>
    <t>10.1519/JSC.0000000000002948</t>
  </si>
  <si>
    <t>Athletic Performance; Martial Arts; Exercise Test; Humans; Linear Models; Male; Oxygen Consumption; Physical Fitness; Regression Analysis</t>
  </si>
  <si>
    <t>Abstract: Lopes-Silva, JP, Panissa, VLG, Julio, UF, and Franchini, E. Influence of physical fitness on Special Judo Fitness Test performance: a multiple linear regression analysis. J Strength Cond Res 35(6): 1732-1738, 2021-The purpose of this study was to identify the physical fitness variables that best predict Special Judo Fitness Test (SJFT) performance. Thirty-five male experienced judo athletes took part in this study. All athletes performed 5 tests: upper- and lower-body cycle ergometer graded exercise tests; upper- and lower-body Wingate tests; and SJFT. The peak oxygen consumption (V̇o2peak), maximum heart rate (HRmax), maximum aerobic power, and the variables corresponding to onset blood lactate accumulation (OBLA) were determined during the graded exercise tests. For the Wingate tests, peak power (PP) and mean power were used. Furthermore, the total number of throws, heart rate (HR) immediately and 1 minute after, and SJFT index were calculated. Four separated forward multiple linear regressions (forward model) were used to identify the physical fitness variables that best explained the SJFT variables. Upper-body V̇o2peak (ml·min-1·kg-1) explained 27% of variance in the total number of throws, whereas an additional 7% was explained by upper-body PP. Upper-body HRmax explained 46% of the variance in the HR immediately after the SJFT, whereas lower-body HR at OBLA accounted for an additional 8%. Lower-body HRmax explained 21% of the variance in the HR 1 minute after the SJFT, whereas peak lactate ([La-]peak) after the lower-body graded exercise test accounted for an additional 12%. Upper-body V̇o2peak (ml·min-1·kg-1) alone accounted for 15% of the variance in the SJFT index. Based on these results, the data suggest that physical fitness variables, derived from upper- and lower-body aerobic and anaerobic tests, have a small ability to predict the SJFT variables. Copyright © 2018 National Strength and Conditioning Association.</t>
  </si>
  <si>
    <t>https://search.ebscohost.com/login.aspx?direct=true&amp;db=mdc&amp;AN=30418327&amp;site=ehost-live</t>
  </si>
  <si>
    <t>Infographic. Consensus recommendations on the classification, definition and diagnostic criteria of hip-related pain in young and middle-aged active adults from the International Hip-related Pain Research Network, Zurich 2018.</t>
  </si>
  <si>
    <t>Reiman MP; Agricola R; Kemp JL; Heerey JJ; Weir A; van Klij P; Kassarjian A; Mosler AB; Ageberg E; Hölmich P; Warholm KM; Griffin D; Mayes S; Khan KM; Crossley KM; Bizzini M; Bloom N; Casartelli NC; Diamond LE; Di Stasi S; Drew M; Friedman DJ; Freke M; Glyn-Jones S; Gojanovic B; Harris-Hayes M; Hunt MA; Impellizzeri FM; Ishøi L; Jones DM; King MG; Lawrenson PR; Leunig M; Lewis CL; Mathieu N; Moksnes H; Risberg MA; Scholes MJ; Semciw AI; Serner A; Thorborg K; Virgile A; Wörner T; Dijkstra HP</t>
  </si>
  <si>
    <t>10.1136/bjsports-2020-102219</t>
  </si>
  <si>
    <t>Arthralgia classification; Arthralgia diagnosis; Consensus; Hip Joint; Adult; Arthralgia diagnostic imaging; Groin; Humans; Middle Aged; Young Adult</t>
  </si>
  <si>
    <t>https://search.ebscohost.com/login.aspx?direct=true&amp;db=mdc&amp;AN=32868314&amp;site=ehost-live</t>
  </si>
  <si>
    <t>"It takes a village": the sources and types of support in development of male cricket players.</t>
  </si>
  <si>
    <t>Warmenhoven J; Weissensteiner JR; MacMahon C</t>
  </si>
  <si>
    <t>10.1016/j.jsams.2020.07.010</t>
  </si>
  <si>
    <t>Australia; Athletic Performance psychology; Cricket Sport psychology; Financial Support; Social Support; Adolescent; Adult; Australia; Friends; Humans; Male; Mentoring; Parents; School Teachers; Siblings; Social Environment; Surveys and Questionnaires; Young Adult</t>
  </si>
  <si>
    <t>Objectives: To explore the different types of support (e.g., financial, informational) and support providers (e.g., fathers, siblings) in the development of male cricket players across different levels of skill expertise. Methods: A quantitative questionnaire (developed as a part of a broader Australian Research Council Linkage project) assessing support providers and types of support accessed by players was distributed to participants through involvement with a national sporting organisation. Descriptive trends across support types for each provider were explored for the total cohort of athletes, n=1383 (as relative percentages), and community and elite differences were explored using chi-squared analyses (p&lt;0.05). Results: Mothers and fathers were primary providers of financial and emotional support (&gt;80%), mentors offered meaningful sport-specific informational and technical (or coaching related) support, and siblings and peers played an integral development role in acting as fellow participants for practice and play. Access to coaching emerged as a dominant point of difference between community and elite players consistently across all support providers (p&lt;0.05). Mentors and siblings also featured more frequently for elite players across broader ranges of support factors (p&lt;0.05). Conclusion: Regardless of level of skill expertise, there were unique context-specific roles that different providers played in supporting cricket players. When differentiating between levels of expertise, elite players drew on more "contact" points to assist them in accessing the right type of coaching. Mentors and siblings also featured more frequently for elite players across a broader range of support factors. Taken together, these findings show that elite players are distinguished in their reliance on multiple components within a complex family system, bolstered by additional significant others. This work further underscores the previously limited exploration of social networks in athlete development, highlighting avenues for continued enquiry and action in sport development systems. Copyright © 2020. Published by Elsevier Ltd.</t>
  </si>
  <si>
    <t>https://search.ebscohost.com/login.aspx?direct=true&amp;db=mdc&amp;AN=33187881&amp;site=ehost-live</t>
  </si>
  <si>
    <t>Ketogenic low-CHO, high-fat diet: the future of elite endurance sport?</t>
  </si>
  <si>
    <t>Burke LM</t>
  </si>
  <si>
    <t>10.1113/JP278928</t>
  </si>
  <si>
    <t>Diet, High-Fat; Dietary Carbohydrates; Adaptation, Physiological; Athletes; Diet; Exercise; Humans; Physical Endurance</t>
  </si>
  <si>
    <t>The ability of ketogenic low-carbohydrate (CHO) high-fat (K-LCHF) diets to enhance muscle fat oxidation has led to claims that it is the 'future of elite endurance sport'. There is robust evidence that substantial increases in fat oxidation occur, even in elite athletes, within 3-4 weeks and possibly 5-10 days of adherence to a K-LCHF diet. Retooling of the muscle can double exercise fat use to ∼1.5 g min -1 , with the intensity of maximal rates of oxidation shifting from ∼45% to ∼70% of maximal aerobic capacity. Reciprocal reductions in CHO oxidation during exercise are clear, but current evidence to support the hypothesis of the normalization of muscle glycogen content with longer-term adaptation is weak. Importantly, keto-adaptation may impair the muscle's ability to use glycogen for oxidative fates, compromising the use of a more economical energy source when the oxygen supply becomes limiting and, thus, the performance of higher-intensity exercise (&gt;80% maximal aerobic capacity). Even with moderate intensity exercise, individual responsiveness to K-LCHF is varied, with extremes at both ends of the performance spectrum. Periodisation of K-LCHF with high CHO availability might offer opportunities to restore capacity for higher-intensity exercise, but investigations of various models have failed to find a benefit over dietary approaches based on current sports nutrition guidelines. Endurance athletes who are contemplating the use of K-LCHF should undertake an audit of event characteristics and personal experiences to balance the risk of impaired performance of higher-intensity exercise with the likelihood of an unavoidable depletion of carbohydrate stores. © 2020 The Authors. The Journal of Physiology published by John Wiley &amp; Sons Ltd on behalf of The Physiological Society.</t>
  </si>
  <si>
    <t>https://search.ebscohost.com/login.aspx?direct=true&amp;db=mdc&amp;AN=32358802&amp;site=ehost-live</t>
  </si>
  <si>
    <t>Male basketball players who report hip and groin pain perceive its negative impact both on- and off-court: A cross-sectional study.</t>
  </si>
  <si>
    <t>Dooley K; Drew MK; Snodgrass SJ; Schultz A; McGann T; Blyton S; Pizzari T; Rio E; Donnan L; Edwards S</t>
  </si>
  <si>
    <t>10.1016/j.jsams.2021.02.005</t>
  </si>
  <si>
    <t>Activities of Daily Living; Basketball injuries; Groin injuries; Hip Injuries psychology; Pain psychology; Quality of Life; Adolescent; Cross-Sectional Studies; Humans; Male; Pain etiology; Patient Reported Outcome Measures; Self Report; Young Adult</t>
  </si>
  <si>
    <t>Objectives: To identify if basketball players aged &lt;20 years (U20) self-report hip and/or groin pain and if they perceive this as a problem. To determine potential differences in self-reported playing (training and match play) loads and Copenhagen Hip and Groin Outcome Score (HAGOS) between those with and without hip/groin pain. Design: Cross-sectional. Methods: Fifty-one pre-elite (state/national representative level) male U20 basketball players (Australian n=38; Italian n=13) self-reported current/historical hip/groin 'discomfort/pain' and 'problems', and playing loads. A two-factor regression model was fitted including main effects for hip/groin pain and Cohort and their interaction, with outcome variables playing loads and HAGOS subscale scores and dependent variable hip/groin pain. Results: Twenty-one players (41%) self-reported hip/groin 'discomfort/pain', of which nine perceived no 'problems'. Two of these nine players reported training/playing time loss due to pain. Those self-reporting hip/groin discomfort/pain scored lower than those without in HAGOS subscales Symptoms (mean difference in score 8.94; 95%CI -25.24, -5.97), Pain (5.00; -16.42, -2.81), Function in daily living (0.00; -26.72 to -5.59), Function in sport and recreation (6.25; -21.24, -5.33), and hip and/or groin Quality of Life (5.00; -28.63, -8.10), indicating worse hip/groin problems. Participation subscale scores were different only for Italian players (36.25; -51.25, -20.00), with players self-reporting hip/groin discomfort/pain scoring lower. Conclusion: Most players who perceive both hip/groin 'discomfort/pain' and 'problems' also report training/playing time loss, suggesting players' perceptions of problematic symptoms and time-loss are associated. Adolescent basketball players perceive hip/groin pain to negatively impact their daily lives and sporting function. Copyright © 2021 Sports Medicine Australia. All rights reserved.</t>
  </si>
  <si>
    <t>https://search.ebscohost.com/login.aspx?direct=true&amp;db=mdc&amp;AN=33707154&amp;site=ehost-live</t>
  </si>
  <si>
    <t>Neither Beetroot Juice Supplementation nor Increased Carbohydrate Oxidation Enhance Economy of Prolonged Exercise in Elite Race Walkers.</t>
  </si>
  <si>
    <t>Burke LM; Hall R; Heikura IA; Ross ML; Tee N; Kent GL; Whitfield J; Forbes SF; Sharma AP; Jones AM; Peeling P; Blackwell JR; Mujika I; Mackay K; Kozior M; Vallance B; McKay AKA</t>
  </si>
  <si>
    <t>10.3390/nu13082767</t>
  </si>
  <si>
    <t>Beta vulgaris; Dietary Carbohydrates administration &amp; dosage; Dietary Supplements; Fruit and Vegetable Juices; Walking physiology; Adult; Athletes; Humans; Male; Oxidation-Reduction; Oxygen Consumption</t>
  </si>
  <si>
    <t>Given the importance of exercise economy to endurance performance, we implemented two strategies purported to reduce the oxygen cost of exercise within a 4 week training camp in 21 elite male race walkers. Fourteen athletes undertook a crossover investigation with beetroot juice (BRJ) or placebo (PLA) [2 d preload, 2 h pre-exercise + 35 min during exercise] during a 26 km race walking at speeds simulating competitive events. Separately, 19 athletes undertook a parallel group investigation of a multi-pronged strategy (MAX; n = 9) involving chronic (2 w high carbohydrate [CHO] diet + gut training) and acute (CHO loading + 90 g/h CHO during exercise) strategies to promote endogenous and exogenous CHO availability, compared with strategies reflecting lower ranges of current guidelines (CON; n = 10). There were no differences between BRJ and PLA trials for rates of CHO ( p = 0.203) or fat ( p = 0.818) oxidation or oxygen consumption ( p = 0.090). Compared with CON, MAX was associated with higher rates of CHO oxidation during exercise, with increased exogenous CHO use (CON; peak = ~0.45 g/min; MAX: peak = ~1.45 g/min, p &lt; 0.001). High rates of exogenous CHO use were achieved prior to gut training, without further improvement, suggesting that elite athletes already optimise intestinal CHO absorption via habitual practices. No differences in exercise economy were detected despite small differences in substrate use. Future studies should investigate the impact of these strategies on sub-elite athletes' economy as well as the performance effects in elite groups.</t>
  </si>
  <si>
    <t>https://search.ebscohost.com/login.aspx?direct=true&amp;db=mdc&amp;AN=34444928&amp;site=ehost-live</t>
  </si>
  <si>
    <t>Overtraining Syndrome (OTS) and Relative Energy Deficiency in Sport (RED-S): Shared Pathways, Symptoms and Complexities.</t>
  </si>
  <si>
    <t>Stellingwerff T; Heikura IA; Meeusen R; Bermon S; Seiler S; Mountjoy ML; Burke LM</t>
  </si>
  <si>
    <t>10.1007/s40279-021-01491-0</t>
  </si>
  <si>
    <t>Female Athlete Triad Syndrome; Relative Energy Deficiency in Sport; Athletes; Energy Intake; Energy Metabolism; Female; Humans</t>
  </si>
  <si>
    <t>The symptom similarities between training-overload (with or without an Overtraining Syndrome (OTS) diagnosis) and Relative Energy Deficiency in Sport (RED-S) are significant, with both initiating from a hypothalamic-pituitary origin, that can be influenced by low carbohydrate (CHO) and energy availability (EA). In this narrative review we wish to showcase that many of the negative outcomes of training-overload (with, or without an OTS diagnosis) may be primarily due to misdiagnosed under-fueling, or RED-S, via low EA and/or low CHO availability. Accordingly, we undertook an analysis of training-overload/OTS type studies that have also collected and analyzed for energy intake (EI), CHO, exercise energy expenditure (EEE) and/or EA. Eighteen of the 21 studies (86%) that met our criteria showed indications of an EA decrease or difference between two cohorts within a given study (n = 14 studies) or CHO availability decrease (n = 4 studies) during the training-overload/OTS period, resulting in both training-overload/OTS and RED-S symptom outcomes compared to control conditions. Furthermore, we demonstrate significantly similar symptom overlaps across much of the OTS (n = 57 studies) and RED-S/Female Athlete Triad (n = 88 studies) literature. It is important to note that the prevention of under-recovery is multi-factorial, but many aspects are based around EA and CHO availability. Herein we have demonstrated that OTS and RED-S have many shared pathways, symptoms, and diagnostic complexities. Substantial attention is required to increase the knowledge and awareness of RED-S, and to enhance the diagnostic accuracy of both OTS and RED-S, to allow clinicians to more accurately exclude LEA/RED-S from OTS diagnoses. © 2021. The Author(s), under exclusive licence to Springer Nature Switzerland AG.</t>
  </si>
  <si>
    <t>https://search.ebscohost.com/login.aspx?direct=true&amp;db=mdc&amp;AN=34181189&amp;site=ehost-live</t>
  </si>
  <si>
    <t>Passive drag in Para swimmers with physical impairments: Implications for evidence-based classification in Para swimming.</t>
  </si>
  <si>
    <t>Hogarth L; Oh YT; Osborough C; Osborough C; Formosa D; Hunter A; Alcock A; Burkett B; Payton C</t>
  </si>
  <si>
    <t>10.1111/sms.14014</t>
  </si>
  <si>
    <t>Athletic Performance physiology; Sports for Persons with Disabilities classification; Sports for Persons with Disabilities physiology; Swimming physiology; Adolescent; Adult; Child; Cross-Sectional Studies; Female; Humans; Male; Middle Aged; Young Adult</t>
  </si>
  <si>
    <t>The inherent hydrodynamic resistance force, or passive drag, of a swimmer directly influences how they move through the water. For swimmers with physical impairments, the strength of association between passive drag and swimming performance is unknown. Knowledge on this factor could improve the World Para Swimming classification process. This study established the relationship between passive drag and 100 m freestyle race performance in Para swimmers with physical impairments. Using a cross-sectional study design, an electrical-mechanical towing device was used to measure passive drag force in 132 international-level Para swimmers. There was a strong, negative correlation between normalized passive drag force and 100 m freestyle race speed in the combined participant cohort (ρ = -0.77, p &lt; 0.001). Type of physical impairment was found to affect the relationship between passive drag and 100 m freestyle race speed when included in linear regression (R 2 = 0.65, χ 2 = 11.5, p = 0.025). These findings contribute to the body of evidence that passive drag can provide an objective assessment of activity limitation in Para swimmers with physical impairments. The effect of physical impairment type on the relationship between passive drag and swimming performance should be accounted for in Para swimming classification. © 2021 John Wiley &amp; Sons A/S. Published by John Wiley &amp; Sons Ltd.</t>
  </si>
  <si>
    <t>https://search.ebscohost.com/login.aspx?direct=true&amp;db=mdc&amp;AN=34189782&amp;site=ehost-live</t>
  </si>
  <si>
    <t>PCA of waveforms and functional PCA: A primer for biomechanics.</t>
  </si>
  <si>
    <t>Warmenhoven J; Bargary N; Liebl D; Harrison A; Robinson MA; Gunning E; Hooker G</t>
  </si>
  <si>
    <t>Journal of biomechanics</t>
  </si>
  <si>
    <t>10.1016/j.jbiomech.2020.110106</t>
  </si>
  <si>
    <t>Biomechanical Phenomena; Biophysics; Principal Component Analysis</t>
  </si>
  <si>
    <t>Principal components analysis (PCA) of waveforms and functional PCA (fPCA) are statistical approaches used to explore patterns of variability in biomechanical curve data, with fPCA being an accepted statistical method grounded within the functional data analysis (FDA) statistical framework. This technical note demonstrates that PCA of waveforms is the most rudimentary form of FDA, and consequently can be rationalised within the FDA framework of statistical processes. Mathematical proofing applied demonstrations of both techniques, and an example of when fPCA may be of greater benefit to control over smoothing of functional principal components is provided using an open access motion sickness dataset. Finally, open access software is provided with this paper as means of priming the biomechanics community for using these methods as a part of future functional data explorations. Competing Interests: Declaration of Competing Interest The authors have no conflict of interest to declare. Copyright © 2020. Published by Elsevier Ltd.</t>
  </si>
  <si>
    <t>https://search.ebscohost.com/login.aspx?direct=true&amp;db=mdc&amp;AN=33429072&amp;site=ehost-live</t>
  </si>
  <si>
    <t>Physical activity and sedentary behaviour in current and former recreational and elite cricketers: a cross-sectional study.</t>
  </si>
  <si>
    <t>Panagodage-Perera NK; Bullock GS; Arden NK; Filbay SR</t>
  </si>
  <si>
    <t>e052014</t>
  </si>
  <si>
    <t>10.1136/bmjopen-2021-052014</t>
  </si>
  <si>
    <t>Sedentary Behavior; Sports; Adolescent; Adult; Aged; Athletes; Cross-Sectional Studies; Exercise; Humans; Male; Middle Aged</t>
  </si>
  <si>
    <t>Objective: Former sports participants do not necessarily maintain high levels of physical activity (PA) across their lifespan. Considering physical inactivity in former athletes is associated with an increased susceptibility to inactivity-related chronic diseases, research into PA behaviours in cricketers of all playing-standards is needed. The objective was to (1) describe PA and sedentary behaviour in current and former cricketers, and (2) determine the odds of current, former, recreational and elite cricketers meeting PA guidelines and health-enhancing PA (HEPA) compared with the general population. Study Design: Cross-sectional survey. Setting: Questionnaire response, UK. Participants: 2267 current and former cricketers (age: 52±15 years, male: 97%, current: 59%, recreational: 45%) participated. Cricketers were recruited through the Cricket Health and Wellbeing Study and met eligibility requirements (aged ≥18 years; played ≥1 year of cricket). Primary and Secondary Outcomes: Age-matched and sex-matched data from Health Survey for England 2015 (n=3201) was used as the general population-based sample. The International Physical Activity Questionnaire Short-Form assessed PA. Logistic regression, adjusted for age, sex, body mass index, alcohol consumption, smoking, education and ethnicity were used to meet the second aim. Results: 90% of current and 82% of former cricketers met UK PA guidelines. Current (OR 1.26, 95% CI 1.06 to 1.49)) and elite (OR 1.35, 95% CI 1.01 to 1.78) cricketers had greater odds of meeting UK PA guidelines, and elite cricketers had greater odds of HEPA (OR 1.19, 95% CI 1.02 to 1.42), compared with the general population. Former cricketers had reduced odds (OR 0.78, 95% CI 0.62 to 0.99) of meeting the UK PA guidelines compared with the general population. Conclusions: Elite cricketers had a greater odds of meeting the PA guidelines and HEPA, compared with the general population. Former cricketers demonstrated reduced odds of meeting the PA guidelines compared with the general population. Strategies are needed to transition cricketers to an active lifestyle after retirement, since former cricketers demonstrated reduced odds of meeting the PA guidelines compared with the general population. Competing Interests: Competing interests: None declared. © Author(s) (or their employer(s)) 2021. Re-use permitted under CC BY-NC. No commercial re-use. See rights and permissions. Published by BMJ.</t>
  </si>
  <si>
    <t>https://search.ebscohost.com/login.aspx?direct=true&amp;db=mdc&amp;AN=34732485&amp;site=ehost-live</t>
  </si>
  <si>
    <t>Placement effects of inertial measurement units on contact identification in wheelchair racing.</t>
  </si>
  <si>
    <t>Lewis AR; Haydon DS; Phillips EJ; Grimshaw PN; Pinder RA; Winter J; Robertson WSP; Portus MR</t>
  </si>
  <si>
    <t>10.1080/14763141.2018.1522367</t>
  </si>
  <si>
    <t>Accelerometry instrumentation; Athletic Performance physiology; Sports for Persons with Disabilities; Adolescent; Adult; Biomechanical Phenomena; Equipment Design; Female; Hand physiology; Humans; Kinetics; Male; Time and Motion Studies; Wheelchairs; Young Adult</t>
  </si>
  <si>
    <t>Inertial measurement units (IMUs) provide a practical solution for attaining key performance data for wheelchair sports. The effects of IMU placement position on the identification of propulsion characteristics are unknown. The aim of this study was to determine the variability in the reliability of cycle time measurements (time between hand contacts) across IMU locations on the chair frame (axle housings), and wheels (axle, push rim, outer rim), on both the left and right sides ( n = 8). Contacts were defined by spikes in the resultant acceleration data, corresponding to impact between the hands and push rim, and verified against motion capture. Five elite wheelchair racing athletes propelled at racing speeds on a treadmill. Excellent inter-rater Intraclass Correlation Coefficient values indicated high reliability and repeatability for both motion capture and IMU signal analysis approaches ( R = 0.997, p &lt; 0.001 and R = 0.990, p &lt; 0.001, respectively). The best results were (as determined by the best between method agreement) were observed for IMUs located on the frame. Detection reliability was positively associated with signal-to-noise ratio of the acceleration data. The IMU assessment approach facilitates an automated processing capability, which is an improvement to the currently used video analysis.</t>
  </si>
  <si>
    <t>https://search.ebscohost.com/login.aspx?direct=true&amp;db=mdc&amp;AN=30480477&amp;site=ehost-live</t>
  </si>
  <si>
    <t>Prevalence of impaired physiological function consistent with Relative Energy Deficiency in Sport (RED-S): an Australian elite and pre-elite cohort.</t>
  </si>
  <si>
    <t>Rogers MA; Appaneal RN; Hughes D; Vlahovich N; Waddington G; Burke LM; Drew M</t>
  </si>
  <si>
    <t>10.1136/bjsports-2019-101517</t>
  </si>
  <si>
    <t>Australia; Competitive Behavior physiology; Relative Energy Deficiency in Sport epidemiology; Absorptiometry, Photon; Adolescent; Adult; Australia epidemiology; Basal Metabolism; Biomarkers blood; Cardiorespiratory Fitness; Cross-Sectional Studies; Female; Health Surveys; Humans; Interview, Psychological; Leptin blood; Mental Disorders diagnosis; Mental Disorders epidemiology; Prevalence; Relative Energy Deficiency in Sport diagnosis; Relative Energy Deficiency in Sport psychology; Risk Factors; Young Adult</t>
  </si>
  <si>
    <t>Objectives: Athlete health, training continuity and performance can be impeded as a result of Relative Energy Deficiency in Sport (RED-S). Here we report the point prevalence of symptoms described by the RED-S model in a mixed-sport cohort of Australian female athletes. Methods: Elite and pre-elite female athletes (n=112) from eight sports completed validated questionnaires and underwent clinical assessment to assess the point prevalence of RED-S symptoms. Questionnaires included the Depression, Anxiety and Stress Questionnaire (DASS-21), Generalized Anxiety Disorder (GAD-7), Center for Epidemiological Studies Depression Scale (CES-D), SCOFF questionnaire for disordered eating, Low Energy Availability in Females Questionnaire (LEAF-Q), and a custom questionnaire on injury and illness. Clinical assessment comprised resting metabolic rate (RMR) assessment, dual-energy X-ray absorptiometry-derived body composition and bone mineral density, venous and capillary blood samples, and the Mini International Neuropsychiatric Interview (MINI 7.0.2). Descriptive prevalence statistics are presented. Results: Almost all (80%) participants (age 19 (range 15-32) years; mass 69.5±10.3 kg; body fat 23.1%±5.0%) demonstrated at least one symptom consistent with RED-S, with 37% exhibiting between two and three symptoms. One participant demonstrated five symptoms. Impaired function of the immunological (28%, n = 27), haematological (31%, n = 33) and gastrointestinal (47%, n = 51) systems were most prevalent. A moderate to high (11%-55%) prevalence of risk of low energy availability was identified via RMR and LEAF-Q, and identified mental illnesses were prevalent in one-third of the assessed cohort. Conclusion: Symptoms described by the RED-S model were prevalent in this cohort, supporting the need for improved awareness, monitoring and management of these symptoms in this population. Competing Interests: Competing interests: None declared. © Author(s) (or their employer(s)) 2021. No commercial re-use. See rights and permissions. Published by BMJ.</t>
  </si>
  <si>
    <t>https://search.ebscohost.com/login.aspx?direct=true&amp;db=mdc&amp;AN=33199358&amp;site=ehost-live</t>
  </si>
  <si>
    <t>Quinine Ingestion During the Latter Stages of a 3,000-m Time Trial Fails to Improve Cycling Performance.</t>
  </si>
  <si>
    <t>Etxebarria N; Clark B; Ross ML; Hui T; Goecke R; Rattray B; Burke LM</t>
  </si>
  <si>
    <t>10.1123/ijsnem.2020-0265</t>
  </si>
  <si>
    <t>Bicycling physiology; Performance-Enhancing Substances administration &amp; dosage; Physical Endurance drug effects; Quinine administration &amp; dosage; Administration, Oral; Cross-Over Studies; Double-Blind Method; Humans; Male; Perception physiology; Physical Exertion physiology; Solutions</t>
  </si>
  <si>
    <t>The ingestion of quinine, a bitter tastant, improves short-term (30 s) cycling performance, but it is unclear whether this effect can be integrated into the last effort of a longer race. The purpose of this study was to determine whether midtrial quinine ingestion improves 3,000-m cycling time-trial (TT) performance. Following three familiarization TTs, 12 well-trained male cyclists (mean ± SD: mass = 76.6 ± 9.2 kg, maximal aerobic power = 390 ± 50 W, maximal oxygen uptake = 4.7 ± 0.6 L/min) performed four experimental 3,000-m TTs on consecutive days. This double-blind, crossover design study had four randomized and counterbalanced conditions: (a) Quinine 1 (25-ml solution, 2 mM of quinine); (b) Quinine 2, replicate of Quinine 1; (c) a 25-ml sweet-tasting no-carbohydrate solution (Placebo); and (d) 25 ml of water (Control) consumed at the 1,850-m point of the TT. The participants completed a series of perceptual scales at the start and completion of all TTs, and the power output was monitored continuously throughout all trials. The power output for the last 1,000 m for all four conditions was similar: mean ± SD: Quinine 1 = 360 ± 63 W, Quinine 2 = 367 ± 63 W, Placebo = 364 ± 64 W, and Control = 367 ± 58 W. There were also no differences in the 3,000-m TT power output between conditions. The small perceptual differences between trials at specific 150-m splits were not explained by quinine intake. Ingesting 2 mM of quinine during the last stage of a 3,000-m TT did not improve cycling performance.</t>
  </si>
  <si>
    <t>https://search.ebscohost.com/login.aspx?direct=true&amp;db=mdc&amp;AN=33260142&amp;site=ehost-live</t>
  </si>
  <si>
    <t>Relationships between measures of boat acceleration and performance in rowing, with and without controlling for stroke rate and power output.</t>
  </si>
  <si>
    <t>Holt AC; Ball K; Siegel R; Hopkins WG; Aughey RJ</t>
  </si>
  <si>
    <t>e0249122</t>
  </si>
  <si>
    <t>10.1371/journal.pone.0249122</t>
  </si>
  <si>
    <t>Athletic Performance physiology; Water Sports physiology; Acceleration; Adolescent; Adult; Female; Humans; Male; Muscle Strength physiology; Young Adult</t>
  </si>
  <si>
    <t>Purpose: Boat acceleration profiles provide a valuable feedback tool by reflecting both rower technique and force application. Relationships between measures of boat acceleration and velocity to inform interpretation of boat acceleration profiles in rowing were investigated here. Methods: Thirteen male singles, nine female singles, eight male pairs, and seven female pairs participated (national and international level, age 18-27 y). Data from each stroke for 74 2000-m races were collected using Peach PowerLine and OptimEye S5 GPS units. General linear mixed modelling established modifying effects on velocity of two within-crew SD of boat acceleration variables for each boat class, without and with adjustment for stroke rate and power, to identify potential performance-enhancement strategies for a given stroke rate and power. Measures of acceleration magnitude at six peaks or dips, and six measures of the rate of change (jerk) between these peaks and dips were analyzed. Results were interpreted using rejection of non-substantial and substantial hypotheses with a smallest substantial change in velocity of 0.3%. Results: Several boat acceleration measures had decisively substantial effects (-2.4-2.5%) before adjustment for stroke rate and power. Most effect magnitudes reduced after adjustment for stroke rate and power, although maximum negative drive acceleration, peak drive acceleration, jerk during the mid-drive phase, and jerk in the late recovery remained decisively substantial (-1.8-1.9%) in some boat classes. Conclusion: Greater absolute values of maximum negative drive acceleration and jerk in the late recovery are related to improved performance, likely reflecting delayed rower centre-of-mass negative acceleration in preparation for the catch. Greater absolute values of peak drive acceleration, first peak acceleration, and jerk in the early and mid-drive are also associated with improved performance, likely reflecting propulsive force during the drive. These proposed mechanisms provide potential strategies for performance enhancement additional to increases in stroke rate and power output. Competing Interests: The authors have declared that no competing interests exist.</t>
  </si>
  <si>
    <t>https://search.ebscohost.com/login.aspx?direct=true&amp;db=mdc&amp;AN=34415922&amp;site=ehost-live</t>
  </si>
  <si>
    <t>Skilled swimmers maintain performance stability under changing attentional focus constraints.</t>
  </si>
  <si>
    <t>Maloney MA; Gorman AD</t>
  </si>
  <si>
    <t>Human movement science</t>
  </si>
  <si>
    <t>10.1016/j.humov.2021.102789</t>
  </si>
  <si>
    <t>North-Holland Pub. Co</t>
  </si>
  <si>
    <t>Adaptation, Physiological; Athletic Performance; Attention; Movement; Swimming; Adult; Athletes; Biomechanical Phenomena; Female; Humans; Kinetics; Male; Young Adult</t>
  </si>
  <si>
    <t>Focusing attention externally, rather than internally, has generally proved advantageous as it avoids interfering with self-organzing processes. However, some research has suggested that this may not necessarily be the case with highly skilled individuals who by definition possess a greater capacity to either adapt or maintain stability under varied task constraints. This study aimed to address this gap by comparing the performance of skilled athletes under internal and external attentional focus conditions using the swimming dive start as a task vehicle. Using a counterbalanced repeated measures design, skilled swimmers performed dive starts in conditions of differing attentional focus - internal and external attentional focus. Kinetic and kinematic variables were collected and statistical analyses conducted to compare differences between conditions. The results revealed no differences in outcome performance (relative peak power, horizontal velocity, and time to 5 m) between internal and external focus conditions. However, remaining kinematic and kinetic measures revealed that all movement events occurred earlier in the movement sequence, suggesting superior self-organization of movement in the external focus condition. An external focus may be beneficial for the organization of movement control in skilled swimmers, but may not have an immediate impact upon the outcome of the task. Crown Copyright © 2021. Published by Elsevier B.V. All rights reserved.</t>
  </si>
  <si>
    <t>https://search.ebscohost.com/login.aspx?direct=true&amp;db=mdc&amp;AN=33845276&amp;site=ehost-live</t>
  </si>
  <si>
    <t>O'Riordan SF; McGregor R; Halson SL; Bishop DJ; Broatch JR</t>
  </si>
  <si>
    <t>10.1016/j.jshs.2021.07.010</t>
  </si>
  <si>
    <t>Background: The benefits associated with sports compression garments are thought to be closely related to enhanced blood flow. However, findings are equivocal, possibly due to heterogeneity in the techniques used for measuring blood flow, the garment types used, and the pressures applied. This study combined Doppler ultrasound and near-infrared spectroscopy technologies to provide the first comprehensive assessment of the effects of 3 sports compression garment types on markers of venous return and muscle blood flow at rest. Methods: Resting lower-limb blood flow measures (markers of venous return, muscle blood flow, and muscle oxygenation) of 22 elite, junior, male basketball players (age = 17.2 ± 0.9 years, mean ± SD) were assessed in 4 separate conditions: no compression (CON), compression tights (TIGHTS), compression shorts (SHORTS), and compression socks (SOCKS). Markers of venous return (cross-sectional area, time-averaged mean and peak blood flow velocity, and venous blood flow) were measured via Doppler ultrasound at the popliteal and common femoral veins. Muscle blood flow and muscle oxygenation were measured in the gastrocnemius medialis and vastus lateralis using near-infrared spectroscopy. Results: Popliteal markers of venous return were higher in TIGHTS compared to CON (p &lt; 0.01) and SHORTS (p &lt; 0.01), with SOCKS values higher compared with CON (p &lt; 0.05). Common femoral vein markers of venous return were higher for all conditions compared to CON (p &lt; 0.05), with TIGHTS values also higher compared to SOCKS (p &lt; 0.05). Gastrocnemius medialis blood flow was higher for TIGHTS compared to CON (p = 0.000), SOCKS (p = 0.012), and SHORTS (p = 0.000), with SOCKS higher compared to SHORTS (p = 0.046). Vastus lateralis blood flow was higher for TIGHTS compared to CON (p = 0.028) and SOCKS (p = 0.019), with SHORTS also higher compared to CON (p = 0.012) and SOCKS (p = 0.005). Gastrocnemius medialis oxygenation was higher for TIGHTS compared to CON (p = 0.003), SOCKS (p = 0.033), and SHORTS (p = 0.003), with SOCKS higher compared to CON (p = 0.044) and SHORTS (p = 0.032). Vastus lateralis oxygenation was higher for TIGHTS compared to CON (p = 0.020) and SOCKS (p = 0.006). Conclusion: Markers of venous return, muscle blood flow, and muscle oxygenation are increased with sports compression garments. TIGHTS are most effective, potentially because of the larger body area compressed. Competing Interests: Competing interests SFO, JRB, SLH, and DJB received a research grant from compression manufacturer 2XU (Melbourne, Australia), which also supported SFO and JRB. RM was externally sourced to conduct ultrasound measurement and has no conflict of interest. 2XU had no input into the study design, the collection and analysis of data, the writing of the manuscript, or the decision to submit the article for publication. None of the authors has any financial or other interest in the production and/or distribution of 2XU products. Copyright © 2021. Production and hosting by Elsevier B.V.</t>
  </si>
  <si>
    <t>https://search.ebscohost.com/login.aspx?direct=true&amp;db=mdc&amp;AN=34314879&amp;site=ehost-live</t>
  </si>
  <si>
    <t>Sustained Exposure to High Carbohydrate Availability Does Not Influence Iron-Regulatory Responses in Elite Endurance Athletes.</t>
  </si>
  <si>
    <t>McKay AKA; Peeling P; Pyne DB; Tee N; Welveart M; Heikura IA; Sharma AP; Whitfield J; Ross ML; van Swelm RPL; Laarakkers CM; Burke LM</t>
  </si>
  <si>
    <t>10.1123/ijsnem.2020-0224</t>
  </si>
  <si>
    <t>Dietary Carbohydrates administration &amp; dosage; Iron blood; Physical Endurance physiology; Sports physiology; Walking physiology; Adult; Dietary Carbohydrates metabolism; Ferritins blood; Hepcidins blood; Humans; Interleukin-6 blood; Male; Oxidation-Reduction; Physical Conditioning, Human physiology; Temperature</t>
  </si>
  <si>
    <t>This study implemented a 2-week high carbohydrate (CHO) diet intended to maximize CHO oxidation rates and examined the iron-regulatory response to a 26-km race walking effort. Twenty international-level, male race walkers were assigned to either a novel high CHO diet (MAX = 10 g/kg body mass CHO daily) inclusive of gut-training strategies, or a moderate CHO control diet (CON = 6 g/kg body mass CHO daily) for a 2-week training period. The athletes completed a 26-km race walking test protocol before and after the dietary intervention. Venous blood samples were collected pre-, post-, and 3 hr postexercise and measured for serum ferritin, interleukin-6, and hepcidin-25 concentrations. Similar decreases in serum ferritin (17-23%) occurred postintervention in MAX and CON. At the baseline, CON had a greater postexercise increase in interleukin-6 levels after 26 km of walking (20.1-fold, 95% CI [9.2, 35.7]) compared with MAX (10.2-fold, 95% CI [3.7, 18.7]). A similar finding was evident for hepcidin levels 3 hr postexercise (CON = 10.8-fold, 95% CI [4.8, 21.2]; MAX = 8.8-fold, 95% CI [3.9, 16.4]). Postintervention, there were no substantial differences in the interleukin-6 response (CON = 13.6-fold, 95% CI [9.2, 20.5]; MAX = 11.2-fold, 95% CI [6.5, 21.3]) or hepcidin levels (CON = 7.1-fold, 95% CI [2.1, 15.4]; MAX = 6.3-fold, 95% CI [1.8, 14.6]) between the dietary groups. Higher resting serum ferritin (p = .004) and hotter trial ambient temperatures (p = .014) were associated with greater hepcidin levels 3 hr postexercise. Very high CHO diets employed by endurance athletes to increase CHO oxidation have little impact on iron regulation in elite athletes. It appears that variations in serum ferritin concentration and ambient temperature, rather than dietary CHO, are associated with increased hepcidin concentrations 3 hr postexercise.</t>
  </si>
  <si>
    <t>https://search.ebscohost.com/login.aspx?direct=true&amp;db=mdc&amp;AN=33383570&amp;site=ehost-live</t>
  </si>
  <si>
    <t>The relationship between performance and biomechanics in middle-distance runners.</t>
  </si>
  <si>
    <t>Trowell D; Phillips E; Saunders P; Bonacci J</t>
  </si>
  <si>
    <t>10.1080/14763141.2019.1630478</t>
  </si>
  <si>
    <t>Ankle Joint; Knee Joint; Ankle; Biomechanical Phenomena; Humans; Male; Range of Motion, Articular</t>
  </si>
  <si>
    <t>The present study aimed to identify movement patterns most related to running performance among highly trained middle-distance runners. Eleven male runners performed overground running trials on an indoor running track, and three-dimensional analyses techniques were used to measure running kinematics and kinetics. Performance was measured as season and personal best time over 1500 m. The average velocity during the running trials was 7.2 ± 0.3 m/s. The average season and personal best 1500 m race times were 3:49.7 ± 0:05.8 and 3:46.0 ± 0:08.3 minutes, respectively. Regression analysis revealed that a smaller range of sagittal-plane hip motion during swing, less thorax flexion at toe-off and a smaller ankle plantarflexion angle at contact accounted for 95.7% ( p &lt; 0.001) of the variation in season best running performance. Less sagittal-plane hip motion during swing and a smaller ankle plantarflexion angle at contact also explained 79% of the variance in personal best time. Slower middle-distance runners make initial ground contact with a more plantarflexed ankle and greater forward lean of the trunk. We recommend that coaches and runners pay attention to ankle, shank and thorax angles during technical development and training to identify opportunities to optimise middle-distance running mechanics and performance.</t>
  </si>
  <si>
    <t>https://search.ebscohost.com/login.aspx?direct=true&amp;db=mdc&amp;AN=31364954&amp;site=ehost-live</t>
  </si>
  <si>
    <t>The relationships between rugby union, and health and well-being: a scoping review.</t>
  </si>
  <si>
    <t>Griffin SA; Panagodage Perera NK; Murray A; Hartley C; Fawkner SG; P T Kemp S; Stokes KA; Kelly P</t>
  </si>
  <si>
    <t>10.1136/bjsports-2020-102085</t>
  </si>
  <si>
    <t>Football physiology; Football psychology; Athletic Injuries epidemiology; Brain Injuries epidemiology; Football injuries; Humans; Mental Health; Physical Fitness; Research; Sports for Persons with Disabilities physiology; Sports for Persons with Disabilities psychology</t>
  </si>
  <si>
    <t>Objective: To scope the relationships between rugby union, and health and well-being. Design: Scoping review. Data Sources: Published and unpublished reports of any age, identified by searching electronic databases, platforms and reference lists. Methods: A three-step search strategy identified relevant published primary, secondary studies and grey literature, which were screened using a priori inclusion criteria. Data were extracted using a standardised tool, to form (1) a numerical analysis and (2) a thematic summary. Results and Discussion: 6658 records were identified, and 198 studies met the inclusion criteria. All forms of rugby union can provide health-enhancing physical activity (PA). 'Non-contact' and wheelchair rugby in particular provide a wide range of physical and mental health and well-being benefits. The evidence is either mixed or unclear in relation to 'contact' rugby union and its effects on a range of physical health domains. Injury and concussion incidence rates are high for contact rugby union relative to other sports. Conclusions: A wide range of stakeholders as well as existing and potential participants can use this information to make a more informed decision about participating in and promoting rugby union as a health-enhancing activity. Industry and policy-makers can use this review to inform policies and strategies that look to increase participation rates and use rugby union as a vehicle to contribute positively to population health. Further research understanding rugby union's contribution to PA as well as to muscle-strengthening and balance is indicated, as well as research examining more health and well-being outcomes across more diverse cohorts. Competing Interests: Competing interests: SAG receives remuneration for clinical work in professional rugby union, and is employed by the Rugby Football Union as a Sports Medicine Training Fellow. AM receives remuneration from Scottish Rugby Union for clinical work. SK is employed by the Rugby Football Union as medical services director. KAS is employed by the Rugby Football Union as medical research lead. © Author(s) (or their employer(s)) 2021. No commercial re-use. See rights and permissions. Published by BMJ.</t>
  </si>
  <si>
    <t>https://search.ebscohost.com/login.aspx?direct=true&amp;db=mdc&amp;AN=33115706&amp;site=ehost-live</t>
  </si>
  <si>
    <t>Barbosa TM; Barbosa AC; Simbaña Escobar D; Mullen GJ; Cossor JM; Hodierne R; Arellano R; Mason BR</t>
  </si>
  <si>
    <t>10.1080/14763141.2021.1960417</t>
  </si>
  <si>
    <t>Swimming analysts aid coaches and athletes in the decision-making by providing evidence-based recommendations. The aim of this narrative review was to report the best practices of swimming analysts that have been supporting high-performance athletes. It also aims to share how swimming analysts can translate applied research into practice. The role of the swimming analyst, as part of a holistic team supporting high-performance athletes, has been expanding and is needed to be distinguished from the job scope of a swimming researcher. As testing can be time-consuming, analysts must decide what to test and when to conduct the evaluation sessions. Swimming analysts engage in the modelling and forecast of the performance, that in short- and mid-term can help set races target-times, and in the long-term provide insights on talent and career development. Races can be analysed by manual, semi-automatic or fully automatic video analysis with single or multi-cameras set-ups. The qualitative and quantitative analyses of the swim strokes, start, turns, and finish are also part of the analyst job scope and associated with race performance goals. Land-based training is another task that can be assigned to analysts and aims to enhance the performance, prevent musculoskeletal injuries and monitor its risk factors.</t>
  </si>
  <si>
    <t>https://search.ebscohost.com/login.aspx?direct=true&amp;db=mdc&amp;AN=34402417&amp;site=ehost-live</t>
  </si>
  <si>
    <t>The Utility of the Low Energy Availability in Females Questionnaire to Detect Markers Consistent With Low Energy Availability-Related Conditions in a Mixed-Sport Cohort.</t>
  </si>
  <si>
    <t>Rogers MA; Drew MK; Appaneal R; Lovell G; Lundy B; Hughes D; Vlahovich N; Waddington G; Burke LM</t>
  </si>
  <si>
    <t>10.1123/ijsnem.2020-0233</t>
  </si>
  <si>
    <t>Energy Metabolism; Female Athlete Triad Syndrome diagnosis; Physical Endurance; Adolescent; Adult; Biomarkers; Female; Humans; Sports; Surveys and Questionnaires; Young Adult</t>
  </si>
  <si>
    <t>The Low Energy Availability in Females Questionnaire (LEAF-Q) was validated to identify risk of the female athlete triad (triad) in female endurance athletes. This study explored the ability of the LEAF-Q to detect conditions related to low energy availability (LEA) in a mixed sport cohort of female athletes. Data included the LEAF-Q, SCOFF Questionnaire for disordered eating, dual-energy X-ray absorptiometry-derived body composition and bone mineral density, Mini International Neuropsychiatric Interview, blood pressure, and blood metabolic and reproductive hormones. Participants were grouped according to LEAF-Q score (≥8 or &lt;8), and a comparison of means was undertaken. Sensitivity, specificity, and predictive values of the overall score and subscale scores were calculated in relation to the triad and biomarkers relevant to LEA. Fisher's exact test explored differences in prevalence of these conditions between groups. Seventy-five athletes (18-32 years) participated. Mean LEAF-Q score was 8.0 ± 4.2 (55% scored ≥8). Injury and menstrual function subscale scores identified low bone mineral density (100% sensitivity, 95% confidence interval [15.8%, 100%]) and menstrual dysfunction (80.0% sensitivity, 95% confidence interval [28.4%, 99.5%]), respectively. The gastrointestinal subscale did not detect surrogate markers of LEA. LEAF-Q score cannot be used to classify athletes as "high risk" of conditions related to LEA, nor can it be used as a surrogate diagnostic tool for LEA given the low specificity identified. Our study supports its use as a screening tool to rule out risk of LEA-related conditions or to create selective low-risk groups that do not need management as there were generally high negative predictive values (range 76.5-100%) for conditions related to LEA.</t>
  </si>
  <si>
    <t>https://search.ebscohost.com/login.aspx?direct=true&amp;db=mdc&amp;AN=34284349&amp;site=ehost-live</t>
  </si>
  <si>
    <t>The Validity of Ultrasound Technology in Providing an Indirect Estimate of Muscle Glycogen Concentrations Is Equivocal.</t>
  </si>
  <si>
    <t>Bone JL; Ross ML; Tomcik KA; Jeacocke NA; McKay AKA; Burke LM</t>
  </si>
  <si>
    <t>10.3390/nu13072371</t>
  </si>
  <si>
    <t>Glycogen analysis; Image Interpretation, Computer-Assisted methods; Muscle, Skeletal diagnostic imaging; Nutrition Assessment; Sports Nutritional Sciences methods; Ultrasonography methods; Humans; Organism Hydration Status; Reproducibility of Results; Software</t>
  </si>
  <si>
    <t>Researchers and practitioners in sports nutrition would greatly benefit from a rapid, portable, and non-invasive technique to measure muscle glycogen, both in the laboratory and field. This explains the interest in MuscleSound ® , the first commercial system to use high-frequency ultrasound technology and image analysis from patented cloud-based software to estimate muscle glycogen content from the echogenicity of the ultrasound image. This technique is based largely on muscle water content, which is presumed to act as a proxy for glycogen. Despite the promise of early validation studies, newer studies from independent groups reported discrepant results, with MuscleSound ® scores failing to correlate with the glycogen content of biopsy-derived mixed muscle samples or to show the expected changes in muscle glycogen associated with various diet and exercise strategies. The explanation of issues related to the site of assessment do not account for these discrepancies, and there are substantial problems with the premise that the ratio of glycogen to water in the muscle is constant. Although further studies investigating this technique are warranted, current evidence that MuscleSound ® technology can provide valid and actionable information around muscle glycogen stores is at best equivocal.</t>
  </si>
  <si>
    <t>https://search.ebscohost.com/login.aspx?direct=true&amp;db=mdc&amp;AN=34371881&amp;site=ehost-live</t>
  </si>
  <si>
    <t>Understanding the "gut instinct" of expert coaches during talent identification.</t>
  </si>
  <si>
    <t>Roberts AH; Greenwood D; Stanley M; Humberstone C; Iredale F; Raynor A</t>
  </si>
  <si>
    <t>10.1080/02640414.2020.1823083</t>
  </si>
  <si>
    <t>Aptitude; Athletes; Athletic Performance; Decision Making physiology; Instinct; Intuition physiology; Boxing; Female; Humans; Judgment physiology; Male; Martial Arts; Middle Aged; Qualitative Research; Time Factors</t>
  </si>
  <si>
    <t>Coaches are an integral part of talent identification in sport and are often used as the "gold standard" against which scientific methods of talent identification are compared. However, their decision-making during this process is not well understood. In this article, we use an ecological approach to explore talent identification in combat sports. We interviewed twenty-four expert, international-level coaches from the Olympic disciplines of boxing, judo, and taekwondo (age: 48.7 + 7.5 years; experience: 20.8 + 8.3 years). Findings indicated that when coaches identify talent they rely on "gut instinct": intuitive judgements made without conscious thought, used to direct attention to particular athletes or characteristics. Our analysis revealed four major contributors to coaches' intuition: experiential knowledge, temporal factors, seeing athletes in context, and what can be worked with. Our findings demonstrate that i) athlete selections may be influenced by the coaches' perceived ability to improve certain athletes (rather than solely on athlete ability); and ii) "instinctual" decisions are the result of years of experience, time spent with the athlete, and the context surrounding the decision. Based on these findings, we recommend that future research focuses on the duration and conditions that are required for coaches to confidently and reliably identify talented athletes.</t>
  </si>
  <si>
    <t>https://search.ebscohost.com/login.aspx?direct=true&amp;db=mdc&amp;AN=32962508&amp;site=ehost-live</t>
  </si>
  <si>
    <t>A deep dive into testing and management of COVID-19 for Australian high performance and professional sport.</t>
  </si>
  <si>
    <t>Mooney M; Perera NKP; Broderick C; Saw R; Wallett A; Drew M; Waddington G; Hughes D</t>
  </si>
  <si>
    <t>10.1016/j.jsams.2020.05.005</t>
  </si>
  <si>
    <t>Australia; Clinical Laboratory Techniques standards; Coronavirus Infections diagnosis; Pneumonia, Viral diagnosis; Sports; Australia; Betacoronavirus; COVID-19; COVID-19 Testing; Humans; Pandemics; Point-of-Care Testing; SARS-CoV-2</t>
  </si>
  <si>
    <t>The purpose of testing for any communicable disease is to support clinicians in the diagnosis and management of individual patients and to describe transmission dynamics. The novel coronavirus is formally named SARS-CoV-2 and the clinical disease state resulting from an infection is known as COVID-19. Control of the COVID-19 pandemic requires clinicians, epidemiologists, and public health officials to utilise the most comprehensive, accurate and timely information available to manage the rapidly evolving COVID-19 environment. High performance sport is a unique context that may look towards comprehensive testing as a means of risk mitigation. Characteristics of the common testing options are discussed including the circumstances where additional testing may be of benefit and considerations for the associated risks. Finally, a review of the available technology that could be considered for use by medical staff at the point of care (PoC) in a high-performance sporting context is included. Crown Copyright © 2020. Published by Elsevier Ltd. All rights reserved.</t>
  </si>
  <si>
    <t>https://search.ebscohost.com/login.aspx?direct=true&amp;db=mdc&amp;AN=32418804&amp;site=ehost-live</t>
  </si>
  <si>
    <t>A drop landing screening approach to monitor an individual using functional data analysis: An ACL injury case study.</t>
  </si>
  <si>
    <t>Stephens JM; Chapman DW; Tate K; Warmenhoven J</t>
  </si>
  <si>
    <t>10.1016/j.jsams.2019.03.010</t>
  </si>
  <si>
    <t>Anterior Cruciate Ligament Injuries rehabilitation; Athletic Injuries rehabilitation; Movement; Anterior Cruciate Ligament Injuries surgery; Athletes; Athletic Injuries surgery; Biomechanical Phenomena; Exercise Test; Female; Humans; Principal Component Analysis; Young Adult</t>
  </si>
  <si>
    <t>Objectives: To explore the practicality of using functional principal components analysis (fPCA) and intra-athlete z-score changes for individual athlete monitoring post-ACL injury and surgery. Design: A single athlete case study using within-athlete repeated measures in the context of applied athlete monitoring. Methods: Using single leg (left) drop landing (3 landings per session) onto a force plate, the athlete completed 6 sessions prior (healthy) and 3 sessions post-ACL injury/surgery. Maximum vertical ground reaction force (vGRF), time to stabilisation (TTS) and outputs from fPCA (fPC scores) for the healthy sessions were used to develop intra-athlete means and standard deviations for each variable. Post-surgery measures were given z-scores relative to the healthy mean and standard deviation for each variable. The standard normal deviate (z = 1.96) was used as a threshold to flag landings that could be indicative of changes in movement behaviour. Results: Maximum vGRF revealed no post-surgery trials that exceeded the standard normal deviate threshold based on the healthy data. TTS identified one landing post-surgery that exceeded the threshold. Scores for fPC2, fPC3 and fPC4 revealed landings that exceeded the threshold, with fPC4 demonstrating landings greater than the threshold for every trial (except two) post-surgery. Conclusions: Including fPCA identified significant and stable changes to the landing strategy (particularly within fPC4). When used in conjunction with other measures such as maximum vGRF and TTS, fPCA has the potential to provide meaningful insights into athlete monitoring models regarding changes to movement characteristics after injury. Copyright © 2019 Sports Medicine Australia. Published by Elsevier Ltd. All rights reserved.</t>
  </si>
  <si>
    <t>https://search.ebscohost.com/login.aspx?direct=true&amp;db=mdc&amp;AN=31023590&amp;site=ehost-live</t>
  </si>
  <si>
    <t>A missense mutation in the MLKL brace region promotes lethal neonatal inflammation and hematopoietic dysfunction.</t>
  </si>
  <si>
    <t>Hildebrand JM; Kauppi M; Majewski IJ; Liu Z; Cox AJ; Miyake S; Petrie EJ; Silk MA; Li Z; Tanzer MC; Brumatti G; Young SN; Hall C; Garnish SE; Corbin J; Stutz MD; Di Rago L; Gangatirkar P; Josefsson EC; Rigbye K; Anderton H; Rickard JA; Tripaydonis A; Sheridan J; Scerri TS; Jackson VE; Czabotar PE; Zhang JG; Varghese L; Allison CC; Pellegrini M; Tannahill GM; Hatchell EC; Willson TA; Stockwell D; de Graaf CA; Collinge J; Hilton A; Silke N; Spall SK; Chau D; Athanasopoulos V; Metcalf D; Laxer RM; Bassuk AG; Darbro BW; Fiatarone Singh MA; Vlahovich N; Hughes D; Kozlovskaia M; Ascher DB; Warnatz K; Venhoff N; Thiel J; Biben C; Blum S; Reveille J; Hildebrand MS; Vinuesa CG; McCombe P; Brown MA; Kile BT; McLean C; Bahlo M; Masters SL; Nakano H; Ferguson PJ; Murphy JM; Alexander WS; Silke J</t>
  </si>
  <si>
    <t>Nature communications</t>
  </si>
  <si>
    <t>10.1038/s41467-020-16819-z</t>
  </si>
  <si>
    <t>Nature Pub. Group</t>
  </si>
  <si>
    <t>Hematopoietic Stem Cells metabolism; Hematopoietic System pathology; Necroptosis genetics; Protein Kinases genetics; Animals; Animals, Newborn; Hereditary Autoinflammatory Diseases; Humans; Inflammation genetics; Mice; Mutation, Missense; Osteomyelitis genetics; Protein Kinases metabolism</t>
  </si>
  <si>
    <t>MLKL is the essential effector of necroptosis, a form of programmed lytic cell death. We have isolated a mouse strain with a single missense mutation, Mlkl D139V , that alters the two-helix 'brace' that connects the killer four-helix bundle and regulatory pseudokinase domains. This confers constitutive, RIPK3 independent killing activity to MLKL. Homozygous mutant mice develop lethal postnatal inflammation of the salivary glands and mediastinum. The normal embryonic development of Mlkl D139V homozygotes until birth, and the absence of any overt phenotype in heterozygotes provides important in vivo precedent for the capacity of cells to clear activated MLKL. These observations offer an important insight into the potential disease-modulating roles of three common human MLKL polymorphisms that encode amino acid substitutions within or adjacent to the brace region. Compound heterozygosity of these variants is found at up to 12-fold the expected frequency in patients that suffer from a pediatric autoinflammatory disease, chronic recurrent multifocal osteomyelitis (CRMO).</t>
  </si>
  <si>
    <t>https://search.ebscohost.com/login.aspx?direct=true&amp;db=mdc&amp;AN=32561755&amp;site=ehost-live</t>
  </si>
  <si>
    <t>A novel hamstring strain injury prevention system: post-match strength testing for secondary prevention in football.</t>
  </si>
  <si>
    <t>Wollin M; Thorborg K; Drew M; Pizzari T</t>
  </si>
  <si>
    <t>10.1136/bjsports-2019-100707</t>
  </si>
  <si>
    <t>Hamstring Muscles injuries; Muscle Strength physiology; Secondary Prevention methods; Soccer injuries; Adolescent; Athletic Injuries prevention &amp; control; Hamstring Muscles physiopathology; Humans; Male; Soccer physiology</t>
  </si>
  <si>
    <t>https://search.ebscohost.com/login.aspx?direct=true&amp;db=mdc&amp;AN=31630091&amp;site=ehost-live</t>
  </si>
  <si>
    <t>A prospective study of health problems at the 2018 17/U and 19/U Australian National Netball Championships with comparison of surveillance methodology.</t>
  </si>
  <si>
    <t>Smyth EA; Piromalli L; Antcliff A; Newman P; Waddington G; Weissensteiner JR; Drew MK</t>
  </si>
  <si>
    <t>10.1016/j.jsams.2019.10.004</t>
  </si>
  <si>
    <t>Australia; Athletic Injuries epidemiology; Basketball injuries; Adolescent; Ankle Injuries epidemiology; Anterior Cruciate Ligament Injuries epidemiology; Athletes; Australia; Brain Concussion epidemiology; Humans; Incidence; Prospective Studies; Self Report; Young Adult</t>
  </si>
  <si>
    <t>Objective: To investigate the incidence, site, nature and cause of injuries sustained during and four weeks following the 2018 Australian National Netball Championships (ANNC's) using medical attention and self-report surveillance tools. Design: Prospective cohort study. Method: Injuries were recorded prospectively using medical attention and self-report data collection methods. One hundred and ninety-two athletes competed at the 2018 ANNC's with 96 athletes in each age group (17/U &amp; 19/U). Results: There were 103 medical attention injuries sustained by 80 athletes resulting in an incidence rate of 89.4 per 1000 player hours. The most frequently recorded medical attention injury diagnoses across both age groups were lateral ankle ligament sprain (n=14, 13.6%), foot blisters (n=11, 10.7%), and lumbar pain (n=10, 9.7%). Ankle sprains (n=4), anterior cruciate ligament (ACL) ruptures (n=3) and concussion (n=3) recorded as the highest sports incapacity injuries. The self-report data collection revealed that 46 (27.2%) athletes arrived at the tournament with an existing self-reported injury/illness and 57 (39.3%) athletes had a self-reported injury/illness at the conclusion of the ANNC (RR 1.44 95%CI 1.05-1.99, p=0.030). Conclusion: There are no recent studies reporting injury rates specifically in pre-elite netball players. This study found an incidence rate of 89.4 per 1000 player hours. Ankle sprains are the highest medical attention and sports-incapacity injury in pre-elite netball athletes. Foot blisters and low back pain also feature in the highest medical attention injuries and ACL rupture and concussion were high sports incapacity injuries at the ANNC's. Finally, combining both the medical attention and self-report injury/illness data collection methods identified more injuries/illnesses than the use of one method alone. Copyright © 2019 Sports Medicine Australia. All rights reserved.</t>
  </si>
  <si>
    <t>https://search.ebscohost.com/login.aspx?direct=true&amp;db=mdc&amp;AN=31704027&amp;site=ehost-live</t>
  </si>
  <si>
    <t>A Short-Term Ketogenic Diet Impairs Markers of Bone Health in Response to Exercise.</t>
  </si>
  <si>
    <t>Heikura IA; Burke LM; Hawley JA; Ross ML; Garvican-Lewis L; Sharma AP; McKay AKA; Leckey JJ; Welvaert M; McCall L; Ackerman KE</t>
  </si>
  <si>
    <t>Frontiers in endocrinology</t>
  </si>
  <si>
    <t>10.3389/fendo.2019.00880</t>
  </si>
  <si>
    <t>Frontiers Research Foundation]</t>
  </si>
  <si>
    <t>Objectives: To investigate diet-exercise interactions related to bone markers in elite endurance athletes after a 3.5-week ketogenic low-carbohydrate, high-fat (LCHF) diet and subsequent restoration of carbohydrate (CHO) feeding. Methods: World-class race walkers (25 male, 5 female) completed 3.5-weeks of energy-matched (220 kJ·kg·d -1 ) high CHO (HCHO; 8.6 g·kg·d -1 CHO, 2.1 g·kg·d -1 protein, 1.2 g·kg·d -1 fat) or LCHF (0.5 g·kg·d -1 CHO, 2.1 g·kg·d -1 protein, 75-80% of energy from fat) diet followed by acute CHO restoration. Serum markers of bone breakdown (cross-linked C-terminal telopeptide of type I collagen, CTX), formation (procollagen 1 N-terminal propeptide, P1NP) and metabolism (osteocalcin, OC) were assessed at rest (fasting and 2 h post meal) and after exercise (0 and 3 h) at Baseline, after the 3.5-week intervention (Adaptation) and after acute CHO feeding (Restoration). Results: After Adaptation, LCHF increased fasting CTX concentrations above Baseline ( p = 0.007, Cohen's d = 0.69), while P1NP ( p &lt; 0.001, d = 0.99) and OC ( p &lt; 0.001, d = 1.39) levels decreased. Post-exercise, LCHF increased CTX concentrations above Baseline ( p = 0.001, d = 1.67) and above HCHO ( p &lt; 0.001, d = 0.62), while P1NP ( p &lt; 0.001, d = 0.85) and OC concentrations decreased ( p &lt; 0.001, d = 0.99) during exercise. Exercise-related area under curve (AUC) for CTX was increased by LCHF after Adaptation ( p = 0.001, d = 1.52), with decreases in P1NP ( p &lt; 0.001, d = 1.27) and OC ( p &lt; 0.001, d = 2.0). CHO restoration recovered post-exercise CTX and CTX exercise-related AUC, while concentrations and exercise-related AUC for P1NP and OC remained suppressed for LCHF ( p = 1.000 compared to Adaptation). Conclusion: Markers of bone modeling/remodeling were impaired after short-term LCHF diet, and only a marker of resorption recovered after acute CHO restoration. Long-term studies of the effects of LCHF on bone health are warranted. Copyright © 2020 Heikura, Burke, Hawley, Ross, Garvican-Lewis, Sharma, McKay, Leckey, Welvaert, McCall and Ackerman.</t>
  </si>
  <si>
    <t>https://search.ebscohost.com/login.aspx?direct=true&amp;db=mdc&amp;AN=32038477&amp;site=ehost-live</t>
  </si>
  <si>
    <t>Altitude exposure as a training &amp; iron overload management strategy post leukemia.</t>
  </si>
  <si>
    <t>Serpell BG; Freeman S; Ritchie D; Choi P; Périard JD; Sharma AP</t>
  </si>
  <si>
    <t>10.1016/j.jsams.2019.08.292</t>
  </si>
  <si>
    <t>Altitude; Iron Overload therapy; Leukemia therapy; Physical Conditioning, Human; Adult; Athletes; Blood Transfusion; Ferritins blood; Football; Hemoglobins analysis; Humans; Iron Overload etiology; Leukemia complications; Longitudinal Studies; Male; Reticulocyte Count; Single-Case Studies as Topic</t>
  </si>
  <si>
    <t>Objectives: To examine iron stores, hemoglobin mass, and performance before, during and after intermittent altitude exposure in a professional male rugby player experiencing iron overload following blood transfusions for treatment for acute myeloid leukemia. Design: Longitudinal, repeated measures, single case-study. Methods: The player was followed prior to (control), and during (study), an in-season block of altitude training. During the control period two venesections were performed for a total of 750mL of blood removal. Internal and external training load, match statistics, blood volume, plasma volume, haemoglobin mass, serum ferritin and reticulocyte count were monitored throughout. Results: During the control period serum ferritin declined following the two venesections (∼51%) as did haemoglobin mass (∼2%), reticulocyte count remained stable. During the study period serum ferritin further declined (∼30%), however haemoglobin mass and reticulocyte count increased (∼4% and ∼14% respectively). Internal training load for the control and study period was similar, however external training load was lower in the study period. Match statistics were not favourable for the player during the control period, however they improved during the study period. Conclusions: This case supports the theory that individuals with elevated iron availability are well placed to achieve increases in haemoglobin mass. Furthermore, although therapeutic venesections may still be required to manage iron overload, the addition of altitude exposure may be a method to assist in reducing total body iron by means of mobilising available (excessive) iron to incorporate into haemoglobin. Altitude exposure did not hinder the players' performance. Further research is encouraged. Copyright © 2019 Sports Medicine Australia. Published by Elsevier Ltd. All rights reserved.</t>
  </si>
  <si>
    <t>https://search.ebscohost.com/login.aspx?direct=true&amp;db=mdc&amp;AN=31526663&amp;site=ehost-live</t>
  </si>
  <si>
    <t>Bayesian hierarchical modelling of basketball tracking data - a case study of spatial entropy and spatial effectiveness.</t>
  </si>
  <si>
    <t>Hobbs W; Wu PP; Gorman AD; Mooney M; Freeston J</t>
  </si>
  <si>
    <t>10.1080/02640414.2020.1736252</t>
  </si>
  <si>
    <t>Basketball physiology; Basketball statistics &amp; numerical data; Bayes Theorem; Entropy; Female; Humans; Movement; Spatial Analysis; Sports Equipment</t>
  </si>
  <si>
    <t>Spatio-temporal data in sport is increasing rapidly, however suitable statistical methods for analysing this data are underdeveloped. The current study establishes the need for spatial statistical methods, propose a Bayesian hierarchical model as an appropriate method for comparing spatial variables, and test this model across three spatial scales. The need for spatial statistical methods was established through the identification of spatial autocorrelation. This necessitated the use of a Bayesian hierarchical model to test for an association between spatial ball movement entropy and spatial effectiveness. Posterior distribution results showed a generally positive association such that increases in entropy were associated with increases in effectiveness. The strength and confidence of the associations were impacted by the spatial scale, with the 6 × 6 grid showing the most conclusive evidence of a positive relationship; the 4 × 4 grid was mostly positive, however with a large variation; and finally, the basket-centric scale results were less conclusive. The results of the current study demonstrate the suitability of a Bayesian hierarchical model for testing for associations or differences between spatial variables. With the increase in spatial analyses in sport, this study presents an appropriate statistical method for dealing with complex problems associated with spatial analyses.</t>
  </si>
  <si>
    <t>https://search.ebscohost.com/login.aspx?direct=true&amp;db=mdc&amp;AN=32122274&amp;site=ehost-live</t>
  </si>
  <si>
    <t>Biomechanics of starting, sprinting and submaximal running in athletes with brain impairment: A systematic review.</t>
  </si>
  <si>
    <t>Fiorese BA; Beckman EM; Connick MJ; Hunter AB; Tweedy SM</t>
  </si>
  <si>
    <t>10.1016/j.jsams.2020.05.006</t>
  </si>
  <si>
    <t>Brain Injuries, Traumatic physiopathology; Cerebral Palsy physiopathology; Running physiology; Sports for Persons with Disabilities physiology; Ankle physiopathology; Biomechanical Phenomena; Gait physiology; Hip physiopathology; Humans; Knee physiopathology; Range of Motion, Articular</t>
  </si>
  <si>
    <t>Objectives: Para athletes with brain impairment are affected by hypertonia, ataxia and athetosis, which adversely affect starting, sprinting and submaximal running. The aim was to identify and synthesise evidence from studies that have compared the biomechanics of runners with brain impairments (RBI) and non-disabled runners (NDR). Design: Systematic review. Methods: Five journal databases were systematically searched from inception to March 2020. Included studies compared the biomechanics of RBI (aged&gt;14 years) and NDR performing either block-starts, sprinting, or submaximal running. Results: Eight studies were included, analysing a total of 100 RBI (78M:22F; 18-38 years) diagnosed with either cerebral palsy (n=44) or traumatic brain injury (n=56). Studies analysed block-starts (n=3), overground sprinting (n=3) and submaximal running (n=2), and submaximal treadmill running (n=1). Horizontal velocity during starts, sprinting and self-selected submaximal speeds were lower in RBI. During sprinting and submaximal running, compared with NDR, RBI had shorter stride length, step length, and flight time, increased ground-contact time, increased cadence, and reduced ankle and hip range of motion. In submaximal running, RBI had decreased ankle-power generation at toe-off. Conclusions: There is limited research and small sample sizes in this area. However, preliminary evidence suggests that RBI had lower sprint speeds and biomechanical characteristics typical of submaximal running speeds in NDR, including increased ground-contact times and reduced stride length, step length, and flight times. Meaningful interpretation of biomechanical findings in RBI is impeded by impairment variability (type, severity and distribution), and methods which permit valid, reliable impairment stratification in larger samples are required. Copyright © 2020 Sports Medicine Australia. All rights reserved.</t>
  </si>
  <si>
    <t>https://search.ebscohost.com/login.aspx?direct=true&amp;db=mdc&amp;AN=32507448&amp;site=ehost-live</t>
  </si>
  <si>
    <t>Body composition assessment in athletes: Comparison of a novel ultrasound technique to traditional skinfold measures and criterion DXA measure.</t>
  </si>
  <si>
    <t>Gomes AC; Landers GJ; Binnie MJ; Goods PSR; Fulton SK; Ackland TR</t>
  </si>
  <si>
    <t>10.1016/j.jsams.2020.03.014</t>
  </si>
  <si>
    <t>Western Australia; Anthropometry methods; Athletes; Body Composition; Ultrasonography methods; Absorptiometry, Photon; Adipose Tissue; Adolescent; Adult; Cross-Sectional Studies; Female; Humans; Male; Skinfold Thickness; Western Australia; Young Adult</t>
  </si>
  <si>
    <t>Objectives: This investigation compared ultrasound and skinfolds as measures of body fat for athletes, relative to dual-energy X-ray absorptiometry. Design: Fifty-six well-trained athletes from various sports participated in a cross-sectional study. Methods: The participants attended one testing session, where total body fat mass was measured using dual-energy X-ray absorptiometry, and subcutaneous adipose tissue was measured using brightness-mode ultrasound and skinfolds with callipers. The ultrasound and skinfold measures were correlated independently against standardised fat mass from dual-energy X-ray absorptiometry. Results: The correlation between standardised fat mass and sum-of-eight (Σ8) sites ultrasound (r=0.959, p&lt;0.001), and with sum-of-seven (Σ7) sites skinfolds (r=0.911, p&lt;0.001), were both high positive correlations. In the lowest quartile by fat proportion, the correlation between standardised fat mass and Σ8 ultrasound (r=0.811, p&lt;0.001) was a high positive correlation, whilst the correlation with Σ7 skinfolds (r=0.652, p=0.011) was a moderate positive correlation. In the highest quartile by fat proportion, the correlation between standardised fat mass and Σ8 ultrasound (r=0.847, p&lt;0.001) was a high positive correlation, whilst the correlation with Σ7 skinfolds (r=0.591, p=0.026) was a moderate positive correlation. Conclusions: Ultrasound and skinfolds are both very good methods to accurately assess body composition in athletes, relative to dual-energy X-ray absorptiometry. However, ultrasound delivered consistently more accurate results, throughout a broad athletic spectrum. Copyright © 2020 Sports Medicine Australia. Published by Elsevier Ltd. All rights reserved.</t>
  </si>
  <si>
    <t>https://search.ebscohost.com/login.aspx?direct=true&amp;db=mdc&amp;AN=32576495&amp;site=ehost-live</t>
  </si>
  <si>
    <t>Body composition of elite Olympic combat sport athletes.</t>
  </si>
  <si>
    <t>Reale R; Burke LM; Cox GR; Slater G</t>
  </si>
  <si>
    <t>10.1080/17461391.2019.1616826</t>
  </si>
  <si>
    <t>Athletes; Body Composition; Boxing physiology; Martial Arts physiology; Weight Loss; Wrestling physiology; Absorptiometry, Photon; Cross-Sectional Studies; Female; Humans; Male</t>
  </si>
  <si>
    <t>Physique traits of a range of elite athletes have been identified; however, few detailed investigations of Olympic combat sports (judo, wrestling, taekwondo and boxing) exist. This is surprising given the importance of body composition in weight category sports. We sought to develop a descriptive database of Olympic combat sport athletes, compare variables relative to weight division and examine differences within and between sports. Additionally, we investigated the appropriateness of athletes' self-selected weight classes compared to an internationally recognised classification system (the NCAA minimum wrestling weight scheme used to identify minimum 'safe' weight). Olympic combat sport athletes (56♂, 38♀) had body mass (BM), stretch stature and dual-energy X-ray absorptiometry derived body composition assessed within 7-21 days of competition. Most athletes were heavier than their weight division. Sport had an effect ( p &lt; .05) on several physique traits, including; lean mass, lean mass distribution, stretch stature and BMI. BM was strongly positively correlated ( r &gt; 0.6) with; fat free mass, fat mass and body fat percentage, however, was not predictive of total mass/weight division. The Olympic combat sports differ in competitive format and physiological requirements, which is partly reflected in athletes' physique traits. We provide reference ranges for lean and fat mass across a range of BM. Lighter athletes likely must utilise acute weight loss in order to make weight, whereas heavier athletes can potentially reduce fat mass.</t>
  </si>
  <si>
    <t>https://search.ebscohost.com/login.aspx?direct=true&amp;db=mdc&amp;AN=31092119&amp;site=ehost-live</t>
  </si>
  <si>
    <t>Breast and torso characteristics of female contact football players: implications for the design of sports bras and breast protection.</t>
  </si>
  <si>
    <t>Ergonomics</t>
  </si>
  <si>
    <t>10.1080/00140139.2020.1757161</t>
  </si>
  <si>
    <t>Informa Healthcare</t>
  </si>
  <si>
    <t>Breast anatomy &amp; histology; Equipment Design; Football; Protective Clothing; Sports Equipment; Torso anatomy &amp; histology; Adult; Athletic Injuries prevention &amp; control; Female; Humans; Young Adult</t>
  </si>
  <si>
    <t>This study aimed to provide normative data characterising the breast size, breast position and torso size of female contact football players. 117 AFL, Rugby League, Rugby Union and Rugby 7s players attended a single testing session where a three-dimensional scan was taken of their naked breasts and torso. Dimensions relevant to the design of sports bras and breast protective equipment were then calculated from the scans. Several breast and torso characteristics of female contact football athletes differed to measurements reported for females in the general population and amongst the contact football codes. Designers and manufacturers of sports bras or breast protective equipment should consider the specific breast and torso dimensions of female contact football players to maximise the fit, comfort and efficacy of these garments. Practitioner summary: Using three-dimensional scanning, this study characterised the breast and torso size and shape of 117 female contact football players. These normative data should be used to improve the fit and comfort of sports bras and breast protective equipment for female contact football players.</t>
  </si>
  <si>
    <t>https://search.ebscohost.com/login.aspx?direct=true&amp;db=mdc&amp;AN=32301393&amp;site=ehost-live</t>
  </si>
  <si>
    <t>Breast pain affects the performance of elite female athletes.</t>
  </si>
  <si>
    <t>10.1080/02640414.2020.1712016</t>
  </si>
  <si>
    <t>Australia; Athletes; Athletic Performance physiology; Dysmenorrhea physiopathology; Mastodynia physiopathology; Adolescent; Adult; Aged; Australia; Dysmenorrhea epidemiology; Female; Health Surveys; Humans; Mastodynia epidemiology; Mastodynia etiology; Menstrual Cycle physiology; Middle Aged; Pain Measurement; Severity of Illness Index; Young Adult</t>
  </si>
  <si>
    <t>Although breast pain is problematic for many active women, no published research has investigated breast pain experienced by elite female athletes. This study aimed to examine the extent that mastalgia and exercise-induced breast pain affected the sporting performance of elite female athletes during training and competition. A custom-designed online survey with questions related to sport participation, as well as the frequency, severity and perceived performance effects of mastalgia and exercise-induced breast pain, was distributed to sporting organisations, coaches, medical staff and teams/clubs throughout Australia. Five hundred and forty female athletes competing nationally or internationally across 49 different sports participated in the survey. Sixty-three percent of respondents reported experiencing breast pain associated with their menstrual cycle and 33% reported that this pain worsened during activity. Forty-four percent of athletes reported experiencing exercise-induced breast pain during training or competition. Both types of breast pain were also reported to negatively affect sporting performance (20% and 32%, respectively). Mastalgia associated with the menstrual cycle and exercise-induced breast pain should be acknowledged as potential problems affecting the sporting performance of elite female athletes. Awareness around the impact of breast pain and the development and implementation of breast pain management strategies are essential for this population.</t>
  </si>
  <si>
    <t>https://search.ebscohost.com/login.aspx?direct=true&amp;db=mdc&amp;AN=31918624&amp;site=ehost-live</t>
  </si>
  <si>
    <t>Carbohydrate Hydrogel Products Do Not Improve Performance or Gastrointestinal Distress During Moderate-Intensity Endurance Exercise.</t>
  </si>
  <si>
    <t>King AJ; Rowe JT; Burke LM</t>
  </si>
  <si>
    <t>10.1123/ijsnem.2020-0102</t>
  </si>
  <si>
    <t>Dietary Carbohydrates administration &amp; dosage; Dietary Supplements; Dyspepsia prevention &amp; control; Exercise physiology; Hydrogels; Physical Endurance physiology; Dietary Carbohydrates metabolism; Dyspepsia etiology; Energy Metabolism; Gastric Emptying; Humans; Lipid Metabolism; Oxidation-Reduction</t>
  </si>
  <si>
    <t>The benefits of ingesting exogenous carbohydrate (CHO) during prolonged exercise performance are well established. A recent food technology innovation has seen sodium alginate and pectin included in solutions of multiple transportable CHO, to encapsulate them at pH levels found in the stomach. Marketing claims include enhanced gastric emptying and delivery of CHO to the muscle with less gastrointestinal distress, leading to better sports performance. Emerging literature around such claims was identified by searching electronic databases; inclusion criteria were randomized controlled trials investigating metabolic and/or exercise performance parameters during endurance exercise &gt;1 hr, with CHO hydrogels versus traditional CHO fluids and/or noncaloric hydrogels. Limitations associated with the heterogeneity of exercise protocols and control comparisons are noted. To date, improvements in exercise performance/capacity have not been clearly demonstrated with ingestion of CHO hydrogels above traditional CHO fluids. Studies utilizing isotopic tracers demonstrate similar rates of exogenous CHO oxidation, and subjective ratings of gastrointestinal distress do not appear to be different. Overall, data do not support any metabolic or performance advantages to exogenous CHO delivery in hydrogel form over traditional CHO preparations; although, one study demonstrates a possible glycogen sparing effect. The authors note that the current literature has largely failed to investigate the conditions under which maximal CHO availability is needed; high-performance athletes undertaking prolonged events at high relative and absolute exercise intensities. Although investigations are needed to better target the testimonials provided about CHO hydrogels, current evidence suggests that they are similar in outcome and a benefit to traditional CHO sources.</t>
  </si>
  <si>
    <t>https://search.ebscohost.com/login.aspx?direct=true&amp;db=mdc&amp;AN=32707564&amp;site=ehost-live</t>
  </si>
  <si>
    <t>Coaches' perspective towards skill acquisition in swimming: What practice approaches are typically applied in training?</t>
  </si>
  <si>
    <t>Brackley V; Barris S; Tor E; Farrow D</t>
  </si>
  <si>
    <t>10.1080/02640414.2020.1792703</t>
  </si>
  <si>
    <t>Australia; Athletic Performance physiology; Mentoring; Motor Skills physiology; Physical Conditioning, Human methods; Swimming physiology; Adult; Aged; Australia; Female; Goals; Humans; Male; Middle Aged; Qualitative Research; Task Performance and Analysis; Transfer, Psychology</t>
  </si>
  <si>
    <t>This study aimed to explore the experiential knowledge and preferred training approaches of elite swimming coaches in regards to general skill development and then looking specifically at the freestyle stroke. A qualitative thematic analysis approach was employed to identify, analyse and report themes within the content of the collected data. Twenty elite swimming coaches participated in semi-structured interviews. Several themes revealed that the most common training practices employed to improve skill learning included the use of task decomposition (part-task) techniques. The findings also indicated that swimming coaches believe practice should be specific/representative to the intended performance outcomes. It is believed that such viewpoints may have been influenced by coaches' interaction with skill acquisition consultants and may have also shaped some coaches use of variants of constraints manipulation in their practice design. While swimming coaches seem to mix both traditional and contemporary skill acquisition theories in their training prescriptions, the traditional approach is dominant as evidenced by coaches seeking to reinforce "perfect" swimming technique and mechanical consistency. Considering coaches' experiential knowledge and training prescriptions may benefit future research protocols and better facilitate the transfer of empirical findings to coaching practice.</t>
  </si>
  <si>
    <t>https://search.ebscohost.com/login.aspx?direct=true&amp;db=mdc&amp;AN=32643546&amp;site=ehost-live</t>
  </si>
  <si>
    <t>Comparing inertial measurement units and marker-based biomechanical models during dynamic rotation of the torso.</t>
  </si>
  <si>
    <t>Brice SM; Phillips EJ; Millett EL; Hunter A; Philippa B</t>
  </si>
  <si>
    <t>10.1080/17461391.2019.1666167</t>
  </si>
  <si>
    <t>Movement physiology; Torso physiology; Accelerometry instrumentation; Adult; Algorithms; Anatomic Landmarks; Biomechanical Phenomena; Cervical Vertebrae; Female; Humans; Ilium; Magnetometry instrumentation; Male; Posture physiology; Reproducibility of Results; Rotation; Sternum; Thoracic Vertebrae</t>
  </si>
  <si>
    <t>Inertial measurement units (IMUs) enable human movements to be captured in the field and are being used increasingly in high performance sport. One key metric that can be derived from IMUs are relative angles of body segments which are important for monitoring form in many sports. The purpose of this study was to (a) examine the validity of relative angles derived from IMUs placed on the torso and pelvis; and (b) determine optimal positioning for torso mounted sensors such that the IMU relative angles match closely with gold standard torso-pelvis and thorax-pelvis relative angle data derived from an optoelectronic camera system. Seventeen adult participants undertook a variety of motion tasks. Four IMUs were positioned on the torso and one was positioned on the pelvis between the posterior superior iliac spines. Reflective markers were positioned around each IMU and over torso and pelvis landmarks. Results showed that the IMUs are valid with the root mean square errors expressed as a percentage of the angle range (RMSE%) ranging between 1% and 7%. Comparison between the IMU relative angles and the torso-pelvis and thorax-pelvis relative angles showed there were moderate to large differences with RMSE% values ranging between 4% and 57%. IMUs are highly accurate at measuring orientation data; however, further work is needed to optimise positioning and modelling approaches so IMU relative angles align more closely with relative angles derived using traditional motion capture methods.</t>
  </si>
  <si>
    <t>https://search.ebscohost.com/login.aspx?direct=true&amp;db=mdc&amp;AN=31512552&amp;site=ehost-live</t>
  </si>
  <si>
    <t>Consensus recommendations on the classification, definition and diagnostic criteria of hip-related pain in young and middle-aged active adults from the International Hip-related Pain Research Network, Zurich 2018.</t>
  </si>
  <si>
    <t>Reiman MP; Agricola R; Kemp JL; Heerey JJ; Weir A; van Klij P; Kassarjian A; Mosler AB; Ageberg E; Hölmich P; Warholm KM; Griffin D; Mayes S; Khan KM; Crossley KM; Bizzini M; Bloom N; Casartelli NC; Diamond LE; Di Stasi S; Drew M; Friedman DJ; Freke M; Gojanovic B; Glyn-Jones S; Harris-Hayes M; Hunt MA; Impellizzeri FM; Ishøi L; Jones DM; King MG; Lawrenson PR; Leunig M; Lewis CL; Mathieu N; Moksnes H; Risberg MA; Scholes MJ; Semciw AI; Serner A; Thorborg K; Wörner T; Dijkstra HP</t>
  </si>
  <si>
    <t>10.1136/bjsports-2019-101453</t>
  </si>
  <si>
    <t>Consensus Development Conference</t>
  </si>
  <si>
    <t>Arthralgia classification; Arthralgia diagnosis; Hip physiopathology; Adult; Arthralgia diagnostic imaging; Arthralgia etiology; Biomedical Research; Humans; Middle Aged; Patient Reported Outcome Measures; Young Adult</t>
  </si>
  <si>
    <t>There is no agreement on how to classify, define or diagnose hip-related pain-a common cause of hip and groin pain in young and middle-aged active adults. This complicates the work of clinicians and researchers. The International Hip-related Pain Research Network consensus group met in November 2018 in Zurich aiming to make recommendations on how to classify, define and diagnose hip disease in young and middle-aged active adults with hip-related pain as the main symptom. Prior to the meeting we performed a scoping review of electronic databases in June 2018 to determine the definition, epidemiology and diagnosis of hip conditions in young and middle-aged active adults presenting with hip-related pain. We developed and presented evidence-based statements for these to a panel of 37 experts for discussion and consensus agreement. Both non-musculoskeletal and serious hip pathological conditions (eg, tumours, infections, stress fractures, slipped capital femoral epiphysis), as well as competing musculoskeletal conditions (eg, lumbar spine) should be excluded when diagnosing hip-related pain in young and middle-aged active adults. The most common hip conditions in young and middle-aged active adults presenting with hip-related pain are: (1) femoroacetabular impingement (FAI) syndrome, (2) acetabular dysplasia and/or hip instability and (3) other conditions without a distinct osseous morphology (labral, chondral and/or ligamentum teres conditions), and that these terms are used in research and clinical practice. Clinical examination and diagnostic imaging have limited diagnostic utility; a comprehensive approach is therefore essential. A negative flexion-adduction-internal rotation test helps rule out hip-related pain although its clinical utility is limited. Anteroposterior pelvis and lateral femoral head-neck radiographs are the initial diagnostic imaging of choice-advanced imaging should be performed only when requiring additional detail of bony or soft-tissue morphology (eg, for definitive diagnosis, research setting or when planning surgery). We recommend clear, detailed and consistent methodology of bony morphology outcome measures (definition, measurement and statistical reporting) in research. Future research on conditions with hip-related pain as the main symptom should include high-quality prospective studies on aetiology and prognosis. The most common hip conditions in active adults presenting with hip-related pain are: (1) FAI syndrome, (2) acetabular dysplasia and/or hip instability and (3) other conditions without distinct osseous morphology including labral, chondral and/or ligamentum teres conditions. The last category should not be confused with the incidental imaging findings of labral, chondral and/or ligamentum teres pathology in asymptomatic people. Future research should refine our current recommendations by determining the clinical utility of clinical examination and diagnostic imaging in prospective studies. Competing Interests: Competing interests: None declared. © Author(s) (or their employer(s)) 2020. No commercial re-use. See rights and permissions. Published by BMJ.</t>
  </si>
  <si>
    <t>https://search.ebscohost.com/login.aspx?direct=true&amp;db=mdc&amp;AN=31959678&amp;site=ehost-live</t>
  </si>
  <si>
    <t>Crisis of confidence averted: Impairment of exercise economy and performance in elite race walkers by ketogenic low carbohydrate, high fat (LCHF) diet is reproducible.</t>
  </si>
  <si>
    <t>Burke LM; Sharma AP; Heikura IA; Forbes SF; Holloway M; McKay AKA; Bone JL; Leckey JJ; Welvaert M; Ross ML</t>
  </si>
  <si>
    <t>e0234027</t>
  </si>
  <si>
    <t>10.1371/journal.pone.0234027</t>
  </si>
  <si>
    <t>Athletic Performance; Diet, High-Fat; Diet, Ketogenic; Physical Conditioning, Human methods; Walking; Adaptation, Physiological; Athletes; Female; Humans; Male; Physical Endurance</t>
  </si>
  <si>
    <t>Introduction: We repeated our study of intensified training on a ketogenic low-carbohydrate (CHO), high-fat diet (LCHF) in world-class endurance athletes, with further investigation of a "carryover" effect on performance after restoring CHO availability in comparison to high or periodised CHO diets. Methods: After Baseline testing (10,000 m IAAF-sanctioned race, aerobic capacity and submaximal walking economy) elite male and female race walkers undertook 25 d supervised training and repeat testing (Adapt) on energy-matched diets: High CHO availability (8.6 g∙kg-1∙d-1 CHO, 2.1 g∙kg-1∙d-1 protein; 1.2 g∙kg-1∙d-1 fat) including CHO before/during/after workouts (HCHO, n = 8): similar macronutrient intake periodised within/between days to manipulate low and high CHO availability at various workouts (PCHO, n = 8); and LCHF (&lt;50 g∙d-1 CHO; 78% energy as fat; 2.1 g∙kg-1∙d-1 protein; n = 10). After Adapt, all athletes resumed HCHO for 2.5 wk before a cohort (n = 19) completed a 20 km race. Results: All groups increased VO2peak (ml∙kg-1∙min-1) at Adapt (p = 0.02, 95%CI: [0.35-2.74]). LCHF markedly increased whole-body fat oxidation (from 0.6 g∙min-1 to 1.3 g∙min-1), but also the oxygen cost of walking at race-relevant velocities. Differences in 10,000 m performance were clear and meaningful: HCHO improved by 4.8% or 134 s (95% CI: [207 to 62 s]; p &lt; 0.001), with a trend for a faster time (2.2%, 61 s [-18 to +144 s]; p = 0.09) in PCHO. LCHF were slower by 2.3%, -86 s ([-18 to -144 s]; p &lt; 0.001), with no evidence of superior "rebound" performance over 20 km after 2.5 wk of HCHO restoration and taper. Conclusion: Our previous findings of impaired exercise economy and performance of sustained high-intensity race walking following keto-adaptation in elite competitors were repeated. Furthermore, there was no detectable benefit from undertaking an LCHF intervention as a periodised strategy before a 2.5-wk race preparation/taper with high CHO availability. Trial Registration: Australia New Zealand Clinical Trial Registry: ACTRN12619000794101. Competing Interests: The authors have declared that no competing interests exist</t>
  </si>
  <si>
    <t>https://search.ebscohost.com/login.aspx?direct=true&amp;db=mdc&amp;AN=32497061&amp;site=ehost-live</t>
  </si>
  <si>
    <t>"Dad! Let's go have a hit…": Sources and types of support in female cricket players.</t>
  </si>
  <si>
    <t>10.1016/j.jsams.2020.03.012</t>
  </si>
  <si>
    <t>Australia; Athletes; Athletic Performance; Cricket Sport; Family; Mentors; Social Support; Adolescent; Adult; Australia; Female; Humans; Surveys and Questionnaires; Young Adult</t>
  </si>
  <si>
    <t>Objectives: To explore the different types of support and different support providers in female cricket players (n=101), and to understand whether these support types or providers differ relative to level of skill expertise. Method: A quantitative questionnaire (developed as a part of a broader Australian Research Council Linkage project) was distributed to participants through involvement with a national sporting organisation. Descriptive trends across support types for each provider were explored for the total cohort of athletes (as relative percentages) and community and elite differences were explored using chi-squared analyses (p&lt;0.05). Results: Mothers and fathers were primary givers of financial and emotional support (&gt;70% for both parents across the entire cohort), mentors offered meaningful sport specific informational and technical (or coaching related) support and siblings and peers played integral roles acting as fellow participants for practice and play. Access to coaching also emerged as a dominant point of difference between community and elite cricket players consistently across all support providers (p&lt;0.05). The father emerged as a dominant provider of support for elite players across five different dimensions of support (p&lt;0.05). Conclusion: Several characteristics related to support provider and support type for female players were consistent with male players (general parental financial and emotional support provision and access to quality coaching present across all support providers). A key outcome from this study was evidence of the specific role that fathers play in the development of elite female cricket players. Copyright © 2020 Sports Medicine Australia. All rights reserved.</t>
  </si>
  <si>
    <t>https://search.ebscohost.com/login.aspx?direct=true&amp;db=mdc&amp;AN=32389611&amp;site=ehost-live</t>
  </si>
  <si>
    <t>Defining cricket batting expertise from the perspective of elite coaches.</t>
  </si>
  <si>
    <t>Connor JD; Renshaw I; Farrow D</t>
  </si>
  <si>
    <t>e0234802</t>
  </si>
  <si>
    <t>10.1371/journal.pone.0234802</t>
  </si>
  <si>
    <t>Athletic Performance; Cricket Sport; Professional Competence; Humans; Motor Skills</t>
  </si>
  <si>
    <t>Traditionally in sporting tasks, expertise has been thought of as the attainment of near flawless technical abilities. While contemporary views have become more holistic in nature, in certain sporting domains it is still not clear what exactly encapsulates expertise. This study sought to further understand the crucial and defining characteristics of cricket batting; a complex and difficult perceptual-motor skill with minimal error tolerance and severe time constraints. Eight elite cricket batting coaches, who themselves were former international or state level batsmen, were interviewed to identify characteristics of cricket batting expertise. From this, a conceptual model was developed in relation to an expert within their performance environment. This model highlights several key factors experts possess beyond just technical proficiency, such as self-awareness of their technical and tactical strengths in relation to the situation of the game; self-regulatory behaviours to problem solve performance challenges in-game; and psychological strategies such as between-ball routines to manage cognitions and emotions. The conceptual model of batting expertise described in this paper is designed to introduce an order to how these various skills, possessed by an expert batter, interact within the performance environment to interpret expert performance. Competing Interests: The authors have declared that no competing interests exist.</t>
  </si>
  <si>
    <t>https://search.ebscohost.com/login.aspx?direct=true&amp;db=mdc&amp;AN=32542013&amp;site=ehost-live</t>
  </si>
  <si>
    <t>Development of an Anthropometric Prediction Model for Fat-Free Mass and Muscle Mass in Elite Athletes.</t>
  </si>
  <si>
    <t>Sesbreno E; Slater G; Mountjoy M; Galloway SDR</t>
  </si>
  <si>
    <t>174–181</t>
  </si>
  <si>
    <t>10.1123/ijsnem.2019-0232</t>
  </si>
  <si>
    <t>The monitoring of body composition is common in sports given the association with performance. Surface anthropometry is often preferred when monitoring changes for its convenience, practicality, and portability. However, anthropometry does not provide valid estimates of absolute lean tissue in elite athletes. The aim of this investigation was to develop anthropometric models for estimating fat-free mass (FFM) and skeletal muscle mass (SMM) using an accepted reference physique assessment technique. Sixty-four athletes across 18 sports underwent surface anthropometry and dual-energy X-ray absorptiometry (DXA) assessment. Anthropometric models for estimating FFM and SMM were developed using forward selection multiple linear regression analysis and contrasted against previously developed equations. Most anthropometric models under review performed poorly compared with DXA. However, models derived from athletic populations such as the Withers equation demonstrated a stronger correlation with DXA estimates of FFM (r = .98). Equations that incorporated skinfolds with limb girths were more effective at explaining the variance in DXA estimates of lean tissue (Sesbreno FFM [R2 = .94] and Lee SMM [R2 = .94] models). The Sesbreno equation could be useful for estimating absolute indices of lean tissue across a range of physiques if an accepted option like DXA is inaccessible. Future work should explore the validity of the Sesbreno model across a broader range of physiques common to athletic populations.</t>
  </si>
  <si>
    <t>https://search.ebscohost.com/login.aspx?direct=true&amp;db=mdc&amp;AN=32045882&amp;site=ehost-live</t>
  </si>
  <si>
    <t>Effect of Strength Training on Biomechanical and Neuromuscular Variables in Distance Runners: A Systematic Review and Meta-Analysis.</t>
  </si>
  <si>
    <t>Trowell D; Vicenzino B; Saunders N; Fox A; Bonacci J</t>
  </si>
  <si>
    <t>10.1007/s40279-019-01184-9</t>
  </si>
  <si>
    <t>Lower Extremity physiology; Physical Endurance; Resistance Training methods; Running; Adaptation, Physiological; Athletes; Biomechanical Phenomena; Humans</t>
  </si>
  <si>
    <t>Background: Concurrent strength and endurance (CSE) training improves distance running performance more than endurance training alone, but the mechanisms underpinning this phenomenon are unclear. It has been hypothesised that biomechanical or neuromuscular adaptations are responsible for improvements in running performance; however, evidence on this topic has not been synthesised in a review. Objective: To evaluate the effect of CSE training on biomechanical and neuromuscular variables in distance runners. Methods: Seven electronic databases were searched from inception to November 2018 using key terms related to running and strength training. Studies were included if the following criteria were met: (1) population: 'distance' or 'endurance' runners of any training status; (2) intervention: CSE training; (3) comparator: running-only control group; (4) outcomes: at least one biomechanical or neuromuscular variable; and, (5) study design: randomised and non-randomised comparative training studies. Biomechanical and neuromuscular variables of interest included: (1) kinematic, kinetic or electromyography outcome measures captured during running; (2) lower body muscle force, strength or power outcome measures; and (3) lower body muscle-tendon stiffness outcome measures. Methodological quality and risk of bias for each study were assessed using the PEDro scale. The level of evidence for each variable was categorised according to the quantity and PEDro rating of the included studies. Between-group standardised mean differences (SMD) with 95% confidence intervals (95% CI) were calculated for studies and meta-analyses were performed to identify the pooled effect of CSE training on biomechanical and neuromuscular variables. Results: The search resulted in 1578 potentially relevant articles, of which 25 met the inclusion criteria and were included. There was strong evidence that CSE training significantly increased knee flexion (SMD 0.89 [95% CI 0.48, 1.30], p &lt; 0.001), ankle plantarflexion (SMD 0.74 [95% CI 0.21-1.26], p = 0.006) and squat (SMD 0.63 [95% CI 0.13, 1.12], p = 0.010) strength, but not jump height, more than endurance training alone. Moderate evidence also showed that CSE training significantly increased knee extension strength (SMD 0.69 [95% CI 0.29, 1.09], p &lt; 0.001) more than endurance training alone. There was very limited evidence reporting changes in stride parameters and no studies examined changes in biomechanical and neuromuscular variables during running. Conclusions: Concurrent strength and endurance training improves the force-generating capacity of the ankle plantarflexors, quadriceps, hamstrings and gluteal muscles. These muscles support and propel the centre of mass and accelerate the leg during running, but there is no evidence to suggest these adaptations transfer from strength exercises to running. There is a need for research that investigates changes in biomechanical and neuromuscular variables during running to elucidate the effect of CSE training on run performance in distance runners.</t>
  </si>
  <si>
    <t>https://search.ebscohost.com/login.aspx?direct=true&amp;db=mdc&amp;AN=31541409&amp;site=ehost-live</t>
  </si>
  <si>
    <t>Effects of digital filtering on peak acceleration and force measurements for artistic gymnastics skills.</t>
  </si>
  <si>
    <t>10.1080/02640414.2020.1757374</t>
  </si>
  <si>
    <t>Gymnastics physiology; Motor Skills physiology; Acceleration; Adolescent; Biomechanical Phenomena; Female; Humans; Male; Signal Processing, Computer-Assisted; Young Adult</t>
  </si>
  <si>
    <t>Low-pass filters are ideal when filtering human movements, however the effectiveness of such filters relies on the correct selection of the cut-off frequency. The aim of this study was to determine the most appropriate filter cut-off for acceleration- and force-time data when measuring peak resultant acceleration (PRA) and ground reaction force (PRGRF) during gymnastics landings. Sixteen gymnasts executed backward handsprings and backward somersault landings onto a matted force plate while wearing four inertial measurement units (IMUs). Acceleration- and force-time data were filtered using a fourth-order Butterworth filter at different cut-off frequencies ranging from raw through to 250 Hz. Residual analysis plots were produced, and the PRGRF and PRA for all IMUs were calculated for each participant and skill at all cut-off frequencies. Descriptive statistics, model II linear regressions and Bland-Altman plots were conducted. Results indicated that a minimum 85 Hz cut-off is optimal. High cut-off frequencies (&gt;80 Hz) showed good linear relationships and had minimal mean bias compared with raw values, indicating that either filtered (above ~85 Hz) or raw signals can be used. It is suggested that for applied sports settings no filtering is needed, however a minimum cut-off of 85 Hz should be implemented for research purposes.</t>
  </si>
  <si>
    <t>https://search.ebscohost.com/login.aspx?direct=true&amp;db=mdc&amp;AN=32329647&amp;site=ehost-live</t>
  </si>
  <si>
    <t>Epidemiology of injury and illness in 153 Australian international-level rowers over eight international seasons.</t>
  </si>
  <si>
    <t>Trease L; Wilkie K; Lovell G; Drew M; Hooper I</t>
  </si>
  <si>
    <t>10.1136/bjsports-2019-101402</t>
  </si>
  <si>
    <t>Australia; Athletic Injuries epidemiology; Water Sports injuries; Australia epidemiology; Cumulative Trauma Disorders epidemiology; Exercise Test; Female; Forearm Injuries epidemiology; Humans; Incidence; Knee Injuries epidemiology; Longitudinal Studies; Low Back Pain epidemiology; Lumbosacral Region injuries; Male; Pain epidemiology; Prospective Studies; Risk Factors; Sex Factors; Thoracic Wall injuries</t>
  </si>
  <si>
    <t>Aim: To report the epidemiology of injury and illness in elite rowers over eight seasons (two Olympiads). Methods: All athletes selected to the Australian Rowing Team between 2009 and 2016 were monitored prospectively under surveillance for injury and illness. The incidence and burden of injury and illness were calculated per 1000 athlete days (ADs). The body area, mechanism and type of all injuries were recorded and followed until the resumption of full training. We used interrupted time series analyses to examine the association between fixed and dynamic ergometer testing on rowers' injury rates. Time lost from illness was also recorded. Results: All 153 rowers selected over eight seasons were observed for 48 611 AD. 270 injuries occurred with an incidence of 4.1-6.4 injuries per 1000 AD. Training days lost totalled 4522 (9.2% AD). The most frequent area injured was the lumbar region (84 cases, 1.7% AD) but the greatest burden was from chest wall injuries (64 cases, 2.6% AD.) Overuse injuries (n=224, 83%) were more frequent than acute injuries (n=42, 15%). The most common activity at the time of injury was on-water rowing training (n=191, 68). Female rowers were at 1.4 times the relative risk of chest wall injuries than male rowers; they had half the relative risk of lumbar injuries of male rowers. The implementation of a dynamic ergometers testing policy (Concept II on sliders) was positively associated with a lower incidence and burden of low back injury compared with fixed ergometers (Concept II). Illness accounted for the greatest number of case presentations (128, 32.2% cases, 1.2% AD). Conclusions: Chest wall and lumbar injuries caused training time loss. Policy decisions regarding ergometer testing modality were associated with lumbar injury rates. As in many sports, illness burden has been under-recognised in elite Australian rowers. Competing Interests: Competing interests: None declared. © Author(s) (or their employer(s)) 2020. No commercial re-use. See rights and permissions. Published by BMJ.</t>
  </si>
  <si>
    <t>https://search.ebscohost.com/login.aspx?direct=true&amp;db=mdc&amp;AN=32586943&amp;site=ehost-live</t>
  </si>
  <si>
    <t>Examining the decay in serum ferritin following intravenous iron infusion: a retrospective cohort analysis of Olympic sport female athletes.</t>
  </si>
  <si>
    <t>McKay AKA; Goods PSR; Binnie MJ; Goodman C; Peeling P</t>
  </si>
  <si>
    <t>10.1139/apnm-2020-0132</t>
  </si>
  <si>
    <t>Anemia, Iron-Deficiency blood; Anemia, Iron-Deficiency prevention &amp; control; Athletes statistics &amp; numerical data; Ferritins blood; Iron administration &amp; dosage; Adult; Cohort Studies; Female; Humans; Infusions, Intravenous; Retrospective Studies; Young Adult</t>
  </si>
  <si>
    <t>The long-term decay rate of serum ferritin post-iron infusion in athletic populations is currently unknown. Here, we modelled the decay rate of serum ferritin in female athletes after an intravenous iron infusion ( n = 22). The post-infusion serum ferritin response and the rate of decay was highly variable between athletes; however, we demonstrate that follow-up blood testing at 1 (154 μg/L; 77-300 μg/L) and 6 months (107 μg/L; 54-208 μg/L) post-infusion is appropriate to observe treatment efficacy and effectiveness. Novelty Female athletes should have serum ferritin assessed at 1 and 6 months following an intravenous iron infusion to determine efficacy and effectiveness.</t>
  </si>
  <si>
    <t>https://search.ebscohost.com/login.aspx?direct=true&amp;db=mdc&amp;AN=32544343&amp;site=ehost-live</t>
  </si>
  <si>
    <t>Experiential Knowledge Affects the Visual Search Behaviors of Sprint Coaches and Sport Biomechanists.</t>
  </si>
  <si>
    <t>Waters A; Panchuk D; Phillips E; Dawson A</t>
  </si>
  <si>
    <t>10.3389/fspor.2020.00095</t>
  </si>
  <si>
    <t>It is common for applied sport biomechanists and high-performance coaches to work closely together. A feature of this relationship is that both bring unique experiences and knowledge to the common goal of improving an athlete's performance. For sprint running, coaches and biomechanists place importance on different aspects of technique. The purpose of this paper was to determine if these differences in experiential knowledge impact coaches and biomechanists visual perception of sprinting technique. Sport biomechanists ( n = 12) and, expert ( n = 11) and developing ( n = 11) coaches watched video of athletes sprinting at two different speeds while wearing eye tracking glasses and, retrospectively, reported on the technique features observed. Mixed methods ANOVAs were used to determine visual search strategies and efficiency and used to indicate the relationship between visual search and verbal commentary data. The speed of video playback was the main determinant of visual search behavior, significantly impacting the visual search rate and relative fixation duration at a number of areas of interest. The use of a visual pivot indicated all participants' visual search strategies were efficiency driven. Overall, the verbal commentary did not completely align with the eye tracking data and there were varying degrees of agreement with the identified technique related areas of interest for coaches and biomechanists. However, differences in visual search strategy and verbal commentary suggest that experiential knowledge impacts participants' observation and perception of sprinting technique. Copyright © 2020 Waters, Panchuk, Phillips and Dawson.</t>
  </si>
  <si>
    <t>https://search.ebscohost.com/login.aspx?direct=true&amp;db=mdc&amp;AN=33345086&amp;site=ehost-live</t>
  </si>
  <si>
    <t>From the field of play to the laboratory: Recreating the demands of competition with augmented reality simulated sport.</t>
  </si>
  <si>
    <t>Adams K; Kiefer A; Panchuk D; Hunter A; MacPherson R; Spratford W</t>
  </si>
  <si>
    <t>10.1080/02640414.2019.1706872</t>
  </si>
  <si>
    <t>Athletic Performance physiology; Augmented Reality; Volleyball physiology; Adolescent; Ankle Joint physiology; Biomechanical Phenomena physiology; Hip Joint physiology; Humans; Knee Joint physiology; Male; Patellar Ligament physiology; Reproducibility of Results; Young Adult</t>
  </si>
  <si>
    <t>Biomechanical analysis has typically been confined to a laboratory setting. While attempts have been made to take laboratory testing into the field, this study was designed to assess whether augmented reality (AR) could be used to bring the field into the laboratory. This study aimed to measure knee load in volleyball players through a jump task incorporating AR while maintaining the perception-action couplings by replicating the visual features of a volleyball court. Twelve male volleyball athletes completed four tasks: drop landing, hop jump, spike jump, and spike jump while wearing AR smart glasses. Biomechanical variables included patellar tendon force, knee moment and kinematics of the ankle, knee, hip, pelvis and thorax. The drop landing showed differences in patellar tendon force and knee moment when compared to the other conditions. The hop jump did not present differences in kinetics when compared to the spike conditions, instead of displaying the greatest kinematic differences. As a measure of patellar tendon loading the AR condition showed a close approximation to the spike jump, with no differences present when comparing landing forces and mechanics. Thus, AR may be used in a clinical assessment to better replicate information from the competitive environment.</t>
  </si>
  <si>
    <t>https://search.ebscohost.com/login.aspx?direct=true&amp;db=mdc&amp;AN=31865835&amp;site=ehost-live</t>
  </si>
  <si>
    <t>Glucocorticoid prescribing habits of sports medicine physicians working in high-performance sport: a 30-nation survey.</t>
  </si>
  <si>
    <t>Hughes D; Vlahovich N; Welvaert M; Tee N; Harcourt P; White S; Vernec A; Fitch K; Waddington G</t>
  </si>
  <si>
    <t>10.1136/bjsports-2019-101175</t>
  </si>
  <si>
    <t>Glucocorticoids therapeutic use; Practice Patterns, Physicians'; Sports Medicine legislation &amp; jurisprudence; Clinical Competence; Competitive Behavior; Cross-Sectional Studies; Drug Administration Routes; Glucocorticoids administration &amp; dosage; Glucocorticoids adverse effects; Glucocorticoids pharmacokinetics; Health Care Surveys; Humans</t>
  </si>
  <si>
    <t>Objectives: Glucocorticoids are commonly prescribed in medicine. When administered via certain routes, glucocorticoids are prohibited for incompetition use by WADA. The glucocorticoid prescribing habits of sports medicine doctors have not been reported. Methods: An online survey was distributed internationally to physicians working in high-performance sports. The survey queried the doctors about their use of glucocorticoids with athletes and their understanding of WADA's regulations regarding glucocorticoid use in competition. Results: 603 sports medicine doctors from 30 different countries participated. The majority (&gt;85%) routinely injected glucocorticoids and/or prescribed glucocorticoids by other routes. There were substantial differences in the common routes of injection as well as types of glucocorticoid used among the physicians from various countries. A relatively small percentage of sports doctors (&lt;25%) accurately identified which routes of glucocorticoid administration are prohibited in competition by WADA. There was a great variation in how long before competition the use of glucocorticoids would cause the doctor to consider applying for a therapeutic use exemption (TUE). A better understanding of the clearance rates of glucocorticoids from athletes' bodies would greatly aid sports medicine doctors' decisions on how and when to apply for a TUE. A small number of doctors had observed side effects of glucocorticoid administration, with the majority of side effects being minor in nature. Conclusion: Glucocorticoids are widely prescribed by sports physicians. There is a need to better educate sports physicians on the current WADA regulations in relation to glucocorticoid administration. Competing Interests: Competing interests: AV is an employee of WADA. WADA provided funding for the translation of the survey into languages other than English. © Author(s) (or their employer(s)) 2020. No commercial re-use. See rights and permissions. Published by BMJ.</t>
  </si>
  <si>
    <t>https://search.ebscohost.com/login.aspx?direct=true&amp;db=mdc&amp;AN=32024647&amp;site=ehost-live</t>
  </si>
  <si>
    <t>ICON 2019: International Scientific Tendinopathy Symposium Consensus: Clinical Terminology.</t>
  </si>
  <si>
    <t>Scott A; Squier K; Alfredson H; Bahr R; Cook JL; Coombes B; de Vos RJ; Fu SN; Grimaldi A; Lewis JS; Maffulli N; Magnusson SP; Malliaras P; Mc Auliffe S; Oei EHG; Purdam CR; Rees JD; Rio EK; Gravare Silbernagel K; Speed C; Weir A; Wolf JM; Akker-Scheek IVD; Vicenzino BT; Zwerver J</t>
  </si>
  <si>
    <t>10.1136/bjsports-2019-100885</t>
  </si>
  <si>
    <t>Tendinopathy classification; Terminology as Topic; Humans</t>
  </si>
  <si>
    <t>https://search.ebscohost.com/login.aspx?direct=true&amp;db=mdc&amp;AN=31399426&amp;site=ehost-live</t>
  </si>
  <si>
    <t>ICON PART-T 2019-International Scientific Tendinopathy Symposium Consensus: recommended standards for reporting participant characteristics in tendinopathy research (PART-T).</t>
  </si>
  <si>
    <t>Rio EK; Mc Auliffe S; Kuipers I; Girdwood M; Alfredson H; Bahr R; Cook JL; Coombes B; Fu SN; Grimaldi A; de Vos RJ; Lewis JS; Maffulli N; Malliaras P; Magnusson SP; Oei EHG; Purdam CR; Rees JD; Scott A; Gravare Silbernagel K; Speed C; Akker-Scheek IVD; Vicenzino BT; Weir A; Wolf JM; Zwerver J</t>
  </si>
  <si>
    <t>10.1136/bjsports-2019-100957</t>
  </si>
  <si>
    <t>Clinical Trials as Topic; Research Design; Tendinopathy diagnosis; Tendinopathy therapy; Humans</t>
  </si>
  <si>
    <t>We aimed to establish consensus for reporting recommendations relating to participant characteristics in tendon research. A scoping literature review of tendinopathy studies (Achilles, patellar, hamstring, gluteal and elbow) was followed by an online survey and face-to-face consensus meeting with expert healthcare professionals (HCPs) at the International Scientific Tendon Symposium, Groningen 2018. We reviewed 263 papers to form statements for consensus and invited 30 HCPs from different disciplines and geographical locations; 28 completed the survey and 15 attended the meeting. There was consensus that the following data should be reported for cases and controls: sex, age, standing height, body mass, history of tendinopathy, whether imaging was used to confirm pathology, loading tests, pain location, symptom duration and severity, level of disability, comorbidities, physical activity level, recruitment source and strategies, and medication use history. Standardised reporting of participant characteristics aims to benefit patients and clinicians by guiding researchers in the conduct of their studies. We provide free resources to facilitate researchers adopting our recommendations. Competing Interests: Competing interests: None declared. © Author(s) (or their employer(s)) 2020. No commercial re-use. See rights and permissions. Published by BMJ.</t>
  </si>
  <si>
    <t>https://search.ebscohost.com/login.aspx?direct=true&amp;db=mdc&amp;AN=31519545&amp;site=ehost-live</t>
  </si>
  <si>
    <t>Improved reporting of overuse injuries and health problems in sport: an update of the Oslo Sport Trauma Research Center questionnaires.</t>
  </si>
  <si>
    <t>Clarsen B; Bahr R; Myklebust G; Andersson SH; Docking SI; Drew M; Finch CF; Fortington LV; Harøy J; Khan KM; Moreau B; Moore IS; Møller M; Nabhan D; Nielsen RO; Pasanen K; Schwellnus M; Soligard T; Verhagen E</t>
  </si>
  <si>
    <t>10.1136/bjsports-2019-101337</t>
  </si>
  <si>
    <t>Athletic Injuries epidemiology; Cumulative Trauma Disorders epidemiology; Sports Medicine statistics &amp; numerical data; Surveys and Questionnaires; Humans; Terminology as Topic</t>
  </si>
  <si>
    <t>In 2013, the Oslo Sports Trauma Research Center Overuse Injury Questionnaire (OSTRC-O) was developed to record the magnitude, symptoms and consequences of overuse injuries in sport. Shortly afterwards, a modified version of the OSTRC-O was developed to capture all types of injuries and illnesses-The Oslo Sports Trauma Research Center Questionnaire on Health Problems (OSTRC-H). Since then, users from a range of research and clinical environments have identified areas in which these questionnaires may be improved. Therefore, the structure and content of the questionnaires was reviewed by an international panel consisting of the original developers, other user groups and experts in sports epidemiology and applied statistical methodology. Following a review panel meeting in October 2017, several changes were made to the questionnaires, including minor wording alterations, changes to the content of one question and the addition of questionnaire logic. In this paper, we present the updated versions of the questionnaires (OSTRC-O2 and OSTRC-H2), assess the likely impact of the updates on future data collection and discuss practical issues related to application of the questionnaires. We believe this update will improve respondent adherence and improve the quality of collected data. Competing Interests: Competing interests: None declared. © Author(s) (or their employer(s)) 2020. No commercial re-use. See rights and permissions. Published by BMJ.</t>
  </si>
  <si>
    <t>https://search.ebscohost.com/login.aspx?direct=true&amp;db=mdc&amp;AN=32060142&amp;site=ehost-live</t>
  </si>
  <si>
    <t>In the frame, road map for Australian sport on an uncertain journey through COVID-19.</t>
  </si>
  <si>
    <t>Hughes D</t>
  </si>
  <si>
    <t>10.1016/j.jsams.2020.05.003</t>
  </si>
  <si>
    <t>Australia; Coronavirus Infections; Pandemics; Pneumonia, Viral; Return to Sport standards; Sports; Australia; Betacoronavirus; COVID-19; Communicable Disease Control; Humans; Public Health; Return to Sport trends; SARS-CoV-2</t>
  </si>
  <si>
    <t>https://search.ebscohost.com/login.aspx?direct=true&amp;db=mdc&amp;AN=32416971&amp;site=ehost-live</t>
  </si>
  <si>
    <t>Inflammation and Oral Contraceptive Use in Female Athletes Before the Rio Olympic Games.</t>
  </si>
  <si>
    <t>Larsen B; Cox A; Colbey C; Drew M; McGuire H; Fazekas de St Groth B; Hughes D; Vlahovich N; Waddington G; Burke L; Lundy B; West N; Minahan C</t>
  </si>
  <si>
    <t>10.3389/fphys.2020.00497</t>
  </si>
  <si>
    <t>This study investigated the association between synthetic ovarian hormone use [i.e., the oral contraceptive (OC) pill] and basal C-reactive protein (CRP), peripheral blood immune cell subsets, and circulating pro- and anti-inflammatory cytokine concentrations in elite female athletes. Elite female athletes ( n = 53) selected in Rio Summer Olympic squads participated in this study; 25 were taking an OC (AthletesOC) and 28 were naturally hormonally cycling (AthletesNC). Venous blood samples were collected at rest for the determination of sex hormones, cortisol, CRP, peripheral blood mononuclear memory and naïve CD4+ T-cells, CD8+ T-cells and natural killer cells, as well as pro- and anti-inflammatory cytokine concentrations. C-reactive protein concentrations were elevated ( p &lt; 0.001) in AthletesOC (median = 2.02, IQR = 3.15) compared to AthletesNC (median = 0.57, IQR = 1.07). No differences were reported for cortisol, cytokines, or PBMC immune cell subsets, although there was a trend ( p = 0.062) for higher IL-6 concentrations in AthletesNC. Female Olympians had substantially higher CRP concentrations, a marker of inflammation and tissue damage, before the Rio Olympic Games if they used an OC. Future research should examine the potential consequences for athlete performance/recovery so that, if necessary, practitioners can implement prevention programs. Copyright © 2020 Larsen, Cox, Colbey, Drew, McGuire, Fazekas de St Groth, Hughes, Vlahovich, Waddington, Burke, Lundy, West and Minahan.</t>
  </si>
  <si>
    <t>https://search.ebscohost.com/login.aspx?direct=true&amp;db=mdc&amp;AN=32523546&amp;site=ehost-live</t>
  </si>
  <si>
    <t>Influence of Periodizing Dietary Carbohydrate on Iron Regulation and Immune Function in Elite Triathletes.</t>
  </si>
  <si>
    <t>McKay AKA; Heikura IA; Burke LM; Peeling P; Pyne DB; van Swelm RPL; Laarakkers CM; Cox GR</t>
  </si>
  <si>
    <t>10.1123/ijsnem.2019-0131</t>
  </si>
  <si>
    <t>Dietary Carbohydrates administration &amp; dosage; Interleukin-6 metabolism; Iron metabolism; Physical Conditioning, Human physiology; Sleep physiology; Bicycling physiology; Biomarkers blood; Biomarkers metabolism; Cross-Over Studies; Female; Hepcidins blood; Hepcidins metabolism; High-Intensity Interval Training; Humans; Immunoglobulin A, Secretory metabolism; Interleukin-6 blood; Male; Physical Conditioning, Human methods; Resistance Training; Running physiology; Saliva immunology; Saliva metabolism; Swimming physiology; Young Adult</t>
  </si>
  <si>
    <t>Sleeping with low carbohydrate (CHO) availability is a dietary strategy that may enhance training adaptation. However, the impact on an athlete's health is unclear. This study quantified the effect of a short-term "sleep-low" dietary intervention on markers of iron regulation and immune function in athletes. In a randomized, repeated-measures design, 11 elite triathletes completed two 4-day mixed cycle run training blocks. Key training sessions were structured such that a high-intensity training session was performed in the field on the afternoon of Days 1 and 3, and a low-intensity training (LIT) session was performed on the following morning in the laboratory (Days 2 and 4). The ingestion of CHO was either divided evenly across the day (HIGH) or restricted between the high-intensity training and LIT sessions, so that the LIT session was performed with low CHO availability (LOW). Venous blood and saliva samples were collected prior to and following each LIT session and analyzed for interleukin-6, hepcidin 25, and salivary immunoglobulin-A. Concentrations of interleukin-6 increased acutely after exercise (p &lt; .001), but did not differ between dietary conditions or days. Hepcidin 25 increased 3-hr postexercise (p &lt; .001), with the greatest increase evident after the LOW trial on Day 2 (2.5 ± 0.9 fold increase ±90% confidence limit). The salivary immunoglobulin-A secretion rate did not change in response to exercise; however, it was highest during the LOW condition on Day 4 (p = .046). There appears to be minimal impact to markers of immune function and iron regulation when acute exposure to low CHO availability is undertaken with expert nutrition and coaching input.</t>
  </si>
  <si>
    <t>https://search.ebscohost.com/login.aspx?direct=true&amp;db=mdc&amp;AN=31629353&amp;site=ehost-live</t>
  </si>
  <si>
    <t>Inforgraphic. Infographic and digital resources: the relationships between rugby union, and health and well-being.</t>
  </si>
  <si>
    <t>Griffin SA; Panagodage Perera NK; Murray A; Glover D; Duncan J; Fawkner SG; Kemp SP; Stokes KA; Kelly P</t>
  </si>
  <si>
    <t>10.1136/bjsports-2020-103544</t>
  </si>
  <si>
    <t>Competing Interests: Competing interests: SAG receives remuneration for clinical work in professional rugby union, and is employed by the Rugby Football Union as a Sports Medicine Training Fellow. AM receives remuneration from Scottish Rugby Union for clinical work. SK is employed by the rugby football union as medical services director. KAS is employed by the rugby football union as medical research lead.</t>
  </si>
  <si>
    <t>https://search.ebscohost.com/login.aspx?direct=true&amp;db=mdc&amp;AN=33355175&amp;site=ehost-live</t>
  </si>
  <si>
    <t>Intravenous fluids and their use in sport: A position statement from the Australian Institute of Sport.</t>
  </si>
  <si>
    <t>Pomroy S; Lovell G; Hughes D; Vlahovich N</t>
  </si>
  <si>
    <t>10.1016/j.jsams.2019.10.020</t>
  </si>
  <si>
    <t>Australia; Blood Substitutes administration &amp; dosage; Colloids administration &amp; dosage; Crystalloid Solutions administration &amp; dosage; Doping in Sports prevention &amp; control; Fluid Therapy; Sports; Australia; Humans; Infusions, Intravenous</t>
  </si>
  <si>
    <t>Objective: The use of intravenous fluids in out-of-hospital settings has evolved from the practices used by military and emergency response teams. When used in the elite sporting environment, IV fluid use must comply with the World Anti-Doping Code. Uncertainty can arise as clinicians seek to balance the appropriate use of IV fluids in delivering athlete care against the need for World Anti-Doping Code compliance. Design and Method: This position statement reviews the current literature and incorporates clinical experiences to present best-practice recommendations on the clinical use of Intravenous fluids in the elite sport environment, framing recommendations in the context of the World Anti-Doping Code. Results and Conclusion: The World Anti-Doping Code restricts the use of Intravenous fluids in athletes under certain conditions. This report takes into account the World Anti-Doping Code and the risks of Intravenous fluid administration to provide guidelines around the judicious use of IV fluids for: 1. Treatment of severe dehydration in an athlete, 2. Management of exertional heat illness in an athlete, 3. Hypovolaemia because of trauma in sport, 4. Administering medications. Crown Copyright © 2019. Published by Elsevier Ltd. All rights reserved.</t>
  </si>
  <si>
    <t>https://search.ebscohost.com/login.aspx?direct=true&amp;db=mdc&amp;AN=31784237&amp;site=ehost-live</t>
  </si>
  <si>
    <t>Is the Normal Shoulder Rotation Strength Ratio Altered in Elite Swimmers?</t>
  </si>
  <si>
    <t>Boettcher C; Halaki M; Holt K; Ginn KA</t>
  </si>
  <si>
    <t>10.1249/MSS.0000000000002177</t>
  </si>
  <si>
    <t>Muscle Strength physiology; Range of Motion, Articular; Shoulder physiology; Swimming physiology; Adolescent; Competitive Behavior physiology; Female; Humans; Male; Reference Values; Regression Analysis; Rotation; Shoulder Pain physiopathology; Young Adult</t>
  </si>
  <si>
    <t>Introduction: It is commonly believed that the shoulder external rotation (ER) to internal rotation (IR) strength ratio is decreased in swimmers due to predominant IR loading during the pull-through (propulsive) phase which predisposes to shoulder pain. However, the evidence supporting this hypothesis is inconclusive. Therefore, the aim of this study was to examine shoulder rotation strength parameters in elite swimmers and investigate potential associations with shoulder pain. Methods: Sixty-eight (40 men; age, 19.9 ± 3.2 yr) elite swimmers provided demographic and shoulder pain history data before measurement of shoulder rotation strength. Mixed model analyses were used to examine differences in shoulder IR and ER strength normalized to body weight (BW) and the shoulder rotation strength ratio. A multinomial logistic regression model was utilized to examine associations between shoulder rotation strength parameters and shoulder pain. Results: Mean shoulder IR strength (BW) was approximately 0.29 for male swimmers and 0.26 for female swimmers. Mean shoulder ER strength (BW) was approximately 0.19 for male swimmers and 0.18 for female swimmer. The shoulder ER/IR strength ratio was approximately 0.70 bilaterally for all swimmers. There were no significant differences between dominant and nondominant shoulders in IR or ER strength normalized to BW (P ≥ 0.547). There were no associations between any shoulder strength parameters and shoulder pain (r = 0.032, P = 0.107). Conclusions: Despite the high IR loading, optimal swimming technique does not alter the normal ER/IR strength ratio at the shoulder. Elite swimmers who report current or a history of shoulder pain demonstrate normal shoulder rotation strength ratios. The finding of symmetrical shoulder rotation strength points to side-to-side strength comparisons as a valuable clinical tool in managing swimmers with unilateral shoulder pain.</t>
  </si>
  <si>
    <t>https://search.ebscohost.com/login.aspx?direct=true&amp;db=mdc&amp;AN=32032235&amp;site=ehost-live</t>
  </si>
  <si>
    <t>Jump-landing mechanics in patellar tendinopathy in elite youth basketballers.</t>
  </si>
  <si>
    <t>Harris M; Schultz A; Drew MK; Rio E; Charlton P; Edwards S</t>
  </si>
  <si>
    <t>10.1111/sms.13595</t>
  </si>
  <si>
    <t>Australia; Athletic Injuries physiopathology; Basketball injuries; Patellar Ligament physiopathology; Tendinopathy physiopathology; Adolescent; Athletes; Australia; Biomechanical Phenomena; Cumulative Trauma Disorders physiopathology; Exercise Test; Female; Humans; Knee Joint; Male</t>
  </si>
  <si>
    <t>Patellar tendinopathy (PT) is a leading cause of morbidity in jump-landing athletes. Landing mechanics are identified as a factor associated with PT and/or patellar tendon abnormality. This study aimed to identify key jump-landing variables associated with PT. Thirty-six junior elite basketball players (men n = 18, women n = 18) were recruited from a Basketball Australia development camp. Three-dimensional (3D) kinematic and ground reaction force (GRF) data during a stop-jump task were collected as well as ultrasound scans of the patellar tendons and recall history of training load data. Mixed-model factorial analyses of variance were used to determine any significant between-group differences. Of the 23 participants included for statistical analyses, 11 had normal bilateral patellar tendons (controls) and eight reported PT (currently symptomatic); however, the four participants categorized as asymptomatic with patellar tendon abnormality on diagnostic imaging were excluded from statistical analyses due to their small sample size. Athletes with PT displayed a similar knee flexion angle at initial foot-ground contact (IC) and hip extension strategy during a stop-jump horizontal landing. Despite a similar kinematic technique, athletes with PT utilized a strategy of a longer stance duration phase from IC to peak force. This strategy did not lead to those athletes with PT decreasing their peak vertical GRF nor patellar tendon force during landing but enabled these athletes to land with a lower rate of loading (control 59.2 ± 39.3 vs. PT 29.4 ± 33.7 BW.s-1). Athletes with PT still reported significantly reduced training volume (control 4.9 ± 1.8 vs PT 1.8 ± 1.1 sessions/wk; total training time/wk control 2.4 ± 1.0 vs PT 1.4 ± 1.1 h/wk). © 2019 John Wiley &amp; Sons A/S. Published by John Wiley &amp; Sons Ltd.</t>
  </si>
  <si>
    <t>https://search.ebscohost.com/login.aspx?direct=true&amp;db=mdc&amp;AN=31680306&amp;site=ehost-live</t>
  </si>
  <si>
    <t>Key viral immune genes and pathways identify elite athletes with URS.</t>
  </si>
  <si>
    <t>Colbey C; Drew MK; Cox AJ; Vider J; Pyne DB; Vlahonich N; Hughes D; Waddington G; Appaneal R; Burke LM; Lundy B; Toomey M; Watts D; Lovell G; Praet S; Halson SL; Welvaert M; Zhang P; Cripps AW; West NP</t>
  </si>
  <si>
    <t>Exercise immunology review</t>
  </si>
  <si>
    <t>WWF Verlag</t>
  </si>
  <si>
    <t>Australia; Athletes; Respiratory Tract Infections diagnosis; Respiratory Tract Infections genetics; Transcriptome; Australia; Cross-Sectional Studies; Humans; Membrane Proteins genetics; Retrospective Studies</t>
  </si>
  <si>
    <t>Purpose: Habitual intense exercise may increase the incidence of upper respiratory symptoms (URS) in elite athletes. This study investigated whether immune gene expression could identify gene markers that discriminate athletes with a higher prevalence of URS. Methods: This cross-sectional analysis of elite Australian athletes from various sports investigated whether athletes retrospectively reporting URS for two days or more in a month (n=38), had an altered immune gene expression profile compared with asymptomatic athletes (n=33). Peripheral blood samples were collected during Olympic selection events with corresponding URS data collected for the one-month period before sampling. Digital immune gene expression analysis was undertaken using the NanoString PanCancer Immune Profiling panel. Results: Fifty immune genes were differentially expressed between the groups (p&lt;0.05) and approximately 78% of these genes were more highly expressed in athletes reporting URS. Many of these genes were interferon-stimulated genes or genes involved in the Jak/Stat signalling pathway. Only interferon alpha inducible protein 27 (IFI27), an interferon stimulated gene involved in viral response, remained significantly higher in athletes reporting URS (log2 fold-difference=2.49, odds ratio 1.02 per unit increase; p&lt;0.01) post-adjustment and discriminated athletes reporting URS from asymptomatic athletes with 78% accuracy. Conclusions: Expression of IFI27 could differentiate athletes reporting URS from asymptomatic athletes, a gene that is upregulated in the immune response to viral infection. Upregulation of viral signalling pathways provides novel information on the potential aetiology of URS in elite Olympic athletes. Copyright © 2020 International Society of Exercise and Immunology. All rights reserved.</t>
  </si>
  <si>
    <t>https://search.ebscohost.com/login.aspx?direct=true&amp;db=mdc&amp;AN=32139349&amp;site=ehost-live</t>
  </si>
  <si>
    <t>Learner-adapted practice promotes skill transfer in unskilled adults learning the basketball set shot.</t>
  </si>
  <si>
    <t>Porter C; Greenwood D; Panchuk D; Pepping GJ</t>
  </si>
  <si>
    <t>10.1080/17461391.2019.1611931</t>
  </si>
  <si>
    <t>Basketball; Learning; Motor Skills; Practice, Psychological; Psychomotor Performance; Retention, Psychology; Adult; Female; Humans; Male</t>
  </si>
  <si>
    <t>The current study used a complex, sport-specific movement skill to explore the effects of a win-shift/lose-stay practice schedule on learning and compared its effectiveness with that of blocked and random practice schedules. Thirty-six adults (24.9 ± 3.3 years) were assigned to blocked, random and learner-adapted training groups. Each participant performed 360 trials of the basketball set shot from multiple locations across six practice sessions. For the learner-adapted group, switching between task variations was performance-contingent; switching between shooting locations occurred only following a successful shot. Shooting success was calculated as the percentage of successful shots performed, and measured during pre-acquisition (i.e. baseline), acquisition (i.e. practice) and post-acquisition (i.e. retention and transfer). Despite scoring less shots throughout practice compared to baseline testing, the learner-adapted group showed a significant improvement for shooting success in transfer ( d = 1.02). Blocked practice demonstrated significant improvements for shooting success in immediate retention ( d = 1.83), delayed retention ( d = 1.69) and transfer ( d = 1.39). Random practice significantly improved shooting success in both immediate ( d = 1.03) and delayed retention ( d = 0.81). The current findings highlight that performance during practice does not necessarily represent the permanency and adaptability of skill learning. The implications of the findings and their practical applications are discussed in the context of practice scheduling during learning of a sports skill.</t>
  </si>
  <si>
    <t>https://search.ebscohost.com/login.aspx?direct=true&amp;db=mdc&amp;AN=31079552&amp;site=ehost-live</t>
  </si>
  <si>
    <t>Menthol as an Ergogenic Aid for the Tokyo 2021 Olympic Games: An Expert-Led Consensus Statement Using the Modified Delphi Method.</t>
  </si>
  <si>
    <t>Barwood MJ; Gibson OR; Gillis DJ; Jeffries O; Morris NB; Pearce J; Ross ML; Stevens C; Rinaldi K; Kounalakis SN; Riera F; Mündel T; Waldron M; Best R</t>
  </si>
  <si>
    <t>10.1007/s40279-020-01313-9</t>
  </si>
  <si>
    <t>Tokyo; Administration, Topical; Athletic Performance physiology; Menthol administration &amp; dosage; Mouthwashes; Performance-Enhancing Substances; Delphi Technique; Humans; Tokyo</t>
  </si>
  <si>
    <t>Introduction: Menthol topical application and mouth rinsing are ergogenic in hot environments, improving performance and perception, with differing effects on body temperature regulation. Consequently, athletes and federations are beginning to explore the possible benefits to elite sport performance for the Tokyo 2021 Olympics, which will take place in hot (~ 31 °C), humid (70% RH) conditions. There is no clear consensus on safe and effective menthol use for athletes, practitioners, or researchers. The present study addressed this shortfall by producing expert-led consensus recommendations. Method: Fourteen contributors were recruited following ethical approval. A three-step modified Delphi method was used for voting on 96 statements generated following literature consultation; 192 statements total (96/96 topical application/mouth rinsing). Round 1 contributors voted to "agree" or "disagree" with statements; 80% agreement was required to accept statements. In round 2, contributors voted to "support" or "change" their round 1 unaccepted statements, with knowledge of the extant voting from round 1. Round 3 contributors met to discuss voting against key remaining statements. Results: Forty-seven statements reached consensus in round 1 (30/17 topical application/rinsing); 14 proved redundant. Six statements reached consensus in round 2 (2/4 topical application/rinsing); 116 statements proved redundant. Nine further statements were agreed in round 3 (6/3 topical application/rinsing) with caveats. Discussion: Consensus was reached on 62 statements in total (38/24 topical application/rinsing), enabling the development of guidance on safe menthol administration, with a view to enhancing performance and perception in the heat without impairing body temperature regulation.</t>
  </si>
  <si>
    <t>https://search.ebscohost.com/login.aspx?direct=true&amp;db=mdc&amp;AN=32623642&amp;site=ehost-live</t>
  </si>
  <si>
    <t>Monitoring Age-Group Swimmers Over a Training Macrocycle: Energetics, Technique, and Anthropometrics.</t>
  </si>
  <si>
    <t>Zacca R; Azevedo R; Chainok P; Vilas-Boas JP; Castro FAS; Pyne DB; Fernandes RJ</t>
  </si>
  <si>
    <t>10.1519/JSC.0000000000002762</t>
  </si>
  <si>
    <t>Anthropometry; Athletic Performance physiology; Swimming physiology; Adolescent; Age Factors; Female; Humans; Linear Models; Male; Prospective Studies</t>
  </si>
  <si>
    <t>Zacca, R, Azevedo, R, Chainok, P, Vilas-Boas, JP, Castro, FAdS, Pyne, DB, and Fernandes, RJ. Monitoring age-group swimmers over a training macrocycle: energetics, technique, and anthropometrics. J Strength Cond Res 34(3): 818-827, 2020-The aim of this study was to quantify changes and contributions of energetic, technique, and anthropometric profiles across the first training macrocycle (16-week) in a traditional 3-peak swimming season. Twenty-four age-group swimmers (10 boys and 14 girls age 14.4 ± 0.9 years) of equal maturational stage were monitored through a 400-m test in front crawl (T400). Energetic, technique, and anthropometric characteristics were compared before (experimental testing 1, E1) and after the preparatory (E2), specific (E3), and competitive (E4) training periods. Sex interaction was not significant for any variable. Multiple linear regressions and principal component analysis were used to identify the most influential variables and the relative contribution of each domain (energetics, technique, and anthropometrics) to changes in swimming performance of T400. The relative contributions for performance of T400 at E1, E2, E3, and E4 were 15, 12, 6, and 13% for energetics, 78, 85, 75, and 70% for technique, and 7, 3, 19 and 17% for anthropometrics, respectively. Technique played the main role during the first 16-week macrocycle in a competitive season, regardless of small fluctuations in the influence of energetics and anthropometrics. Changes and influence of energetics, technique, and anthropometric on age-group swimmers' performance could be described by the T400 swimming test, providing a comprehensive biophysical overview of the main contributors to swimming performance.</t>
  </si>
  <si>
    <t>https://search.ebscohost.com/login.aspx?direct=true&amp;db=mdc&amp;AN=30113917&amp;site=ehost-live</t>
  </si>
  <si>
    <t>Movement Competency Training Delivery: At School or Online? A Pilot Study of High-School Athletes.</t>
  </si>
  <si>
    <t>Rogers SA; Hassmén P; Roberts AH; Alcock A; Gilleard WL; Warmenhoven JS</t>
  </si>
  <si>
    <t>Sports (Basel, Switzerland)</t>
  </si>
  <si>
    <t>10.3390/sports8040039</t>
  </si>
  <si>
    <t>Movement competency (MC) development of high-school athletes can prepare them for the requirements of physical preparation training and the demands of sport. The aim of this study was to explore the physical effects of and athlete compliance to coach-led versus self-directed training approaches in this population. Thirty-nine high-school athletes (19 male, 14.5 ± 0.3 years old; 20 female, 14.6 ± 0.3 years) were allocated into two groups for a physical preparation program to improve MC. Groups were prescribed either (i) one face-to-face and one online (F2F, n = 18), or (ii) two online (OL, n = 21) sessions per week for 16-weeks. Before and after the intervention, the Athlete Introductory Movement Screen (AIMS) was used to assess MC alongside common physical capacity measures (triple-hop, star-excursion balance, medicine ball throw, 40m sprint and countermovement jump). Dropout left 22 participants with pre-post physical scores. Compliance with online training was low and F2F session attendance moderate. Semi-structured interviews were conducted to assess participant perceptions following the intervention. Assessing individual responses, the F2F group had a higher proportion of positive responders to AIMS scores, yet capacity measures were inconclusive across groups. Face-to-face coaching when acquiring MCs as part of physical preparation, may provide greater positive perceptions towards training compared to self-directed online prescriptions, and thereby greater compliance.</t>
  </si>
  <si>
    <t>https://search.ebscohost.com/login.aspx?direct=true&amp;db=mdc&amp;AN=32224945&amp;site=ehost-live</t>
  </si>
  <si>
    <t>Perceptions and use of recovery strategies: Do swimmers and coaches believe they are effective?</t>
  </si>
  <si>
    <t>Shell SJ; Slattery K; Clark B; Broatch JR; Halson S; Kellmann M; Coutts AJ</t>
  </si>
  <si>
    <t>10.1080/02640414.2020.1770925</t>
  </si>
  <si>
    <t>Athletes psychology; Fatigue prevention &amp; control; Mentoring; Myalgia prevention &amp; control; Perception; Swimming physiology; Swimming psychology; Adolescent; Adult; Cold Temperature; Competitive Behavior; Cool-Down Exercise; Female; Humans; Hydrotherapy; Immersion; Male; Muscle Fatigue; Physical Conditioning, Human; Sleep; Young Adult</t>
  </si>
  <si>
    <t>This study aimed to investigate swimmer's use and coach prescription of recovery strategies during training and competition while examining perceived challenges, barriers, and beliefs in the importance of their effectiveness. A mixed-methods sequential explanatory design was implemented. Thirty-seven male and 45 female sub-elite to elite swimmers (age 18 ± 3 y), and 4 male and 6 female coaches (age 40 ± 9 y) completed an online, 78-item recovery strategy survey. Swimmers and coaches responded to questions regarding when, why, and how they used recovery strategies, perceived challenges and barriers to strategy inclusion during training and competition. Data were coded and analysed thematically. Fisher's Exact Test was conducted on 5-point Likert scale responses. Most recovery strategies were used and prescribed more during competition. Swimmers reported active recovery as the most effective recovery strategy (44%), whereas coaches rated sleep or napping (40%). Swimmers and coaches perceived most recovery strategies to be more effective and important during competition than in training. Swimmers used, and coaches prescribed, recovery strategies more during the competition, highlighting the discrepancies in use between training and competition. Targeted education programmes should enhance athletes and coach's recovery knowledge and practical application of strategies, while accounting for individual sport and life demands.</t>
  </si>
  <si>
    <t>https://search.ebscohost.com/login.aspx?direct=true&amp;db=mdc&amp;AN=32475220&amp;site=ehost-live</t>
  </si>
  <si>
    <t>Pilot Study on the Reliability of the Coach's Eye: Identifying Talent Throughout a 4-Day Cadet Judo Camp.</t>
  </si>
  <si>
    <t>Roberts AH; Greenwood D; Humberstone C; Raynor AJ</t>
  </si>
  <si>
    <t>10.3389/fspor.2020.596369</t>
  </si>
  <si>
    <t>A typical assumption found in talent identification literature is that different coaches, given the same athletes and circumstances, will identify the same subset of athletes as "talented". However, while coaches play a major role during talent identification in practical sport settings, there is limited empirical research exploring the processes which underpin this. The purpose of this study was to explore the reliability of "the coach's eye" during the assessment of talent in a group of athletes. Specifically, this project compared inter-coach agreement between nine judo coaches (ages 35.8 ± 10.6 years) with varying levels of experience (12.9 ± 8.9 years) in the evaluation of 24 talented cadet judo athletes (13-15 years) at seven timepoints throughout a 4-day development training camp. Without discussion of their scores with other coaches, coaches provided a single score representing each athlete's "potential for future performance" on an 11-point Likert scale at each timepoint. Scores from each coach were converted into rankings from 1 to 24 to create a normalized scale to facilitate comparison of athletes. Based on their rankings at each timepoint, athletes were placed into one of three evenly distributed groups (high, medium, and low rank). Inter-coach agreement at each timepoint was determined by the number of coaches who ranked each athlete in the same group, categorized at three levels: 50, 75 or 100% agreement. Overall results showed that at completion of the camp, coaches reached 100% agreement on only two athletes, both of whom were in the high rank group. When inter-coach agreement was set at 50%, 15 athletes (62.5%) were placed into like groups. The first timepoint at which coaches were able to differentiate between the majority of athletes was Timepoint 3 (end of day 2). The findings suggest that, in isolation, coaches do not agree on the talent or potential of athletes. This indicates that the "coach's eye" is subjective and variable, and, given the same context, there is poor inter-coach agreement in the identification of talented athletes. In turn, these findings may have significant implications for both future talent identification research and athlete selection processes by sport organizations. Competing Interests: The authors declare that the research was conducted in the absence of any commercial or financial relationships that could be construed as a potential conflict of interest. Copyright © 2020 Roberts, Greenwood, Humberstone and Raynor.</t>
  </si>
  <si>
    <t>https://search.ebscohost.com/login.aspx?direct=true&amp;db=mdc&amp;AN=33345177&amp;site=ehost-live</t>
  </si>
  <si>
    <t>Rates and Correlates of Mental Health Symptoms in Currently Competing Elite Athletes from the Australian National High-Performance Sports System.</t>
  </si>
  <si>
    <t>Purcell R; Rice S; Butterworth M; Clements M</t>
  </si>
  <si>
    <t>10.1007/s40279-020-01266-z</t>
  </si>
  <si>
    <t>Australia; Athletes psychology; Mental Health; Psychological Distress; Adolescent; Adult; Alcohol Drinking; Australia epidemiology; Body Dissatisfaction; Cross-Sectional Studies; Female; Gambling; Humans; Male; Social Support; Young Adult</t>
  </si>
  <si>
    <t>Aims: Elite athletes are at risk of mental ill-health via exposure to sports-related stressors and the overlap in competitive playing years with the peak age of onset of mental ill-health. Despite this risk, there is a paucity of robust empirical data on mental health symptoms in currently competing athletes. The purpose of this study was to assess the prevalence and correlates of mental health symptoms in a representative, national sample of elite athletes and to compare rates against published community norms. Methods: A cross-sectional, anonymous, online survey was administered to all categorised (e.g. highest level) athletes, aged 17 years and older, registered with the Australian Institute of Sport (n = 1566). Main outcomes were self-reported scores on validated measures of psychological distress, probable 'caseness' (i.e. the experience of mental health symptoms that would usually warrant a need for care by a health professional), risky alcohol consumption, body weight and shape dissatisfaction, self-esteem, life satisfaction and problem gambling. Correlates of outcomes included demographic, individual vulnerability (e.g. social support, coping style) and sport-related variables. Results: The participation rate was 51.7% (n = 810), of whom 749 athletes completed most or all outcomes measures. Compared to published community norms, athletes were significantly more likely to report 'high to very high' psychological distress (9.5% vs 17.7%, respectively) and to meet the threshold for 'probable caseness' (19% vs 35%). In contrast, athletes reported significantly lower rates of risky alcohol consumption, problem gambling and body dissatisfaction compared to community norms, and conversely higher self-esteem and life satisfaction. The adjusted odds of psychological distress and caseness were increased in athletes who reported prior treatment for a mental health problem (OR = 1.28-2.84), inadequate social support (OR = - 2.59 to 0.37) and more recent adverse life events (OR = 0.61-1.32); while, the odds of risky alcohol consumption were lower in female athletes (OR = - 1.36) and para-athletes (OR = - 1.20). Conclusions: In a representative and national sample of currently competing elite athletes, inclusive of gender and para-status, psychological distress and probable caseness were elevated relative to community norms, although other aspects of functioning were as good as, if not better than, community peers. Sports medicine and mental health professionals working with elite athletes should screen for psychological distress in athletes who may otherwise appear to be well-functioning, to provide timely, optimal treatment.</t>
  </si>
  <si>
    <t>https://search.ebscohost.com/login.aspx?direct=true&amp;db=mdc&amp;AN=32026315&amp;site=ehost-live</t>
  </si>
  <si>
    <t>Reliability and Usefulness of Time-Motion and Physiological Responses in Simulated Judo Matches.</t>
  </si>
  <si>
    <t>Franchini E; Dunn E; Takito MY</t>
  </si>
  <si>
    <t>10.1519/JSC.0000000000002727</t>
  </si>
  <si>
    <t>Martial Arts physiology; Adult; Athletes; Heart Rate physiology; Humans; Lactic Acid blood; Male; Motion; Reproducibility of Results; Videotape Recording; Young Adult</t>
  </si>
  <si>
    <t>Franchini, E, Dunn, E, and Takito, MY. Reliability and usefulness of time-motion and physiological responses in simulated judo matches. J Strength Cond Res 34(9): 2557-2564, 2020-Match simulations have been used to investigate different interventions in judo. However, no study has assessed the reliability of actions performed and the physiological responses to the match and its usefulness. Thus, 2 studies were conducted to verify the reliability of time-motion and physiological responses to judo matches. In the first study, 25 judo athletes performed one 5-minute judo match simulation twice, 1 week apart, and had their heart rate and blood lactate measured. In the second, 12 judo athletes performed one 5-minute judo simulation 4 times, 72 hours apart, and had their primary actions and match temporal structure analyzed. Comparisons between conditions, reliability (using intraclass correlation coefficient, ICC), typical error (TE), smallest worthwhile change (SWC), and minimal detectable change were determined. The main findings indicated that: (a) there were no differences between matches for any variable; (b) ICCs were significant (except for blood lactate before matches in both studies) with 6 variables presenting large (number of attacks plus defensive actions, number of scoring actions, efficiency, number of sutemi-waza, time per combat sequence, and time per interval phase time), and the remaining 15 variables presenting very large reliability; (c) TE was higher than SWC for all variables when small differences were considered. Moderate changes in peak blood lactate and the change in blood lactate (in both studies), and time in tachi-waza could be properly detected; however, only large changes could be detected for all other variables, suggesting that investigations using match simulation as an outcome variable may only detect large changes.</t>
  </si>
  <si>
    <t>https://search.ebscohost.com/login.aspx?direct=true&amp;db=mdc&amp;AN=29985224&amp;site=ehost-live</t>
  </si>
  <si>
    <t>Repeat Application of Ischemic Preconditioning Improves Maximal 1,000-m Kayak Ergometer Performance in a Simulated Competition Format.</t>
  </si>
  <si>
    <t>Halley SL; Peeling P; Brown H; Sim M; Mallabone J; Dawson B; Binnie MJ</t>
  </si>
  <si>
    <t>10.1519/JSC.0000000000003748</t>
  </si>
  <si>
    <t>Halley, SL, Peeling, P, Brown, H, Sim, M, Mallabone, J, Dawson, B, and Binnie, MJ. Repeat application of ischemic preconditioning improves maximal 1,000-m kayak ergometer performance in a simulated competition format. J Strength Cond Res XX(X): 000-000, 2020-This study examined the effects of ischemic preconditioning (IPC) on repeat 1,000-m kayak ergometer time-trial (TT) performance, completed in a simulated competition format. Eight well-trained male kayak athletes performed 3 experimental trials, each consisting of two 1,000-m TTs separated by 80 minutes (TT 1 and TT 2). Trials included; (a) IPC (4 × 5 minutes 220 mm Hg alternating bilateral leg occlusion) 40 minutes before TT 1 only (IPC1); (b) IPC 40 minutes before TT 1 and 20 minutes before TT 2 (IPC2); and (c) no IPC (CON). Time, power, stroke rate, and expired gas variables (V[Combining Dot Above]O2 and accumulated oxygen deficit) were measured throughout each TT; blood gas variables (blood lactate, partial pressure of oxygen and blood pH) and rating of perceived exertion were measured before and after each effort. Physiological, perceptual, and physical measures were analyzed via a repeated measures analysis of variance with the level of significance set at p ≤ 0.05. There were large improvements in completion time for TT 1 in IPC1 (d = 1.24 ± 0.68, p &lt; 0.05) and IPC2 (d = 1.53 ± 0.99, p &lt; 0.05) versus CON. There was also a large improvement in TT 2 completion time in IPC2 versus CON (d = 1.26 ± 1.13, p = 0.03) whereas, IPC1 and CON were indifferent (d = 0.3 ± 0.54, p = 0.23). This study showed that a repeat application of IPC in a simulated competition format may offer further benefit in comparison to a single pre-exercise application of IPC.</t>
  </si>
  <si>
    <t>https://search.ebscohost.com/login.aspx?direct=true&amp;db=mdc&amp;AN=33065705&amp;site=ehost-live</t>
  </si>
  <si>
    <t>Resistance training upregulates skeletal muscle Na + , K + -ATPase content, with elevations in both α 1 and α 2 , but not β isoforms.</t>
  </si>
  <si>
    <t>Altarawneh MM; Petersen AC; Farr T; Garnham A; Broatch JR; Halson S; Bishop DJ; McKenna MJ</t>
  </si>
  <si>
    <t>10.1007/s00421-020-04408-3</t>
  </si>
  <si>
    <t>Muscle, Skeletal metabolism; Resistance Training; Sodium-Potassium-Exchanging ATPase genetics; Adaptation, Physiological; Adult; Humans; Male; Muscle, Skeletal physiology; Protein Isoforms genetics; Protein Isoforms metabolism; Sodium-Potassium-Exchanging ATPase metabolism; Up-Regulation</t>
  </si>
  <si>
    <t>Purpose: The Na + , K + -ATPase (NKA) is important in regulating trans-membrane ion gradients, cellular excitability and muscle function. We investigated the effects of resistance training in healthy young adults on the adaptability of NKA content and of the specific α and β isoforms in human skeletal muscle. Methods: Twenty-one healthy young males (22.9 ± 4.6 year; 1.80 ± 0.70 m, 85.1 ± 17.8 kg, mean ± SD) underwent 7 weeks of resistance training, training three times per week (RT, n = 16) or control (CON, n = 5). The training program was effective with a 39% gain in leg press muscle strength (p = 0.001). A resting vastus lateralis muscle biopsy was taken before and following RT or CON and assayed for NKA content ([ 3 H]ouabain binding site content) and NKA isoform (α 1 , α 2 , β 1, β 2 ) abundances. Results: After RT, each of NKA content (12%, 311 ± 76 vs 349 ± 76 pmol g wet weight -1 , p = 0.01), NKA α 1 (32%, p = 0.01) and α 2 (10%, p &lt; 0.01) isoforms were increased, whereas β 1 (p = 0.18) and β 2 (p = 0.22) isoforms were unchanged. NKA content and isoform abundances were unchanged during CON. Conclusions: Resistance training increased muscle NKA content through upregulation of both α 1 and α 2 isoforms, which were independent of β isoform changes. In animal models, modulations in α 1 and α 2 isoform abundances in skeletal muscle may affect fatigue resistance during exercise, muscle hypertrophy and strength. Whether similar in-vivo functional benefits of these NKA isoform adaptations occurs in human muscle with resistance training remains to be determined.</t>
  </si>
  <si>
    <t>https://search.ebscohost.com/login.aspx?direct=true&amp;db=mdc&amp;AN=32500280&amp;site=ehost-live</t>
  </si>
  <si>
    <t>Rib stress injuries in the 2012-2016 (Rio) Olympiad: a cohort study of 151 Australian Rowing Team athletes for 88 773 athlete days.</t>
  </si>
  <si>
    <t>Harris R; Trease L; Wilkie K; Drew M</t>
  </si>
  <si>
    <t>10.1136/bjsports-2019-101584</t>
  </si>
  <si>
    <t>Australia; Competitive Behavior physiology; Fractures, Stress epidemiology; Rib Fractures epidemiology; Water Sports injuries; Australia epidemiology; Female; Fractures, Stress diagnostic imaging; Humans; Incidence; Magnetic Resonance Imaging; Male; Prevalence; Retrospective Studies; Return to Sport; Rib Fractures diagnostic imaging; Sex Distribution; Time Factors; Tomography, X-Ray Computed; Ultrasonography</t>
  </si>
  <si>
    <t>Aim: To describe the demographics, frequency, location, imaging modality and clinician-identified factors of rib stress injury in a cohort of elite rowers over the Rio Olympiad (2012-2016). Methods: Analysis of prospectively recorded medical records for the Australian Rowing Team in 2013-2015 and the combined Australian Rowing Team and Olympic Shadow Squad in 2016, examining all rib stress injuries. Results: 19 rib stress injuries (12 reactions and 7 fractures) were identified among a cohort of 151 athletes and included 12 female and 7 male cases, 11 open weight, 8 lightweight, 12 scull and 7 sweep cases. The most common locations of injury identified by imaging, were the mid-axillary line and rib 6. Period prevalence varied from 4% to 15.4% and incidence ranged from 0.27 to 0.13 per 1000 athlete days. There were no significant differences in prevalence by sex, sweep versus scull or weight class. There was a statistically significant increase in incidence in the pre-Olympic year (2015, p&lt;0.001). MRI was the most commonly used modality for diagnosis. Stress fracture resulted in median 69 (IQR 56-157) and bone stress reaction resulted in 57 (IQR 45-78) days lost to full on water training. Conclusions: In our 4-year report of rib stress injury in elite rowing athletes, period prevalence was consistent with previous reports and time lost (median ~10 weeks) was greater than previously published literature. Rib stress injury limits training and performance in elite rowers and MRI should be considered as a first line investigation. Competing Interests: Competing interests: None declared. © Author(s) (or their employer(s)) 2020. No commercial re-use. See rights and permissions. Published by BMJ.</t>
  </si>
  <si>
    <t>https://search.ebscohost.com/login.aspx?direct=true&amp;db=mdc&amp;AN=31959675&amp;site=ehost-live</t>
  </si>
  <si>
    <t>Shape is only a weak predictor of deep knee flexion kinematics in healthy and osteoarthritic knees.</t>
  </si>
  <si>
    <t>Lynch JT; Perriman DM; Scarvell JM; Pickering MR; Warmenhoven J; Galvin CR; Neeman T; Besier TF; Smith PN</t>
  </si>
  <si>
    <t>Journal of orthopaedic research : official publication of the Orthopaedic Research Society</t>
  </si>
  <si>
    <t>10.1002/jor.24622</t>
  </si>
  <si>
    <t>Wiley</t>
  </si>
  <si>
    <t>Knee Joint physiology; Osteoarthritis, Knee physiopathology; Aged; Biomechanical Phenomena; Case-Control Studies; Female; Humans; Male; Middle Aged; Principal Component Analysis</t>
  </si>
  <si>
    <t>Tibiofemoral shape influences knee kinematics but little is known about the effect of shape on deep knee flexion kinematics. The aim of this study was to examine the association between tibiofemoral joint shape and kinematics during deep kneeling in patients with and without osteoarthritis (OA). Sixty-one healthy participants and 58 patients with end-stage knee OA received a computed tomography (CT) of their knee. Participants completed full flexion kneeling while being imaged using single-plane fluoroscopy. Six-degree-of-freedom kinematics were measured by registering a three-dimensional (3D)-static CT onto 2D-dynamic fluoroscopic images. Statistical shape modeling and bivariate functional principal component analysis (bfPCA) were used to describe variability in knee shape and kinematics, respectively. Random-forest-regression models were created to test the ability of shape to predict kinematics controlling for body mass index, sex, and group. The first seven modes of the shape model up to three modes of the bfPCAs captured more than 90% of the variation. The ability of the random forest models to predict kinematics from shape was low, with no more than 50% of the variation being explained in any model. Furthermore, prediction errors were high, ranging between 24.2% and 29.4% of the data. Variations in the bony morphology of the tibiofemoral joint were weakly associated with the kinematics of deep knee flexion. The models only explained a small amount of variation in the data with high error rates indicating that additional predictors need to be identified. These results contribute to the clinical understanding of knee kinematics and potentially the expectations placed on high-flexion total knee replacement design. © 2020 Orthopaedic Research Society. Published by Wiley Periodicals, Inc.</t>
  </si>
  <si>
    <t>https://search.ebscohost.com/login.aspx?direct=true&amp;db=mdc&amp;AN=32017242&amp;site=ehost-live</t>
  </si>
  <si>
    <t>Spatial muscle activation patterns during different leg exercise protocols in physically active adults using muscle functional MRI: a systematic review.</t>
  </si>
  <si>
    <t>Dooley K; Snodgrass SJ; Stanwell P; Birse S; Schultz A; Drew MK; Edwards S</t>
  </si>
  <si>
    <t>10.1152/japplphysiol.00290.2020</t>
  </si>
  <si>
    <t>Hamstring Muscles diagnostic imaging; Leg; Adult; Electromyography; Exercise; Exercise Therapy; Humans; Magnetic Resonance Imaging; Meta-Analysis as Topic; Muscle, Skeletal</t>
  </si>
  <si>
    <t>An emerging method to measure muscle activation patterns is muscle functional magnetic resonance imaging (mfMRI), where preexercise and postexercise muscle metabolism differences indicate spatial muscle activation patterns. We evaluated studies employing mfMRI to determine activation patterns of lumbar or lower limb muscles following exercise in physically active adults. Electronic systematic searches were conducted until March 2020. All studies employing ≥1.5 Tesla MRI scanners to compare spatial muscle activation patterns at the level of or inferior to the first lumbar vertebra in healthy, active adults. Two authors independently assessed study eligibility before appraising methodological quality using a National Institutes of Health assessment tool. Because of heterogeneity, findings were synthesized without meta-analysis. Of the 1,946 studies identified, seven qualified for inclusion and pertained to hamstring ( n = 5), quadriceps ( n = 1) or extrinsic foot ( n = 1) muscles. All included studies controlled for internal validity, with one employing assessor blinding. MRI physics and differing research questions explain study methodology heterogeneity. Significant mfMRI findings were: following Nordic exercise, hamstrings with previous trauma (strain or surgical autograft harvest) demonstrated reduced activation compared with unharmed contralateral muscles, and asymptomatic individuals preferentially activated semitendinosus; greater biceps femoris long head to semitendinosus ratios reported following 45° hip extension over Nordic exercise; greater rectus femoris activation occurred in "flywheel" over barbell squats. mfMRI parameters differ on the basis of individual research questions. Individual muscles show greater activation following specific exercises, suggesting exercise specificity may be important for rehabilitation, although evidence is limited to single cohort studies comparing interlimb differences preexercise versus postexercise.</t>
  </si>
  <si>
    <t>https://search.ebscohost.com/login.aspx?direct=true&amp;db=mdc&amp;AN=32853111&amp;site=ehost-live</t>
  </si>
  <si>
    <t>Sports Dietitians Australia Position Statement: Nutrition for Exercise in Hot Environments.</t>
  </si>
  <si>
    <t>McCubbin AJ; Allanson BA; Caldwell Odgers JN; Cort MM; Costa RJS; Cox GR; Crawshay ST; Desbrow B; Freney EG; Gaskell SK; Hughes D; Irwin C; Jay O; Lalor BJ; Ross MLR; Shaw G; Périard JD; Burke LM</t>
  </si>
  <si>
    <t>10.1123/ijsnem.2019-0300</t>
  </si>
  <si>
    <t>Australia; Athletic Performance physiology; Exercise physiology; Heat Stress Disorders prevention &amp; control; Hot Temperature; Sports Nutritional Physiological Phenomena; Acclimatization; Australia; Body Temperature Regulation; Clothing; Competitive Behavior physiology; Dehydration physiopathology; Dehydration prevention &amp; control; Fluid Therapy; Gastrointestinal Tract physiopathology; Heat Stress Disorders physiopathology; Humans; Humidity; Nutritional Requirements; Water-Electrolyte Balance</t>
  </si>
  <si>
    <t>It is the position of Sports Dietitians Australia (SDA) that exercise in hot and/or humid environments, or with significant clothing and/or equipment that prevents body heat loss (i.e., exertional heat stress), provides significant challenges to an athlete's nutritional status, health, and performance. Exertional heat stress, especially when prolonged, can perturb thermoregulatory, cardiovascular, and gastrointestinal systems. Heat acclimation or acclimatization provides beneficial adaptations and should be undertaken where possible. Athletes should aim to begin exercise euhydrated. Furthermore, preexercise hyperhydration may be desirable in some scenarios and can be achieved through acute sodium or glycerol loading protocols. The assessment of fluid balance during exercise, together with gastrointestinal tolerance to fluid intake, and the appropriateness of thirst responses provide valuable information to inform fluid replacement strategies that should be integrated with event fuel requirements. Such strategies should also consider fluid availability and opportunities to drink, to prevent significant under- or overconsumption during exercise. Postexercise beverage choices can be influenced by the required timeframe for return to euhydration and co-ingestion of meals and snacks. Ingested beverage temperature can influence core temperature, with cold/icy beverages of potential use before and during exertional heat stress, while use of menthol can alter thermal sensation. Practical challenges in supporting athletes in teams and traveling for competition require careful planning. Finally, specific athletic population groups have unique nutritional needs in the context of exertional heat stress (i.e., youth, endurance/ultra-endurance athletes, and para-sport athletes), and specific adjustments to nutrition strategies should be made for these population groups.</t>
  </si>
  <si>
    <t>https://search.ebscohost.com/login.aspx?direct=true&amp;db=mdc&amp;AN=31891914&amp;site=ehost-live</t>
  </si>
  <si>
    <t>Sports nutrition for the recreational athlete.</t>
  </si>
  <si>
    <t>Desbrow B; Slater G; Cox GR</t>
  </si>
  <si>
    <t>Australian journal of general practice</t>
  </si>
  <si>
    <t>10.31128/AJGP-10-19-5108</t>
  </si>
  <si>
    <t>Royal Australian College of General Practitioners</t>
  </si>
  <si>
    <t>Athletes; Feeding Behavior physiology; Recreation physiology; Sports Nutritional Sciences trends; Humans</t>
  </si>
  <si>
    <t>Background: Recreational sports participation provides many potential health benefits. However, some athletes experience medical problems associated with, or exacerbated by, a mismanagement of the relationship between their diet and sporting endeavours. Objective: The aim of this article is to highlight recent developments in clinical sports nutrition, with a focus on providing evidence-based advice and resources for the management of common medical presentations. Discussion: A low dietary energy intake relative to exercise energy demands (ie low energy availability) may result in an array of medical issues. An evidence-based framework for advice on sports supplements is available.</t>
  </si>
  <si>
    <t>https://search.ebscohost.com/login.aspx?direct=true&amp;db=mdc&amp;AN=32008270&amp;site=ehost-live</t>
  </si>
  <si>
    <t>Studying the effects of asymmetry on freestyle swimming using smoothed particle hydrodynamics.</t>
  </si>
  <si>
    <t>Cohen RCZ; Cleary PW; Mason BR; Pease DL</t>
  </si>
  <si>
    <t>Computer methods in biomechanics and biomedical engineering</t>
  </si>
  <si>
    <t>10.1080/10255842.2020.1718663</t>
  </si>
  <si>
    <t>Hydrodynamics; Swimming physiology; Athletes; Biomechanical Phenomena; Computer Simulation; Hand; Humans; Male; Models, Biological; Time Factors</t>
  </si>
  <si>
    <t>The use of asymmetrical strokes is common in freestyle swimming because of breathing and strength laterality. In this study, the asymmetrical freestyle swimming performance of a male elite level swimmer who breathed every second arm stroke (unilaterally) was investigated. A laser body scan and multi-angle video footage of the athlete were used to generate a swimming biomechanical model. This model was then used in a Smoothed Particle Hydrodynamics (SPH) fluid simulation of swimming through a virtual pool. The results from this study enabled the kinematic asymmetry to be related to the consequential fluid dynamic asymmetry. The intra-cyclic fluctuations in the streamwise forces and speed were also examined. Hand angles of attack were compared along with the lift and drag contributions of the hands to generating the streamwise thrust. From this study, connections between asymmetry and the resultant swimming performance were identified.</t>
  </si>
  <si>
    <t>https://search.ebscohost.com/login.aspx?direct=true&amp;db=mdc&amp;AN=32054321&amp;site=ehost-live</t>
  </si>
  <si>
    <t>Technical Determinants of On-Water Rowing Performance.</t>
  </si>
  <si>
    <t>10.3389/fspor.2020.589013</t>
  </si>
  <si>
    <t>Purpose: Research establishing relationships between measures of rowing technique and velocity is limited. In this study, measures of technique and their effect on rowing velocity were investigated. Methods: Ten male singles, eight female singles, three male pairs, and six female pairs participated. Data from each stroke for forty-seven 2,000 m races were collected using Peach PowerLine and OptimEye S5 GPS units. General linear mixed modeling established modifying effects on velocity of two within-crew SD of predictor variables for each boat class, with subsequent adjustment for power, and for power and stroke rate in separate analyses. Twenty-two predictor variables were analyzed, including measures of boat velocity, gate force, and gate angle. Results were interpreted using superiority and inferiority testing with a smallest important change in velocity of 0.3%. Results: Substantial relationships with velocity were found between most variables assessed before adjustment for power, and for power and stroke rate. Effect magnitudes were reduced for most variables after adjustment for power and further reduced after adjustment for stroke rate and power, with precision becoming inadequate in many effects. The greatest modifying effects were found for stroke rate, mean and peak force, and power output before adjustment, and for catch angle after adjustment for stroke rate and power. Substantial between-crew differences in effects were evident for most predictors in some boat classes before adjustment and in some predictors and some boat classes after adjustment for stroke rate and power. Conclusion: The results presented reveal variables associated with improvements in rowing performance and can be used to guide technical analysis and feedback by practitioners. Higher stroke rates and greater catch angles should be targeted to improve rowing performance, and rower force development for the improvement of power output. Relationships between rowing technique and velocity can be crew-dependent and are best assessed on an individual basis for some variables. Competing Interests: The authors declare that the research was conducted in the absence of any commercial or financial relationships that could be construed as a potential conflict of interest. Copyright © 2020 Holt, Aughey, Ball, Hopkins and Siegel.</t>
  </si>
  <si>
    <t>https://search.ebscohost.com/login.aspx?direct=true&amp;db=mdc&amp;AN=33345160&amp;site=ehost-live</t>
  </si>
  <si>
    <t>The Australian Institute of Sport (AIS) and National Eating Disorders Collaboration (NEDC) position statement on disordered eating in high performance sport.</t>
  </si>
  <si>
    <t>Wells KR; Jeacocke NA; Appaneal R; Smith HD; Vlahovich N; Burke LM; Hughes D</t>
  </si>
  <si>
    <t>10.1136/bjsports-2019-101813</t>
  </si>
  <si>
    <t>Athletes psychology; Feeding and Eating Disorders diagnosis; Feeding and Eating Disorders therapy; Body Composition; Body Image; Body Weight; Bone Density; Family; Feeding and Eating Disorders epidemiology; Feeding and Eating Disorders prevention &amp; control; Female; Humans; Male; Nutrition Assessment; Patient Care Team; Prevalence; Social Support</t>
  </si>
  <si>
    <t>Identification, evaluation and management of disordered eating (DE) is complex. DE exists along the spectrum from optimised nutrition through to clinical eating disorders (EDs). Individual athletes can move back and forth along the spectrum of eating behaviour at any point in time over their career and within different stages of a training cycle. Athletes are more likely to present with DE than a clinical ED. Overall, there is a higher prevalence of DE and EDs in athletes compared with non-athletes. Additionally, athletes participating in aesthetic, gravitational and weight-class sports are at higher risk of DE and EDs than those in sports without these characteristics. The evaluation and management of DE requires a cohesive team of professional practitioners consisting of, at minimum, a doctor, a sports dietitian and a psychologist, termed within this statement as the core multidisciplinary team. The Australian Institute of Sport and the National Eating Disorders Collaboration have collaborated to provide this position statement, containing guidelines for athletes, coaches, support staff, clinicians and sporting organisations. The guidelines support the prevention and early identification of DE, and promote timely intervention to optimise nutrition for performance in a safe, supported, purposeful and individualised manner. This position statement is a call to action to all involved in sport to be aware of poor self-image and poor body image among athletes. The practical recommendations should guide the clinical management of DE in high performance sport. Competing Interests: Competing interests: None declared. © Author(s) (or their employer(s)) 2020. Re-use permitted under CC BY-NC. No commercial re-use. See rights and permissions. Published by BMJ.</t>
  </si>
  <si>
    <t>https://search.ebscohost.com/login.aspx?direct=true&amp;db=mdc&amp;AN=32661127&amp;site=ehost-live</t>
  </si>
  <si>
    <t>The Australian Institute of Sport framework for rebooting sport in a COVID-19 environment.</t>
  </si>
  <si>
    <t>Hughes D; Saw R; Perera NKP; Mooney M; Wallett A; Cooke J; Coatsworth N; Broderick C</t>
  </si>
  <si>
    <t>10.1016/j.jsams.2020.05.004</t>
  </si>
  <si>
    <t>Australia; Coronavirus Infections; Pandemics; Pneumonia, Viral; Return to Sport standards; Sports; Australia; Basic Reproduction Number; Betacoronavirus; COVID-19; Communicable Disease Control; Decision Making; Guidelines as Topic; Humans; Public Health; SARS-CoV-2</t>
  </si>
  <si>
    <t>Sport makes an important contribution to the physical, psychological and emotional well-being of Australians. The economic contribution of sport is equivalent to 2-3% of Gross Domestic Product (GDP). The COVID-19 pandemic has had devastating effects on communities globally, leading to significant restrictions on all sectors of society, including sport. Resumption of sport can significantly contribute to the re-establishment of normality in Australian society. The Australian Institute of Sport (AIS), in consultation with sport partners (National Institute Network (NIN) Directors, NIN Chief Medical Officers (CMOs), National Sporting Organisation (NSO) Presidents, NSO Performance Directors and NSO CMOs), has developed a framework to inform the resumption of sport. National Principles for Resumption of Sport were used as a guide in the development of 'the AIS Framework for Rebooting Sport in a COVID-19 Environment' (the AIS Framework); and based on current best evidence, and guidelines from the Australian Federal Government, extrapolated into the sporting context by specialists in sport and exercise medicine, infectious diseases and public health. The principles outlined in this document apply to high performance/professional, community and individual passive (non-contact) sport. The AIS Framework is a timely tool of minimum baseline of standards, for 'how' reintroduction of sport activity will occur in a cautious and methodical manner, based on the best available evidence to optimise athlete and community safety. Decisions regarding the timing of resumption (the 'when') of sporting activity must be made in close consultation with Federal, State/Territory and/or Local Public Health Authorities. The priority at all times must be to preserve public health, minimising the risk of community transmission. Copyright © 2020. Published by Elsevier Ltd.</t>
  </si>
  <si>
    <t>https://search.ebscohost.com/login.aspx?direct=true&amp;db=mdc&amp;AN=32451268&amp;site=ehost-live</t>
  </si>
  <si>
    <t>The Challenge of Maintaining Metabolic Health During a Global Pandemic.</t>
  </si>
  <si>
    <t>King AJ; Burke LM; Halson SL; Hawley JA</t>
  </si>
  <si>
    <t>10.1007/s40279-020-01295-8</t>
  </si>
  <si>
    <t>Coronavirus Infections; Health Behavior; Healthy Lifestyle; Pandemics; Pneumonia, Viral; Betacoronavirus; COVID-19; Diet; Energy Intake; Energy Metabolism; Exercise; Humans; Quarantine; SARS-CoV-2; Sleep; Social Isolation</t>
  </si>
  <si>
    <t>The ongoing global pandemic brought on by the spread of the novel coronavirus SARS-CoV-2 is having profound effects on human health and well-being. With no viable vaccine presently available and the virus being rapidly transmitted, governments and national health authorities have acted swiftly, recommending 'lockdown' policies and/or various levels of social restriction/isolation to attenuate the rate of infection. An immediate consequence of these strategies is reduced exposure to daylight, which can result in marked changes in patterns of daily living such as the timing of meals, and sleep. These disruptions to circadian biology have severe cardiometabolic health consequences for susceptible individuals. We discuss the consequences of reductions in patterns of daily physical activity and the resulting energy imbalance induced by periods of isolation, along with several home-based strategies to maintain cardiometabolic health in the forthcoming months.</t>
  </si>
  <si>
    <t>https://search.ebscohost.com/login.aspx?direct=true&amp;db=mdc&amp;AN=32449141&amp;site=ehost-live</t>
  </si>
  <si>
    <t>The Free Achilles Tendon Is Shorter, Stiffer, Has Larger Cross-Sectional Area and Longer T2 * Relaxation Time in Trained Middle-Distance Runners Compared to Healthy Controls.</t>
  </si>
  <si>
    <t>Devaprakash D; Obst SJ; Lloyd DG; Barrett RS; Kennedy B; Ball I; Adams KL; Collings TJ; Davico G; Hunter A; Vlahovich N; Pease DL; Pizzolato C</t>
  </si>
  <si>
    <t>10.3389/fphys.2020.00965</t>
  </si>
  <si>
    <t>Tendon geometry and tissue properties are important determinants of tendon function and injury risk and are altered in response to ageing, disease, and physical activity levels. The purpose of this study was to compare free Achilles tendon geometry and mechanical properties between trained elite/sub-elite middle-distance runners and a healthy control group. Magnetic resonance imaging (MRI) was used to measure free Achilles tendon volume, length, average cross-sectional area (CSA), regional CSA, moment arm, and T2 * relaxation time at rest, while freehand three-dimensional ultrasound (3DUS) was used to quantify free Achilles tendon mechanical stiffness, Young's modulus, and length normalised mechanical stiffness. The free Achilles tendon in trained runners was significantly shorter and the average and regional CSA (distal end) were significantly larger compared to the control group. Mechanical stiffness of the free Achilles tendon was also significantly higher in trained runners compared to controls, which was explained by the group differences in tendon CSA and length. T2 * relaxation time was significantly longer in trained middle-distance runners when compared to healthy controls. There was no relationship between T2 * relaxation time and Young's modulus. The longer T2 * relaxation time in trained runners may be indicative of accumulated damage, disorganised collagen, and increased water content in the free Achilles tendon. A short free Achilles tendon with large CSA and higher mechanical stiffness may enable trained runners to rapidly transfer high muscle forces and possibly reduce the risk of tendon damage from mechanical fatigue. Copyright © 2020 Devaprakash, Obst, Lloyd, Barrett, Kennedy, Ball, Adams, Collings, Davico, Hunter, Vlahovich, Pease and Pizzolato.</t>
  </si>
  <si>
    <t>https://search.ebscohost.com/login.aspx?direct=true&amp;db=mdc&amp;AN=32973544&amp;site=ehost-live</t>
  </si>
  <si>
    <t>The impact of different training load quantification and modelling methodologies on performance predictions in elite swimmers.</t>
  </si>
  <si>
    <t>Mitchell LJG; Rattray B; Fowlie J; Saunders PU; Pyne DB</t>
  </si>
  <si>
    <t>10.1080/17461391.2020.1719211</t>
  </si>
  <si>
    <t>Athletic Performance physiology; Models, Theoretical; Neural Networks, Computer; Physical Exertion physiology; Swimming physiology; Female; Humans; Male; Muscle Strength; Young Adult</t>
  </si>
  <si>
    <t>The use of rolling averages to analyse training data has been debated recently. We evaluated two training load quantification methods (five-zone, seven-zone) fitted to performances over two race distances (50 and 100 m) using four separate longitudinal models (Banister, Busso. rolling averages and exponentially weighted rolling averages) for three swimmers ranked in the top 8 in the world. A total of 1610 daily load measures and 108 performances were collected. Banister (standard error of the estimate (SEE) 0.64 and 0.62 s; five-zone and seven-zone quantification methods), Busso (SEE 0.73 and 0.70 s) and exponentially weighted rolling averages (SEE 0.57 and 0.63 s) models fitted more accurately ( p &lt; 0.001) than the rolling averages approach (SEE 1.32 and 1.36 s). The seven-zone quantification method did not produce more accurate performance predictions than the five-zone method, despite being a more detailed form of training load quantification. Four neural network models were fitted and had a lower error (SEE 0.38, 0.41, 0.35 and 0.60 s) than all longitudinal models, but did not track as predictably over time. Exponentially weighted impulse-response models and exponentially weighted rolling averages appear more effective at predicting performance using training load data in elite swimmers than a rolling averages approach.</t>
  </si>
  <si>
    <t>https://search.ebscohost.com/login.aspx?direct=true&amp;db=mdc&amp;AN=31955652&amp;site=ehost-live</t>
  </si>
  <si>
    <t>The influence of upper-body mechanics, anthropometry and isokinetic strength on performance in wrist-spin cricket bowling.</t>
  </si>
  <si>
    <t>Spratford W; Elliott B; Portus M; Brown N; Alderson J</t>
  </si>
  <si>
    <t>10.1080/02640414.2019.1696265</t>
  </si>
  <si>
    <t>Anthropometry; Athletic Performance physiology; Cricket Sport physiology; Motor Skills physiology; Muscle Strength physiology; Upper Extremity physiology; Adolescent; Adult; Humans; Male; Pelvis physiology; Range of Motion, Articular physiology; Rotation; Thorax physiology; Time and Motion Studies; Young Adult</t>
  </si>
  <si>
    <t>Delivering a cricket ball with a wrist-spin (WS) bowling technique is considered one of the game's most difficult skills. Limited biomechanical information exists for WS bowlers across skill levels. The purpose of this study was to compare biomechanical, isokinetic strength and anthropometric measures between elite (12) and pathway bowlers (eight). Data were collected using a motion analysis system, dynamometer and a level-two anthropometrist. A regression analysis identified that performance was best explained by increased wrist radial deviation torque and longitudinal axis rotational moments at the shoulder and wrist. From back foot impact (BFI) to ball release (BR), elite bowlers rotated their trunks less, experienced less trunk deceleration resulting in a more front-on position and increased pelvis rotation angular velocity. They also displayed an increased shoulder internal rotation moment as the upper arm moved from external into internal rotation and was a major contributor in the subsequent differences observed in the distal segments of the bowling limb. Anthropometric differences were observed at the wrist and finger joints and may be used to form the basis for talent identification programmes. This study highlights the important contribution to bowling performance of the musculature responsible for producing long axis rotations of the bowling limb.</t>
  </si>
  <si>
    <t>https://search.ebscohost.com/login.aspx?direct=true&amp;db=mdc&amp;AN=31766951&amp;site=ehost-live</t>
  </si>
  <si>
    <t>Thirty-seven jump-landing biomechanical variables are associated with asymptomatic patellar tendon abnormality and patellar tendinopathy: A systematic review.</t>
  </si>
  <si>
    <t>Harris M; Schultz A; Drew MK; Rio E; Adams S; Edwards S</t>
  </si>
  <si>
    <t>10.1016/j.ptsp.2020.03.011</t>
  </si>
  <si>
    <t>Asymptomatic Diseases; Exercise Test; Patellar Ligament physiopathology; Tendinopathy physiopathology; Biomechanical Phenomena; Humans</t>
  </si>
  <si>
    <t>Objective: To identify studies that report three-dimensional (3D) biomechanical analysis of jump-landing tasks in relation to athletes with current patellar tendinopathy (PT), and/or asymptomatic with history of PT or patellar tendon abnormality (PTA) on diagnostic imaging. Methods: Five electronic databases were searched. Included articles were required to: (1) investigate the 3D biomechanics of a jump-landing task; (2) be cross-sectional or longitudinal in design; and (3) include participants that had symptomatic PT, were asymptomatic with a history of PT, asymptomatic with PTA on diagnostic imaging and/or asymptomatic with an unknown pathology or PT history. Results: Thirty-seven statistically significant jump-landing variables were associated with PT, history of PT and/or PTA. The only consistent variable that could be replicated between studies was knee flexion angle at initial foot-ground contact (IC) and an altered hip flexion/extension strategy during a horizontal land phase of a vertical stop-jump. Conclusion: Isolated vertical landings or take-offs alone may not be sensitive enough to identify key jump-landing variables associated with PT, thus clinicians and researchers should incorporate a whole jump-landing task with a horizontal landing component. Sagital plane hip and knee kinematics in a horizontal landing phase appear to provide the most valuable information for evaluating those with PT. Competing Interests: Declaration of competing interest None declared. Copyright © 2020 Elsevier Ltd. All rights reserved.</t>
  </si>
  <si>
    <t>https://search.ebscohost.com/login.aspx?direct=true&amp;db=mdc&amp;AN=32622328&amp;site=ehost-live</t>
  </si>
  <si>
    <t>Training Load and Its Role in Injury Prevention, Part I: Back to the Future.</t>
  </si>
  <si>
    <t>Impellizzeri FM; Menaspà P; Coutts AJ; Kalkhoven J; Menaspà MJ</t>
  </si>
  <si>
    <t>Journal of athletic training</t>
  </si>
  <si>
    <t>10.4085/1062-6050-500-19</t>
  </si>
  <si>
    <t>National Athletic Trainers' Association</t>
  </si>
  <si>
    <t>Athletic Injuries prevention &amp; control; Exercise physiology; Physical Conditioning, Human methods; Physical Conditioning, Human trends; Risk Adjustment methods; Risk Management standards; Athletic Injuries etiology; Athletic Injuries physiopathology; Cumulative Trauma Disorders prevention &amp; control; Humans; Needs Assessment; Research Design; Sports Medicine trends</t>
  </si>
  <si>
    <t>The purpose of this 2-part commentary series is† to explain why we believe our ability to control injury risk by manipulating training load (TL) in its current state is an illusion and why the foundations of this illusion are weak and unreliable. In part 1, we introduce the training process framework and contextualize the role of TL monitoring in the injury-prevention paradigm. In part 2, we describe the conceptual and methodologic pitfalls of previous authors who associated TL and injury in ways that limited their suitability for the derivation of practical recommendations. The first important step in the training process is developing the training program: the practitioner develops a strategy based on available evidence, professional knowledge, and experience. For decades, exercise strategies have been based on the fundamental training principles of overload and progression. Training-load monitoring allows the practitioner to determine whether athletes have completed training as planned and how they have coped with the physical stress. Training load and its associated metrics cannot provide a quantitative indication of whether particular load progressions will increase or decrease the injury risk, given the nature of previous studies (descriptive and at best predictive) and their methodologic weaknesses. The overreliance on TL has moved the attention away from the multifactorial nature of injury and the roles of other important contextual factors. We argue that no evidence supports the quantitative use of TL data to manipulate future training with the purpose of preventing injury. Therefore, determining "how much is too much" and how to properly manipulate and progress TL are currently subjective decisions based on generic training principles and our experience of adjusting training according to an individual athlete's response. Our message to practitioners is to stop seeking overly simplistic solutions to complex problems and instead embrace the risks and uncertainty inherent in the training process and injury prevention. © by the National Athletic Trainers' Association, Inc.</t>
  </si>
  <si>
    <t>https://search.ebscohost.com/login.aspx?direct=true&amp;db=mdc&amp;AN=32991701&amp;site=ehost-live</t>
  </si>
  <si>
    <t>Unilateral and Bilateral Lower-Body Resistance Training Does not Transfer Equally to Sprint and Change of Direction Performance.</t>
  </si>
  <si>
    <t>Appleby BB; Cormack SJ; Newton RU</t>
  </si>
  <si>
    <t>10.1519/JSC.0000000000003035</t>
  </si>
  <si>
    <t>Athletic Performance physiology; Muscle Strength; Resistance Training; Running physiology; Acceleration; Adaptation, Physiological; Adolescent; Adult; Algorithms; Exercise Test; Humans; Male; Posture; Young Adult</t>
  </si>
  <si>
    <t>Appleby, BB, Cormack, SJ, and Newton, RU. Unilateral and bilateral lower-body resistance training does not transfer equally to sprint and change of direction performance. J Strength Cond Res 34(1): 54-64, 2020-Given maximal strength can be developed using bilateral or unilateral resistance training, the purpose of this study was to determine the magnitude of transfer of unilateral or bilateral resistance training to sprint and change of direction (COD) performance. Thirty-three trained participants (average training age = 5.4 ± 2.9 years and 1 repetition maximum [1RM] 90° squat = 177.6 ± 26.7 kg) completed either a bilateral group (BIL, n = 13), unilateral (UNI, n = 10), or comparison (COM, n = 10) 18-week randomized controlled training design. Training involved 2 lower-body, volume-load-matched resistance sessions per week (6-8 sets × 4-8 reps at 45-88% 1RM), differing only in the prescription of a bilateral (squat) or unilateral (step-up) resistance exercise. Strength was assessed through 1RM squat and step-up, in addition to 20-m sprint and a customized 50° COD test. The effect size statistic ± 90% confidence limit (ES ± CL) was calculated to examine the magnitude of difference within and between groups at each time point. BIL and UNI groups improved their trained and nontrained strength exercise with an unclear difference in adaptation of squat strength (ES = -0.34 + 0.55). Both groups improved 20-m sprint (ES: BIL = -0.38 ± 0.49 and UNI = -0.31 ± 0.31); however, the difference between the groups was unclear (ES = 0.07 ± 0.58). Although both groups had meaningful improvements in COD performance, bilateral resistance training had a greater transfer to COD performance than unilateral resistance training (between-groups ES = 0.59 ± 0.64). Both bilateral and unilateral training improved maximal lower-body strength and sprint acceleration. However, the BIL group demonstrated superior improvements in COD performance. This finding potentially highlights the importance of targeting the underlying physiological stimulus that drives adaptation and not exercise selection based on movement specificity of the target performance.</t>
  </si>
  <si>
    <t>https://search.ebscohost.com/login.aspx?direct=true&amp;db=mdc&amp;AN=30844983&amp;site=ehost-live</t>
  </si>
  <si>
    <t>Use and perception of breast protective equipment by female contact football players.</t>
  </si>
  <si>
    <t>10.1016/j.jsams.2020.02.004</t>
  </si>
  <si>
    <t>Australia; Athletic Injuries prevention &amp; control; Breast injuries; Football injuries; Protective Clothing; Protective Devices; Adult; Australia; Female; Humans; Surveys and Questionnaires; Young Adult</t>
  </si>
  <si>
    <t>Objectives: Female contact football players sustain contact breast injuries that can negatively affect their sporting performance. This study investigated what female contact football players wear on their breasts during training and competition, and their perceptions on the protection provided by these garments against contact breast injury. Design: A custom-designed survey about breast injuries and prevention strategies was distributed via an online link to coaches and team staff of contact football teams throughout Australia. The fit and features of breast support and/or protection that players wore during training and competition were also directly assessed. Methods: 207 female Australian Football League (AFL), Rugby League, Rugby Union (XVs) and Rugby 7s players completed the survey. The breast support of 112 of these players was also assessed. Results: Only 17% (n=35) of players reported using breast protective equipment, of which 66% (n=23) perceived it provided protection against contact breast injuries. Reasons reported for not using protective equipment included not knowing it existed (n=79, 53%), it was too uncomfortable/hot (n=50, 24%) and that it did not fit or was restrictive (n=33, 22%). Although most players (n=97, 87%) reported to wear a sports bra, 52% (n=58) wore an ill-fitted bra and only 31% (n=63) perceived it provided any protection against contact breast injuries. Conclusions: Breast protective equipment is not commonly worn by female contact football players reportedly due to a lack of awareness of its existence, discomfort or poor fit. Although most female contact football players usually wore a sports bra, most players perceived these bras did not provide breast protection. Copyright © 2020. Published by Elsevier Ltd.</t>
  </si>
  <si>
    <t>https://search.ebscohost.com/login.aspx?direct=true&amp;db=mdc&amp;AN=32522401&amp;site=ehost-live</t>
  </si>
  <si>
    <t>Use of the anaerobic speed reserve to normalize the prescription of high-intensity interval exercise intensity.</t>
  </si>
  <si>
    <t>Julio UF; Panissa VLG; Paludo AC; Alves ED; Campos FAD; Franchini E</t>
  </si>
  <si>
    <t>10.1080/17461391.2019.1624833</t>
  </si>
  <si>
    <t>Anaerobic Threshold; Athletic Performance physiology; High-Intensity Interval Training; Adolescent; Adult; Humans; Lactic Acid blood; Male; Running physiology; Young Adult</t>
  </si>
  <si>
    <t>The aim of this study was to compare the perceptual and physiological responses and time-to-exhaustion in high intensity interval exercise (HIIE) protocols that are prescribed based on the relative anaerobic speed reserve (ASR) or maximal aerobic speed (MAS) in athletes with different ASR values, as well as the coefficient of variation (CV) of the abovementioned variables. Eleven long-distance runners and ten rugby players were submitted to five experimental sessions on different days; the first and second session were intended for the determination of the anthropometry, MAS and maximal sprint (MSS). In the subsequent sessions, three HIIE 15:15s protocols were performed until exhaustion (110%MAS, Δ25%ASR, and Δ50%ASR) in random order. The anthropometric characteristics and variables obtained from the MAS and MSS tests in the different groups were compared by Student's unpaired t -test. The analysis of mixed models for repeated measures (groups and protocols) was used to compare the speed, delta blood lactate, rating of perceived exertion, and time-to-exhaustion. Rugby players presented higher ASR (13.6 ± 0.9 km h -1 ) compared to long-distance runners (12.6 ± 0.9 km h -1 ) ( P = .049). For the HIIE 15:15s protocols, there were no protocol and group interaction effects. However, lower CV values were observed for time-to-exhaustion (a mean reduction of 52%) and delta blood lactate (a mean reduction of 48%) in Δ25%ASR and Δ50%ASR when compared to 110%MAS. Furthermore, the rating of perceived exertion CV was similar in all HIIE 15:15s protocols. The prescription of intensity of HIIE based on the ASR was able to reduce the inter-subject variability of lactate and time-to-exhaustion in rugby players and long-distance runners.</t>
  </si>
  <si>
    <t>https://search.ebscohost.com/login.aspx?direct=true&amp;db=mdc&amp;AN=31132025&amp;site=ehost-live</t>
  </si>
  <si>
    <t>Validation of the Acute Recovery and Stress Scale (ARSS) and the Short Recovery and Stress Scale (SRSS) in three English-speaking regions.</t>
  </si>
  <si>
    <t>Kölling S; Schaffran P; Bibbey A; Drew M; Raysmith B; Nässi A; Kellmann M</t>
  </si>
  <si>
    <t>10.1080/02640414.2019.1684790</t>
  </si>
  <si>
    <t>Physical Conditioning, Human psychology; Stress, Psychological; Surveys and Questionnaires; Adult; Factor Analysis, Statistical; Female; Humans; Language; Male; Psychometrics; Young Adult</t>
  </si>
  <si>
    <t>The Acute Recovery and Stress Scale (ARSS) and the Short Recovery and Stress Scale (SRSS) are well-established monitoring tools in German-speaking countries. This study aimed at validating them for English-speaking populations. Overall, 996 athletes (536 males, 24.9 ± 9.1 years) of Australia/New Zealand ( n = 380), the United Kingdom ( n = 316), and North America ( n = 300) participated. The 32-item ARSS consists of eight scales. These scales constitute the eight items of the SRSS with the corresponding ARSS items as descriptors. Confirmatory factor analysis (CFA), internal consistency (α), and discriminatory power of the items ( r it ) were calculated for the total and subsamples separately. Satisfactory discriminatory power ( r it &gt; .30) for all ARSS and SRSS items and acceptable internal consistency (α &gt; .70) was achieved. CFA indicated good fit indices for the total sample and subsamples, and strong measurement invariance was found across subsamples and gender. Correlations between corresponding scales and items ( r s = .68 - .78) support theoretical congruency as well as independent usage of both questionnaires. Construct validity of both tools is shown through hypothesis-conforming correlations with the Recovery-Stress Questionnaire for Athletes. Future studies may apply the ARSS and SRSS as monitoring tools in English-speaking regions worldwide.</t>
  </si>
  <si>
    <t>https://search.ebscohost.com/login.aspx?direct=true&amp;db=mdc&amp;AN=31696778&amp;site=ehost-live</t>
  </si>
  <si>
    <t>Validity and reliability evidence of a point of care assessment of salivary cortisol and α -amylase: a pre-registered study.</t>
  </si>
  <si>
    <t>Ducker KJ; Lines RLJ; Chapman MT; Peeling P; McKay AKA; Gucciardi DF</t>
  </si>
  <si>
    <t>e8366</t>
  </si>
  <si>
    <t>10.7717/peerj.8366</t>
  </si>
  <si>
    <t>Purpose: The iPro Cube is a small portable point-of-care device designed to analyse salivary markers of stress in a user-friendly manner (e.g., fast, convenient). Our aim was to test the reliability and validity of the iPro Cube to measure salivary cortisol and α -amylase as compared to the common laboratory standard method (ELISA immunoassay) prior to and after moderate intensity exercise. Methods: The study was a repeated measures, pre-registered design, and statistical framework that incorporated prior knowledge directly into the estimation process. Twenty-nine individuals (age = 27.4 ± 6.6 y; body-mass = 70.8 ± 11.3 kg; height = 1.74 ± 0.92 m; 18 males) completed a single PWC 75%HRmax , with repeated measures of salivary cortisol and -amylase pre, immediately post, and 30 min post-exercise. Results: Correlation between the iPro Cube and laboratory-based assessments of salivary cortisol was moderate-to-large (0.53 &gt; r &lt; 0.81) across all three testing points. In contrast, correlation between the iPro Cube and laboratory-based assessments of -amylase was small-to-moderate (0.25 &gt; r &lt; 0.46). We found a large correlation between duplicate samples of iPro Cube cortisol assessment (0.75 &gt; r &lt; 0.82), and a moderate-to-large correlation for -amylase (0.51&gt; r &lt; 0.77). Conclusions: The iPro Cube is capable of taking measures of salivary cortisol that are moderately correlated to values obtained via ELISA immunoassay, however the unit underestimates salivary cortisol and overestimates salivary -amylase at rest and post-moderate intensity exercise. It is recommended that researchers continue using standard laboratory techniques to assess these salivary stress markers. Competing Interests: The authors declare there are no competing interests. ©2020 Ducker et al.</t>
  </si>
  <si>
    <t>https://search.ebscohost.com/login.aspx?direct=true&amp;db=mdc&amp;AN=31938581&amp;site=ehost-live</t>
  </si>
  <si>
    <t>ISBN</t>
  </si>
  <si>
    <t>A 2-Year Prospective Study of Injury Epidemiology in Elite Australian Rugby Sevens: Exploration of Incidence Rates, Severity, Injury Type, and Subsequent Injury in Men and Women.</t>
  </si>
  <si>
    <t>Toohey LA; Drew MK; Finch CF; Cook JL; Fortington LV</t>
  </si>
  <si>
    <t>The American journal of sports medicine</t>
  </si>
  <si>
    <t>10.1177/0363546518825380</t>
  </si>
  <si>
    <t>Australia; Athletic Injuries epidemiology; Football injuries; Adult; Australia epidemiology; Female; Humans; Incidence; Male; Prospective Studies; Seasons; Torso injuries</t>
  </si>
  <si>
    <t>Background: Injuries are common in rugby sevens, but studies to date have been limited to short, noncontinuous periods and reporting of match injuries only. Purpose: To report the injury incidence rate (IIR), severity, and burden of injuries sustained by men and women in the Australian rugby sevens program and to provide the first longitudinal investigation of subsequent injury occurrence in rugby sevens looking beyond tournament injuries only. Study Design: Descriptive epidemiology study. Methods: Ninety international rugby sevens players (55 men and 35 women) were prospectively followed over 2 consecutive seasons (2015-2016 and 2016-2017). All medical attention injuries were reported irrespective of time loss. Individual exposure in terms of minutes, distance, and high-speed distance was captured for each player for matches and on-field training, with the use of global positioning system devices. The IIR and injury burden (IIR × days lost to injury) were calculated per 1000 player-hours, and descriptive analyses were performed. Results: Seventy-three players (81.1%) sustained 365 injuries at an IIR of 43.2 per 1000 player-hours (95% CI, 43.0-43.3). As compared with male players, female players experienced a lower IIR (incidence rate ratio, 0.91; 95% CI, 0.90-0.91). Female players also sustained a higher proportion of injuries to the trunk region (relative risk, 1.75; 95% CI, 1.28-2.40) but a lower number to the head/neck region (relative risk, 0.58; 95% CI, 0.37-0.93; P = .011). The majority (80.7%) of subsequent injuries were of a different site and nature than previous injuries. A trend toward a reduced number of days, participation time, distance, and high-speed distance completed before the next injury was observed after successive injury occurrence. Conclusion: Female players have a lower IIR than male players, with variation of injury profiles observed between sexes. With a surveillance period of 2 years, subsequent injuries account for the majority of injuries sustained in rugby sevens, and they are typically different from previous types of sustained injuries. After each successive injury, the risk profile for future injury occurrence appears to be altered, which warrants further investigation to inform injury prevention strategies in rugby sevens.</t>
  </si>
  <si>
    <t xml:space="preserve">https://search.ebscohost.com/login.aspx?direct=true&amp;db=mdc&amp;AN=30779880&amp;site=ehost-live </t>
  </si>
  <si>
    <t>A Framework for Periodized Nutrition for Athletics.</t>
  </si>
  <si>
    <t>Stellingwerff T; Morton JP; Burke LM</t>
  </si>
  <si>
    <t>10.1123/ijsnem.2018-0305</t>
  </si>
  <si>
    <t>Athletic Performance physiology; Nutritional Requirements; Periodicity; Sports Nutritional Physiological Phenomena; Adaptation, Physiological; Athletes; Diet; Dietary Carbohydrates administration &amp; dosage; Dietary Fats administration &amp; dosage; Energy Intake; Humans</t>
  </si>
  <si>
    <t>Over the last decade, in support of training periodization, there has been an emergence around the concept of nutritional periodization. Within athletics (track and field), the science and art of periodization is a cornerstone concept with recent commentaries emphasizing the underappreciated complexity associated with predictable performance on demand. Nevertheless, with varying levels of evidence, sport and event specific sequencing of various training units and sessions (long [macrocycle; months], medium [mesocycle; weeks], and short [microcycle; days and within-day duration]) is a routine approach to training periodization. Indeed, implementation of strategic temporal nutrition interventions (macro, meso, and micro) can support and enhance training prescription and adaptation, as well as acute event specific performance. However, a general framework on how, why, and when nutritional periodization could be implemented has not yet been established. It is beyond the scope of this review to highlight every potential nutritional periodization application. Instead, this review will focus on a generalized framework, with specific examples of macro-, meso-, and microperiodization for the macronutrients of carbohydrates, and, by extension, fat. More specifically, the authors establish the evidence and rationale for situations of acute high carbohydrate availability, as well as the evidence for more chronic manipulation of carbohydrates coupled with training. The topic of periodized nutrition has made considerable gains over the last decade but is ripe for further scientific progress and field application.</t>
  </si>
  <si>
    <t xml:space="preserve">https://search.ebscohost.com/login.aspx?direct=true&amp;db=mdc&amp;AN=30632439&amp;site=ehost-live </t>
  </si>
  <si>
    <t>A profile of health, lifestyle and training habits of 4720 Australian recreational runners-The case for promoting running for health benefits.</t>
  </si>
  <si>
    <t>Kozlovskaia M; Vlahovich N; Rathbone E; Manzanero S; Keogh J; Hughes DC</t>
  </si>
  <si>
    <t>Health promotion journal of Australia : official journal of Australian Association of Health Promotion Professionals</t>
  </si>
  <si>
    <t>10.1002/hpja.30</t>
  </si>
  <si>
    <t>Australia; Habits; Health Behavior; Health Status; Life Style; Running statistics &amp; numerical data; Adolescent; Adult; Aged; Aged, 80 and over; Australia; Cohort Studies; Female; Humans; Male; Middle Aged; Sex Factors; Surveys and Questionnaires; Young Adult</t>
  </si>
  <si>
    <t>Issue Addressed: The aim of this study was to characterise lifestyle and training habits of a large cohort of Australian recreational runners. Understanding the health benefits of recreational running and differentiating between the habits of males and females may allow for the development of gender-specific messaging for promoting recreational running as a form of physical activity. Methods: An online questionnaire was used to collect data from 4720 Australian recreational runners. Data on physical, lifestyle and training characteristics of male and female subgroups were compared using chi-square tests. Multiple logistic regression method was used to assess the effect of running experience on the reported clinically significant weight loss. Results: The study cohort was 54.1% female and 45.9% male. Smoking was uncommon among surveyed runners. The most typical weekly running distance in the cohort was 20-40 km, usually distributed by 2-5 running sessions. Significantly more males than females reported running over 40 km per week (29.9% vs 18.9%, P &lt; .001) and running at least six sessions per week (11.5% vs 6.7%, P &lt; .001). The majority (72.9%) of runners had normal BMI, and the cohort reported a lower overweight/obesity rate than the Australian population. The logistic regression model indicated that commencing running may lead to a clinically significant weight loss irrespectively of sex, participation in other sports and injury history. Conclusion: Recreational running was associated with beneficial health outcomes. Commencement of running is associated with weight loss, and regular running supports healthy weight maintenance. Male and female runners had different running preferences which should be taken into account for physical activity promotion. SO WHAT?: Captured health outcomes associated with running and described sex differences in training patterns may assist in development of physical activity promotion programmes involving recreational running, particularly targeting weight loss and healthy weight maintenance. © 2017 Commonwealth of Australia. Health Promotion Journal of Australia © 2017 Australian Health Promotion Association.</t>
  </si>
  <si>
    <t xml:space="preserve">https://search.ebscohost.com/login.aspx?direct=true&amp;db=mdc&amp;AN=30972899&amp;site=ehost-live </t>
  </si>
  <si>
    <t>A retrospective analysis of hamstring injuries in elite rugby athletes: More severe injuries are likely to occur at the distal myofascial junction.</t>
  </si>
  <si>
    <t>Kenneally-Dabrowski C; Serpell BG; Spratford W; Lai AKM; Field B; Brown NAT; Thomson M; Perriman D</t>
  </si>
  <si>
    <t>10.1016/j.ptsp.2019.05.009</t>
  </si>
  <si>
    <t>Athletes; Athletic Injuries diagnosis; Football injuries; Hamstring Muscles injuries; Leg Injuries diagnosis; Adult; Athletic Injuries physiopathology; Hamstring Muscles diagnostic imaging; Hamstring Muscles physiopathology; Humans; Leg Injuries physiopathology; Magnetic Resonance Imaging; Male; Retrospective Studies; Trauma Severity Indices; Young Adult</t>
  </si>
  <si>
    <t>Objectives: To describe the most common hamstring injury scenarios and outcomes in elite rugby union. Design: Retrospective investigation. Setting: Hamstring injury data from an elite rugby union team was collected over five seasons and retrospectively analysed. Participants: 74 professional rugby players. Main Outcome Measures: Injuries were classified as new or recurrent. Injury severity, activity, player position, and whether the injury occurred during a match or training was determined for each injury. Injury location and grade were determined for more clinically severe injuries where Magnetic Resonance Imaging (MRI) data was available (15 injuries). Results: Thirty hamstring injuries were sustained over the five seasons. The majority of injuries were new (93%), moderate in severity (60%) and occurred during running (77%). For more clinically severe injuries, the biceps femoris long head (BFlh) was the most commonly injured muscle (73%) and the distal myofascial junction (DMFJ) was the most common injury site (58% of BFlh injuries). Conclusions: Hamstring injuries most commonly occurred while running and in the BFlh muscle, which is similar to other sports. However, the most common intramuscular injury site was the DMFJ, which contrasts with reports from other cohorts. Future studies should ensure to include the myofascial junction when classifying injury location. Copyright © 2019. Published by Elsevier Ltd.</t>
  </si>
  <si>
    <t xml:space="preserve">https://search.ebscohost.com/login.aspx?direct=true&amp;db=mdc&amp;AN=31176259&amp;site=ehost-live </t>
  </si>
  <si>
    <t>A rule induction framework for the determination of representative learning design in skilled performance.</t>
  </si>
  <si>
    <t>Robertson S; Spencer B; Back N; Farrow D</t>
  </si>
  <si>
    <t>10.1080/02640414.2018.1555905</t>
  </si>
  <si>
    <t>Australia; Athletic Performance physiology; Machine Learning; Motor Skills physiology; Soccer physiology; Algorithms; Australia; Competitive Behavior; Humans; Physical Conditioning, Human; Task Performance and Analysis</t>
  </si>
  <si>
    <t>Representative learning design provides a framework for the extent to which practice simulates key elements of a performance setting. Improving both the measurement and analysis of representative learning design would allow for the refinement of sports training environments that seek to replicate competition conditions and provide additional context to the evaluation of athlete performance. Using rule induction, this study aimed to develop working models for the determination of high frequency, representative events in Australian Rules football kicking. A sample of 9005 kicks from the 2015 Australian Football League season were categorised and analysed according to the following constraints: type of pressure, kick distance, possession source, time in possession, velocity and kick target. The Apriori algorithm was used to develop two models. The first consisted of 10 rules containing the most commonly occurring constraint sets occurring during the kick in AF, with support values ranging from 0.15 to 0.22. None of the rules contained more than three constraints and confidence values ranged from 0.63 to 0.84. The second model considered ineffective and effective kick outcomes and displayed 70% classification accuracy. This research provides a measurement approach to determine the degree of representativeness of sports practice and is directly applicable to various team sports.</t>
  </si>
  <si>
    <t xml:space="preserve">https://search.ebscohost.com/login.aspx?direct=true&amp;db=mdc&amp;AN=30574842&amp;site=ehost-live </t>
  </si>
  <si>
    <t>A Systems Approach to Performance Analysis in Women's Netball: Using Work Domain Analysis to Model Elite Netball Performance.</t>
  </si>
  <si>
    <t>Mclean S; Hulme A; Mooney M; Read GJM; Bedford A; Salmon PM</t>
  </si>
  <si>
    <t>10.3389/fpsyg.2019.00201</t>
  </si>
  <si>
    <t>Netball is a newly professional women's sport, as such there has been little research conducted investigating performance analysis (PA) in elite netball. The aim of this study was to develop a model of the elite netball performance system to identify the complex relationships among key performance indicators. Eleven elite subject matter experts (SMEs) participated in workshops to produce a systems model of the netball match performance. The model was developed using the work domain analysis (WDA) method. A model of the netball match performance system was produced showing the interrelated objects, processes, functions, values, and purposes involved in elite level netball matches. The model identified the components of elite level netball performance and the interactions and relationships between them. The output of this research has identified novel PA measures including passing and possession measures, measures of cognitive performance, and measures related to physical activity. Netball is a complex sport, involving multiple dynamic and interrelated components. Consequently, there is an opportunity to develop holistic PA measures that focus on interacting components, as opposed to components in isolation.</t>
  </si>
  <si>
    <t xml:space="preserve">https://search.ebscohost.com/login.aspx?direct=true&amp;db=mdc&amp;AN=30787902&amp;site=ehost-live </t>
  </si>
  <si>
    <t>Acute and chronic effect of sodium bicarbonate ingestion on Wingate test performance: a systematic review and meta-analysis.</t>
  </si>
  <si>
    <t>Lopes-Silva JP; Reale R; Franchini E</t>
  </si>
  <si>
    <t>10.1080/02640414.2018.1524739</t>
  </si>
  <si>
    <t>Acidosis prevention &amp; control; Athletic Performance physiology; Exercise Test methods; Sodium Bicarbonate administration &amp; dosage; Administration, Oral; Drug Administration Schedule; Energy Metabolism drug effects; Humans; Muscle Fatigue physiology; Sodium Bicarbonate blood</t>
  </si>
  <si>
    <t>The aim of this study was to perform a systematic review and meta-analysis on the acute and chronic effects of sodium bicarbonate (NaHCO 3 ) ingestion on Wingate performance. Following a search through PubMed, Scopus and Web of Science, 9 studies were found meeting inclusion criteria (6 acute and 3 chronic). Random-effects meta-analysis of standardized mean difference (SMD) for peak and mean power was performed. Study quality was assessed using the QualSyst. Results of the meta-analysis showed that acute ingestion of NaHCO 3 did not improve Wingate test peak (weighted average effect size Hedges's g = 0.02, 95%CI: - 0.19 to 0.23, P = 0.87) or mean power (weighted average effect size Hedges's g = 0.15, 95%CI: -0.06 to 0.36, P = 0.92). However, chronic ingestion of NaHCO 3 improved Wingate test peak (weighted average effect size Hedges's g = 1.21, 95%CI: 0.83 to 1.42, P = 0.001) and mean power (weighted average effect size Hedges's g = 1.26, 95%CI: 0.96 to 1.56, P = 0.001). Quality assessment of selected articles was classified as strong. This meta-analysis provides evidence that chronic, but not acute, ingestion of NaHCO 3 increases both Wingate test peak and mean power.</t>
  </si>
  <si>
    <t xml:space="preserve">https://search.ebscohost.com/login.aspx?direct=true&amp;db=mdc&amp;AN=30319077&amp;site=ehost-live </t>
  </si>
  <si>
    <t>Acute carbohydrate ingestion does not influence the post-exercise iron-regulatory response in elite keto-adapted race walkers.</t>
  </si>
  <si>
    <t>McKay AKA; Peeling P; Pyne DB; Welvaert M; Tee N; Leckey JJ; Sharma AP; Ross MLR; Garvican-Lewis LA; van Swelm RPL; Laarakkers CM; Burke LM</t>
  </si>
  <si>
    <t>10.1016/j.jsams.2018.12.015</t>
  </si>
  <si>
    <t>Diet, Carbohydrate-Restricted; Dietary Carbohydrates administration &amp; dosage; Hepcidins blood; Iron metabolism; Sports Nutritional Physiological Phenomena; Walking physiology; Adult; Athletes; Female; Humans; Interleukin-6 blood; Male; Young Adult</t>
  </si>
  <si>
    <t>Objectives: Adhering to a low carbohydrate (CHO) high fat (LCHF) diet can alter markers of iron metabolism in endurance athletes. This investigation examined the re-introduction of CHO prior to, and during exercise on the iron-regulatory response to exercise in a homogenous (in regard to serum ferritin concentration) group of athletes adapted to a LCHF diet. Design: Parallel groups design. Methods: Three weeks prior to the exercise trials, twenty-three elite race walkers adhered to either a CHO-rich (n=14) or LCHF diet (n=9). A standardised 19-25km race walk was performed while athletes were still adhering to their allocated dietary intervention (Adapt). A second test was performed three days later, where all athletes were placed on a high CHO diet (CHO Restoration). Venous blood samples were collected pre-, post- and 3h post-exercise and measured for interleukin-6 (IL-6) and hepcidin-25. Results: The post-exercise IL-6 increase was greater in LCHF (p&lt;0.001) during both the Adapt (LCHF: 13.1-fold increase; 95% CI: 5.6-23.0, CHO: 8.0-fold increase; 5.1-11.1) and CHO Restoration trials (LCHF: 18.5-fold increase; 10.9-28.9, CHO: 6.3-fold increase; 3.9-9.5); outcomes were not different between trials (p=0.84). Hepcidin-25 concentrations increased 3h post-exercise (p&lt;0.001), however, they did not differ between trials (p=0.46) or diets (p=0.84). Conclusions: The elevated IL-6 response in athletes adapted to a LCHF diet was not attenuated by an acute increase in exogenous CHO availability. Despite diet-induced differences in IL-6 response to exercise, post-exercise hepcidin levels were similar between diets and trials, indicating CHO availability has minimal influence on post-exercise iron metabolism. Copyright © 2019 Sports Medicine Australia. All rights reserved.</t>
  </si>
  <si>
    <t xml:space="preserve">https://search.ebscohost.com/login.aspx?direct=true&amp;db=mdc&amp;AN=30630742&amp;site=ehost-live </t>
  </si>
  <si>
    <t>Adding Telephone and Text Support to an Obesity Management Program Improves Behavioral Adherence and Clinical Outcomes. A Randomized Controlled Crossover Trial.</t>
  </si>
  <si>
    <t>Lewis E; Huang HC; Hassmén P; Welvaert M; Pumpa KL</t>
  </si>
  <si>
    <t>International journal of behavioral medicine</t>
  </si>
  <si>
    <t>10.1007/s12529-019-09815-1</t>
  </si>
  <si>
    <t>Behavior Therapy methods; Obesity therapy; Obesity Management methods; Patient Compliance psychology; Telemedicine methods; Adult; Cross-Over Studies; Diet psychology; Exercise psychology; Female; Humans; Life Style; Male; Middle Aged; Obesity psychology; Self Care psychology; Telephone; Text Messaging; Treatment Outcome; Weight Loss</t>
  </si>
  <si>
    <t>Background: Behavioral treatment strategies improve adherence to lifestyle intervention for adults with obesity, but can be time and resource intensive when delivered via traditional face-to-face care. This study aimed to investigate the efficacy and optimal timing of using telephone calls and text message as adjunctive tools to support a community-based obesity management program. Method: This 8-month randomized controlled crossover trial recruited 61 adults with class III obesity (BMI &gt; 40 kg/m 2 ) enrolled in a publicly funded obesity management service (OMS). Participants were randomly assigned to receive telephone and text message support in addition to standard OMS care, or standard OMS care alone. After 4 months, participants crossed over to the alternative sequence. The technological support was based on self-determination theory. Outcome measures included diet, physical activity, anthropometry, self-efficacy, and treatment self-regulation. Results: Telephone and text message support improved lifestyle intervention adherence and clinical outcomes when compared with standard care. Participants who received the intervention in the first 4-month period lost 4.87 kg, compared with no weight loss (+ 0.38 kg) in the standard care only group. There was no evidence to indicate an optimal timing of the intervention, with both groups achieving significant results by the end of the intervention. Conclusion: These results suggest a high degree of promise for the incorporation of telephone and text message support into community-based obesity management services. The findings have the potential to improve existing practices and reduce the burden on the health care system by demonstrating a resource-effective improvement to obesity management service delivery.</t>
  </si>
  <si>
    <t xml:space="preserve">https://search.ebscohost.com/login.aspx?direct=true&amp;db=mdc&amp;AN=31512155&amp;site=ehost-live </t>
  </si>
  <si>
    <t>Analysis of the Effects of Dietary Pattern on the Oral Microbiome of Elite Endurance Athletes.</t>
  </si>
  <si>
    <t>Murtaza N; Burke LM; Vlahovich N; Charlesson B; O'Neill HM; Ross ML; Campbell KL; Krause L; Morrison M</t>
  </si>
  <si>
    <t>10.3390/nu11030614</t>
  </si>
  <si>
    <t>Bacteria classification; Dietary Carbohydrates administration &amp; dosage; Dietary Fats administration &amp; dosage; Mouth microbiology; Physical Endurance; Walking; Adult; Humans; Male; Nutritional Status; Physical Conditioning, Human; Sports; Young Adult</t>
  </si>
  <si>
    <t>Although the oral microbiota is known to play a crucial role in human health, there are few studies of diet x oral microbiota interactions, and none in elite athletes who may manipulate their intakes of macronutrients to achieve different metabolic adaptations in pursuit of optimal endurance performance. The aim of this study was to investigate the shifts in the oral microbiome of elite male endurance race walkers from Europe, Asia, the Americas and Australia, in response to one of three dietary patterns often used by athletes during a period of intensified training: a High Carbohydrate (HCHO; n = 9; with 60% energy intake from carbohydrates; ~8.5 g kg -1 day -1 carbohydrate, ~2.1 g kg -1 day -1 protein, 1.2 g kg -1 day -1 fat) diet, a Periodised Carbohydrate (PCHO; n = 10; same macronutrient composition as HCHO, but the intake of carbohydrates is different across the day and throughout the week to support training sessions with high or low carbohydrate availability) diet or a ketogenic Low Carbohydrate High Fat (LCHF; n = 10; 0.5 g kg -1 day -1 carbohydrate; 78% energy as fat; 2.1 g kg -1 day -1 protein) diet. Saliva samples were collected both before (Baseline; BL) and after the three-week period (Post treatment; PT) and the oral microbiota profiles for each athlete were produced by 16S rRNA gene amplicon sequencing. Principal coordinates analysis of the oral microbiota profiles based on the weighted UniFrac distance measure did not reveal any specific clustering with respect to diet or athlete ethnic origin, either at baseline (BL) or following the diet-training period. However, discriminant analyses of the oral microbiota profiles by Linear Discriminant Analysis (LDA) Effect Size (LEfSe) and sparse Partial Least Squares Discriminant Analysis (sPLS-DA) did reveal changes in the relative abundance of specific bacterial taxa, and, particularly, when comparing the microbiota profiles following consumption of the carbohydrate-based diets with the LCHF diet. These analyses showed that following consumption of the LCHF diet the relative abundances of Haemophilus, Neisseria and Prevotella spp. were decreased, and the relative abundance of Streptococcus spp. was increased. Such findings suggest that diet, and, in particular, the LCHF diet can induce changes in the oral microbiota of elite endurance walkers.</t>
  </si>
  <si>
    <t xml:space="preserve">https://search.ebscohost.com/login.aspx?direct=true&amp;db=mdc&amp;AN=30871219&amp;site=ehost-live </t>
  </si>
  <si>
    <t>Bi-hemispheric anodal transcranial direct current stimulation worsens taekwondo-related performance.</t>
  </si>
  <si>
    <t>Mesquita PHC; Lage GM; Franchini E; Romano-Silva MA; Albuquerque MR</t>
  </si>
  <si>
    <t>10.1016/j.humov.2019.06.003</t>
  </si>
  <si>
    <t>Transcranial Direct Current Stimulation (tDCS) is a neuromodulatory technique that has been used as an ergogenic aid in exercise/sports performance. However, little is known about its effects on highly-trained subjects, as athletes. The present study aimed to verify the effects of bi-hemispheric anodal tDCS (a-tDCS) on the performance of taekwondo athletes. Additionally, we investigated the persistence of the effects of the a-tDCS one hour after it. Nineteen Taekwondo athletes received active or sham bi-hemispheric a-tDCS over the primary motor cortex (M1). a-tDCS was delivered at 1.5 mA for 15 min. Athletes performed Countermovement Jumps (CMJ) and the Frequency Speed of Kick Test (FSKT) immediately (Mo1) and one hour after stimulation (Mo2). The athletes also reported their session-rating of perceived exertion (session-RPE). The total number of kicks (TK) was higher in sham than in the active a-tDCS condition (p &lt; 0.01). In addition, TK was higher at Mo2 than at Mo1 (p &lt; 0.05). Similarly, the session-RPE was higher in the a-tDCS condition (p &lt; 0.05) and was greater one-hour post-stimulation (p &lt; 0.01). No differences were found for CMJ performance (p &gt; 0.05). Thus, bi-hemispheric a-tDCS worsens performance of taekwondo athletes, and the effect remains present even 1 h after the stimulation. Copyright © 2019 Elsevier B.V. All rights reserved.</t>
  </si>
  <si>
    <t xml:space="preserve">https://search.ebscohost.com/login.aspx?direct=true&amp;db=mdc&amp;AN=31254810&amp;site=ehost-live </t>
  </si>
  <si>
    <t>Bone Broth Unlikely to Provide Reliable Concentrations of Collagen Precursors Compared With Supplemental Sources of Collagen Used in Collagen Research.</t>
  </si>
  <si>
    <t>Alcock RD; Shaw GC; Burke LM</t>
  </si>
  <si>
    <t>10.1123/ijsnem.2018-0139</t>
  </si>
  <si>
    <t>Collagen administration &amp; dosage; Dietary Supplements; Amino Acids; Animals; Bone and Bones chemistry; Cattle; Chickens; Cooking; Meat</t>
  </si>
  <si>
    <t>Intake of dietary sources of collagen may support the synthesis of collagen in varying tissues, with the availability of key amino acids being a likely contributor to its effectiveness. This study analyzed commonly consumed preparations of bone broth (BB) to assess the amount and consistency of its amino acid content. Commercial and laboratory-prepared samples, made with standardized and variable (nonstandardized) protocols, were analyzed for key amino acids (glycine, lysine, proline, leucine, hydroxyproline, and hydroxylysine). The main finding of this study was that amino acid concentrations in BB made to a standardized recipe were significantly lower for hydroxyproline, glycine, and proline ( p = .003) and hydroxylysine, leucine, and lysine ( p = .004) than those provided by a potentially therapeutic dose (20 g) of reference collagen supplements ( p &gt; .05). There was a large variability in the amino acid content of BB made to nonstandardized recipes, with the highest levels of all amino acids found within the café-prepared varieties. For standardized preparations, commercial BBs were lower in all amino acids than the self-prepared varieties. There were no differences ( p &gt; .05) in the amino acid content of different batches of BB when prepared according to a standardized recipe. If the intake of collagen precursors is proven to support the synthesis of new collagen in vivo, it is unlikely that BB can provide a consistently reliable source of key amino acids. Research on the provision of key amino acids from dietary sources should continue to focus on the standard sources currently being researched.</t>
  </si>
  <si>
    <t xml:space="preserve">https://search.ebscohost.com/login.aspx?direct=true&amp;db=mdc&amp;AN=29893587&amp;site=ehost-live </t>
  </si>
  <si>
    <t>Can caffeine supplementation reverse the effect of time of day on repeated-sprint exercise performance?</t>
  </si>
  <si>
    <t>Lopes-Silva JP; Santos JFDS; Franchini E</t>
  </si>
  <si>
    <t>10.1139/apnm-2018-0373</t>
  </si>
  <si>
    <t>Athletic Performance; Caffeine pharmacology; Central Nervous System Stimulants pharmacology; Circadian Rhythm drug effects; Dietary Supplements; Running physiology; Adult; Anaerobic Threshold drug effects; Cross-Over Studies; Double-Blind Method; Energy Metabolism drug effects; Heart Rate drug effects; Humans; Lactic Acid blood; Male; Oxygen Consumption drug effects; Young Adult</t>
  </si>
  <si>
    <t>The aim of this study was to evaluate if caffeine can reduce the negative influence of diurnal variations on repeated-sprint performance, in addition to investigating if caffeine in the afternoon would potentiate performance compared with the morning. Thirteen physically active men took part in this randomized, double-blind, placebo-controlled and crossover study. All participants underwent a repeated-sprint ability test (10 × 6 s cycle sprints, with 30 s of rest) at 60 min after ingestion of either 5 mg·kg -1 or placebo under 4 different conditions: morning with caffeine ingestion, morning with placebo ingestion, afternoon with caffeine ingestion, and afternoon with placebo ingestion. Total work, peak power (PP) and anaerobic power reserve (APR) were assessed. Oxygen uptake, heart rate, lactate concentration, and rating of perceived exertion were also measured during the repeated-sprint test. Total work (+8%, d = 0.2, small), PP (+6%, d = 0.2), and APR (+9%, d = 0.2) were significantly higher in the afternoon when compared with morning. However, physiological responses were not different between caffeine and placebo conditions. Repeated-sprint (10 × 6 s cycle sprint) performance was influenced by time of day, with lower performance in the morning compared with the afternoon. However, caffeine supplementation did not prevent the reduction in performance in the morning or improve performance in the afternoon.</t>
  </si>
  <si>
    <t xml:space="preserve">https://search.ebscohost.com/login.aspx?direct=true&amp;db=mdc&amp;AN=30058345&amp;site=ehost-live </t>
  </si>
  <si>
    <t>Characterizing the plasma metabolome during 14 days of live-high, train-low simulated altitude: A metabolomic approach.</t>
  </si>
  <si>
    <t>Lawler NG; Abbiss CR; Gummer JPA; Broadhurst DI; Govus AD; Fairchild TJ; Thompson KG; Garvican-Lewis LA; Gore CJ; Maker GL; Trengove RD; Peiffer JJ</t>
  </si>
  <si>
    <t>Experimental physiology</t>
  </si>
  <si>
    <t>10.1113/EP087159</t>
  </si>
  <si>
    <t>Altitude; Hypoxia metabolism; Metabolome physiology; Oxygen Consumption physiology; Adult; Female; Humans; Male; Metabolomics methods; Rest physiology; Running physiology; Young Adult</t>
  </si>
  <si>
    <t>New Findings: What is the central question of this study? Does 14 days of live-high, train-low simulated altitude alter an individual's metabolomic/metabolic profile? What is the main finding and its importance? This study demonstrated that ∼200 h of moderate simulated altitude exposure resulted in greater variance in measured metabolites between subject than within subject, which indicates individual variability during the adaptive phase to altitude exposure. In addition, metabolomics results indicate that altitude alters multiple metabolic pathways, and the time course of these pathways is different over 14 days of altitude exposure. These findings support previous literature and provide new information on the acute adaptation response to altitude. Abstract: The purpose of this study was to determine the influence of 14 days of normobaric hypoxic simulated altitude exposure at 3000 m on the human plasma metabolomic profile. For 14 days, 10 well-trained endurance runners (six men and four women; 29 ± 7 years of age) lived at 3000 m simulated altitude, accumulating 196.4 ± 25.6 h of hypoxic exposure, and trained at ∼600 m. Resting plasma samples were collected at baseline and on days 3 and 14 of altitude exposure and stored at -80°C. Plasma samples were analysed using liquid chromatography-high-resolution mass spectrometry to construct a metabolite profile of altitude exposure. Mass spectrometry of plasma identified 36 metabolites, of which eight were statistically significant (false discovery rate probability 0.1) from baseline to either day 3 or day 14. Specifically, changes in plasma metabolites relating to amino acid metabolism (tyrosine and proline), glycolysis (adenosine) and purine metabolism (adenosine) were observed during altitude exposure. Principal component canonical variate analysis showed significant discrimination between group means (P &lt; 0.05), with canonical variate 1 describing a non-linear recovery trajectory from baseline to day 3 and then back to baseline by day 14. Conversely, canonical variate 2 described a weaker non-recovery trajectory and increase from baseline to day 3, with a further increase from day 3 to 14. The present study demonstrates that metabolomics can be a useful tool to monitor metabolic changes associated with altitude exposure. Furthermore, it is apparent that altitude exposure alters multiple metabolic pathways, and the time course of these changes is different over 14 days of altitude exposure. © 2018 The Authors. Experimental Physiology © 2018 The Physiological Society.</t>
  </si>
  <si>
    <t xml:space="preserve">https://search.ebscohost.com/login.aspx?direct=true&amp;db=mdc&amp;AN=30311980&amp;site=ehost-live </t>
  </si>
  <si>
    <t>Chronic Adherence to a Ketogenic Diet Modifies Iron Metabolism in Elite Athletes.</t>
  </si>
  <si>
    <t>McKay AKA; Peeling P; Pyne DB; Welvaert M; Tee N; Leckey JJ; Sharma AP; Ross MLR; Garvican-Lewis LA; Swinkels DW; Laarakkers CM; Burke LM</t>
  </si>
  <si>
    <t>10.1249/MSS.0000000000001816</t>
  </si>
  <si>
    <t>Diet, Ketogenic; Iron metabolism; Physical Conditioning, Human; Walking; Adult; Athletes; Dietary Carbohydrates administration &amp; dosage; Female; Ferritins blood; Hepcidins blood; Humans; Interleukin-6 blood; Male; Young Adult</t>
  </si>
  <si>
    <t>Purpose: The short-term restriction of carbohydrate (CHO) can potentially influence iron regulation via modification of postexercise interleukin-6 (IL-6) and hepcidin levels. This study examined the effect of a chronic ketogenic low-CHO high-fat (LCHF) diet on iron status and iron-regulatory markers in elite athletes. Methods: International-level race walkers (n = 50) were allocated to one of three dietary interventions: (i) a high-CHO diet (n = 16), (ii) a periodized CHO availability (n = 17), or (iii) an LCHF diet (n = 17) while completing a periodized training program for 3 wk. A 19- to 25-km race walking test protocol was completed at baseline and after adaptation, and changes in serum ferritin, IL-6, and hepcidin concentrations were measured. Results from high-CHO and periodized CHO were combined into one group (CHO; n = 33) for analysis. Results: The decrease in serum ferritin across the intervention period was substantially greater in the CHO group (37%) compared with the LCHF (23%) group (P = 0.021). After dietary intervention, the postexercise increase in IL-6 was greater in LCHF (13.6-fold increase; 95% confidence interval [CI] = 7.1-21.4) than athletes adhering to a CHO-rich diet (7.6-fold increase; 95% CI = 5.5-10.2; P = 0.033). Although no significant differences occurred between diets, CI values indicate that 3 h postexercise hepcidin concentrations were lower after dietary intervention compared with baseline in CHO (β = -4.3; 95% CI = -6.6 to -2.0), with no differences evident in LCHF. Conclusion: Athletes who adhered to a CHO-rich diet experienced favorable changes to the postexercise IL-6 and hepcidin response, relative to the LCHF group. Lower serum ferritin after 3 wk of additional dietary CHO might reflect a larger more adaptive hematological response to training.</t>
  </si>
  <si>
    <t xml:space="preserve">https://search.ebscohost.com/login.aspx?direct=true&amp;db=mdc&amp;AN=30363006&amp;site=ehost-live </t>
  </si>
  <si>
    <t>Coach knowledge in talent identification: A systematic review and meta-synthesis.</t>
  </si>
  <si>
    <t>Roberts AH; Greenwood DA; Stanley M; Humberstone C; Iredale F; Raynor A</t>
  </si>
  <si>
    <t>10.1016/j.jsams.2019.05.008</t>
  </si>
  <si>
    <t>Aptitude; Athletic Performance; Knowledge; Mentors; Athletes; Decision Making; Humans</t>
  </si>
  <si>
    <t>Objectives: Talent identification traditionally relies on the knowledge and perceptions of expert coaches to identify and predict potential future elite athletes. Experiential coach knowledge is a valuable source of information to guide research in this ill-defined and under-researched area. This review aims to synthesize current empirical understanding of coach knowledge as it relates to decision making in talent identification. Design: This systematic review and meta-synthesis used the PRISMA (Preferred Reporting Items for Systematic Reviews and Meta-Analyses) guidelines to identify relevant literature. Methods: Eligible studies were critically appraised for quality, and key findings from the 14 studies were integrated to allow for thematic analysis. Results: The meta-synthesis revealed the key theme of 'instinct' as the primary contributor to coach decisions during talent identification. Subordinate themes informing coach instinct were 'drive and ambition', 'game intelligence' and 'physical and technical skills'. Conclusions: Coaches appear to make decisions about talent based on their tacit knowledge or instinct. Understanding how coaches develop these instinctual 'feelings' may guide future research into talent identification and enhance our understanding of how experiential coach knowledge is developed and utilised in the daily training environment. Copyright © 2019 Sports Medicine Australia. Published by Elsevier Ltd. All rights reserved.</t>
  </si>
  <si>
    <t xml:space="preserve">https://search.ebscohost.com/login.aspx?direct=true&amp;db=mdc&amp;AN=31133481&amp;site=ehost-live </t>
  </si>
  <si>
    <t>Cold water immersion attenuates anabolic signaling and skeletal muscle fiber hypertrophy, but not strength gain, following whole-body resistance training.</t>
  </si>
  <si>
    <t>Fyfe JJ; Broatch JR; Trewin AJ; Hanson ED; Argus CK; Garnham AP; Halson SL; Polman RC; Bishop DJ; Petersen AC</t>
  </si>
  <si>
    <t>10.1152/japplphysiol.00127.2019</t>
  </si>
  <si>
    <t>Cold Temperature; Immersion; Muscle Fibers, Skeletal physiology; Muscle Strength physiology; Recovery of Function physiology; Resistance Training methods; Adolescent; Adult; Heat-Shock Proteins metabolism; Humans; Hypertrophy; Male; Muscle Fibers, Skeletal pathology; Young Adult</t>
  </si>
  <si>
    <t>We determined the effects of cold water immersion (CWI) on long-term adaptations and post-exercise molecular responses in skeletal muscle before and after resistance training. Sixteen men (22.9 ± 4.6 y; 85.1 ± 17.9 kg; mean ± SD) performed resistance training (3 day/wk) for 7 wk, with each session followed by either CWI [15 min at 10°C, CWI (COLD) group, n = 8] or passive recovery (15 min at 23°C, control group, n = 8). Exercise performance [one-repetition maximum (1-RM) leg press and bench press, countermovement jump, squat jump, and ballistic push-up], body composition (dual X-ray absorptiometry), and post-exercise (i.e., +1 and +48 h) molecular responses were assessed before and after training. Improvements in 1-RM leg press were similar between groups [130 ± 69 kg, pooled effect size (ES): 1.53 ± 90% confidence interval (CI) 0.49], whereas increases in type II muscle fiber cross-sectional area were attenuated with CWI (-1,959 ± 1,675 µM 2 ; ES: -1.37 ± 0.99). Post-exercise mechanistic target of rapamycin complex 1 signaling (rps6 phosphorylation) was blunted for COLD at post-training (POST) +1 h (-0.4-fold, ES: -0.69 ± 0.86) and POST +48 h (-0.2-fold, ES: -1.33 ± 0.82), whereas basal protein degradation markers (FOX-O1 protein content) were increased (1.3-fold, ES: 2.17 ± 2.22). Training-induced increases in heat shock protein (HSP) 27 protein content were attenuated for COLD (-0.8-fold, ES: -0.94 ± 0.82), which also reduced total HSP72 protein content (-0.7-fold, ES: -0.79 ± 0.57). CWI blunted resistance training-induced muscle fiber hypertrophy, but not maximal strength, potentially via reduced skeletal muscle protein anabolism and increased catabolism. Post-exercise CWI should therefore be avoided if muscle hypertrophy is desired. NEW &amp; NOTEWORTHY This study adds to existing evidence that post-exercise cold water immersion attenuates muscle fiber growth with resistance training, which is potentially mediated by attenuated post-exercise increases in markers of skeletal muscle anabolism coupled with increased catabolism and suggests that blunted muscle fiber growth with cold water immersion does not necessarily translate to impaired strength development.</t>
  </si>
  <si>
    <t xml:space="preserve">https://search.ebscohost.com/login.aspx?direct=true&amp;db=mdc&amp;AN=31513450&amp;site=ehost-live </t>
  </si>
  <si>
    <t>Comparison of Incremental Intermittent and Time Trial Testing in Age-Group Swimmers.</t>
  </si>
  <si>
    <t>Zacca R; Azevedo R; Peterson Silveira R; Vilas-Boas JP; Pyne DB; Castro FAS; Fernandes RJ</t>
  </si>
  <si>
    <t>10.1519/JSC.0000000000002087</t>
  </si>
  <si>
    <t>Athletic Performance physiology; Muscle Fatigue physiology; Swimming physiology; Adolescent; Biomechanical Phenomena; Exercise Test; Female; Heart Rate physiology; Humans; Lactic Acid blood; Male; Oxygen Consumption physiology; Rest physiology</t>
  </si>
  <si>
    <t>Zacca, R, Azevedo, R, Peterson Silveira, R, Vilas-Boas, JP, Pyne, DB, Castro, FAdS, and Fernandes, RJ. Comparison of incremental intermittent and time trial testing in age-group swimmers. J Strength Cond Res 33(3): 801-810, 2019-The aim of this study was to compare physiological and biomechanical characteristics between an incremental intermittent test and a time trial protocol in age-group swimmers. Eleven national level age-group swimmers (6 men and 5 women) performed a 7 × 200-m incremental intermittent protocol (until exhaustion; 30-second rest) and a 400-m test (T400) in front crawl on separate days. Cardiorespiratory variables were measured continuously using a telemetric portable gas analyzer. Swimming speed, stroke rate, stroke length, and stroke index were assessed by video analysis. Physiological (oxygen uptake, heart rate, and lactate concentrations) and biomechanical variables between seventh 200-m step (in which the minimal swimming speed that elicits maximal oxygen uptake-vV[Combining Dot Above]O2max was identified) and T400 (time trial/fixed distance) were compared with a paired student's t test, Pearson's product-moment correlation, Passing-Bablok regression, and Bland-Altman plot analyses. There were high level of agreement and high correlations (r-values ∼0.90; p ≤ 0.05) for all physiological variables between the seventh 200-m step and T400. Similarly, there were high level of agreements and high correlations (r-values ∼0.90; p ≤ 0.05) for all biomechanical variables and only trivial bias in swimming speed (0.03 m·s; 2%). Primary physiological and biomechanical responses between incremental intermittent and representative time trial protocols were similar, but best practice dictates protocols should not be used interchangeably to minimize errors in prescribing swimming training speeds. The T400 is a valid, useful, and easier to administer test for aerobic power assessment in age-group swimmers.</t>
  </si>
  <si>
    <t xml:space="preserve">https://search.ebscohost.com/login.aspx?direct=true&amp;db=mdc&amp;AN=28658078&amp;site=ehost-live </t>
  </si>
  <si>
    <t>Comparison of subsequent injury categorisation (SIC) models and their application in a sporting population.</t>
  </si>
  <si>
    <t>Toohey LA; Drew MK; Fortington LV; Menaspa MJ; Finch CF; Cook JL</t>
  </si>
  <si>
    <t>Injury epidemiology</t>
  </si>
  <si>
    <t>10.1186/s40621-019-0183-1</t>
  </si>
  <si>
    <t>Background: The original subsequent injury categorisation (SIC-1.0) model aimed to classify relationships between chronological injury sequences to provide insight into the complexity and causation of subsequent injury occurrence. An updated model has recently been published. Comparison of the data coded according to the original and revised subsequent injury categorisation (SIC-1.0 and SIC-2.0) models has yet been formally compared. Methods: Medical attention injury data was prospectively collected for 42 elite water polo players over an 8 month surveillance period. The SIC-1.0 and SIC-2.0 models were retrospectively applied to the injury data. The injury categorisation from the two models was compared using descriptive statistics. Results: Seventy-four injuries were sustained by the 42 players (median = 2, range = 0-5), of which 32 injuries (43.2%) occurred subsequent to a previous injury. The majority of subsequent injuries were coded as occurring at a different site and being of a different nature, while also being considered clinically unrelated to the previous injury (SIC-1.0 category 10 = 57.9%; SIC-2.0 clinical category 16 = 54.4%). Application of the SIC-2.0 model resulted in a greater distribution of category allocation compared to the SIC-1.0 model that reflects a greater precision in the SIC-2.0 model. Conclusions: Subsequent injury categorisation of sport injury data can be undertaken using either the original (SIC-1.0) or the revised (SIC-2.0) model to obtain similar results. However, the SIC-2.0 model offers the ability to identify a larger number of mutually exclusive categories, while not relying on clinical adjudication for category allocation. The increased precision of SIC-2.0 is advantageous for clinical application and consideration of injury relationships. Competing Interests: Competing interestsThe authors declare that they have no competing interests.</t>
  </si>
  <si>
    <t xml:space="preserve">https://search.ebscohost.com/login.aspx?direct=true&amp;db=mdc&amp;AN=31245258&amp;site=ehost-live </t>
  </si>
  <si>
    <t>Contemporary Nutrition Strategies to Optimize Performance in Distance Runners and Race Walkers.</t>
  </si>
  <si>
    <t>Burke LM; Jeukendrup AE; Jones AM; Mooses M</t>
  </si>
  <si>
    <t>10.1123/ijsnem.2019-0004</t>
  </si>
  <si>
    <t>Athletic Performance physiology; Nutritional Requirements; Running physiology; Sports Nutritional Physiological Phenomena; Walking physiology; Adaptation, Physiological; Athletes; Dietary Carbohydrates; Humans; Performance-Enhancing Substances administration &amp; dosage</t>
  </si>
  <si>
    <t>Distance events in Athletics include cross country, 10,000-m track race, half-marathon and marathon road races, and 20- and 50-km race walking events over different terrain and environmental conditions. Race times for elite performers span ∼26 min to &gt;4 hr, with key factors for success being a high aerobic power, the ability to exercise at a large fraction of this power, and high running/walking economy. Nutrition-related contributors include body mass and anthropometry, capacity to use fuels, particularly carbohydrate (CHO) to produce adenosine triphosphate economically over the duration of the event, and maintenance of reasonable hydration status in the face of sweat losses induced by exercise intensity and the environment. Race nutrition strategies include CHO-rich eating in the hours per days prior to the event to store glycogen in amounts sufficient for event fuel needs, and in some cases, in-race consumption of CHO and fluid to offset event losses. Beneficial CHO intakes range from small amounts, including mouth rinsing, in the case of shorter events to high rates of intake (75-90 g/hr) in the longest races. A personalized and practiced race nutrition plan should balance the benefits of fluid and CHO consumed within practical opportunities, against the time, cost, and risk of gut discomfort. In hot environments, prerace hyperhydration or cooling strategies may provide a small but useful offset to the accrued thermal challenge and fluid deficit. Sports foods (drinks, gels, etc.) may assist in meeting training/race nutrition plans, with caffeine, and, perhaps nitrate being used as evidence-based performance supplements.</t>
  </si>
  <si>
    <t xml:space="preserve">https://search.ebscohost.com/login.aspx?direct=true&amp;db=mdc&amp;AN=30747558&amp;site=ehost-live </t>
  </si>
  <si>
    <t>Creating Appropriate Training Environments to Improve Technical, Decision-Making, and Physical Skills in Field Hockey.</t>
  </si>
  <si>
    <t>Timmerman EA; Savelsbergh GJP; Farrow D</t>
  </si>
  <si>
    <t>10.1080/02701367.2019.1571678</t>
  </si>
  <si>
    <t>Athletic Performance psychology; Decision Making; Environment Design; Hockey psychology; Motor Skills physiology; Physical Conditioning, Human methods; Adolescent; Child; Competitive Behavior physiology; Humans</t>
  </si>
  <si>
    <t>Purpose: The purpose of this study was to determine the influence of eight different small-sided games (SSG) on physical, technical, and decision-making demands of training environments in U14 field hockey. Methods: A total of 13 participants played eight different training games consisting of two 7.5-minute halves, where number of players (three per side or six per side) and/or field characteristics (normal game, cage hockey game, possession game, and two-goals game) was manipulated. Match performance was determined by using notational analysis, and physical demands were determined by using GPS analyses. Results: Findings revealed that lowering the number of players increased the number of technical actions performed per player and the physical demands of the SSG. Findings of the field characteristics manipulation revealed that the possession game forced players to control the ball more as a team, which resulted in more passes (+4.82 passes) and fewer dribbles (-1.48 dribbles) and tackles (-0.69 tackles) compared to the normal game. The two-goals game led to players scoring more goals (+0.61 goals) compared to the normal game, while the cage hockey game increased passing (+1.46 passes) and physical demands (+7.32 meters per minute) compared to the normal game. Conclusion: It can be concluded from these findings that coaches and trainers are able to promote a change in playing behavior, and in turn the development of skills, by manipulating specific constraints of the training environment.</t>
  </si>
  <si>
    <t xml:space="preserve">https://search.ebscohost.com/login.aspx?direct=true&amp;db=mdc&amp;AN=30794115&amp;site=ehost-live </t>
  </si>
  <si>
    <t>Detrended fluctuation analysis detects altered coordination of running gait in athletes following a heavy period of training.</t>
  </si>
  <si>
    <t>Bellenger CR; Arnold JB; Buckley JD; Thewlis D; Fuller JT</t>
  </si>
  <si>
    <t>10.1016/j.jsams.2018.09.002</t>
  </si>
  <si>
    <t>Athletic Performance physiology; Gait; Physical Conditioning, Human; Running physiology; Adult; Athletes; Heart Rate; Humans; Male; Middle Aged; Prospective Studies</t>
  </si>
  <si>
    <t>Objectives: To investigate whether functional overreaching affects locomotor system behaviour when running at fixed relative intensities and if any effects were associated with changes in running performance. Design: Prospective intervention study. Methods: Ten trained male runners completed three training blocks in a fixed order. Training consisted of one week of light training (baseline), two weeks of heavy training designed to induce functional overreaching, and ten days of light taper training designed to allow athletes to recover from, and adapt to, the heavy training. Locomotor behaviour, 5-km time trial performance, and subjective reports of training status (Daily Analysis of Life Demands for Athletes (DALDA) questionnaire) were assessed at the completion of each training block. Locomotor behaviour was assessed using detrended fluctuation analysis of stride intervals during running at speeds corresponding to 65% and 85% of maximum heart rate (HR max ) at baseline. Results: Time trial performance (effect size ±95% confidence interval (ES): 0.16±0.06; p&lt;0.001), locomotor behaviour at 65% HR max (ES: -1.12±0.95; p=0.026), and DALDA (ES: 2.55±0.80; p&lt;0.001) were all detrimentally affected by the heavy training. Time trial performance improved relative to baseline after the taper (ES: -0.16±0.10; p=0.003) but locomotor behaviour at 65% HR max (ES: -1.18±1.17; p=0.048) and DALDA (ES: 0.92±0.90; p=0.045) remained impaired. Conclusions: Locomotor behaviour during running at 65% HR max was impaired by functional overreaching and remained impaired after a 10-day taper, despite improved running performance. Locomotor changes may increase injury risk and should be considered within athlete monitoring programs independently of performance changes. Copyright © 2018 Sports Medicine Australia. Published by Elsevier Ltd. All rights reserved.</t>
  </si>
  <si>
    <t xml:space="preserve">https://search.ebscohost.com/login.aspx?direct=true&amp;db=mdc&amp;AN=30220574&amp;site=ehost-live </t>
  </si>
  <si>
    <t>Development and Reliability of an Athlete Introductory Movement Screen for Use in Emerging Junior Athletes.</t>
  </si>
  <si>
    <t>Pediatric exercise science</t>
  </si>
  <si>
    <t>10.1123/pes.2018-0244</t>
  </si>
  <si>
    <t>Athletes; Exercise Test methods; Movement; Youth Sports; Adolescent; Female; Humans; Male; Observer Variation; Reproducibility of Results; Retrospective Studies; Video Recording</t>
  </si>
  <si>
    <t>Purpose: A novel 4-task Athlete Introductory Movement Screen was developed and tested to provide an appropriate and reliable movement screening tool for youth sport practitioners. Methods: The overhead squat, lunge, push-up, and a prone brace with shoulder touches were selected based on previous assessments. A total of 28 mixed-sport junior athletes (18 boys and 10 girls; mean age = 15.7 [1.8] y) completed screening after viewing standardized demonstration videos. Athletes were filmed performing 8 repetitions of each task and assessed retrospectively by 2 independent raters using a 3-point scale. The primary rater reassessed the footage 3 weeks later. A subgroup (n = 11) repeated the screening 7 days later, and a further 8 athletes were reassessed 6 months later. Intraclass correlation coefficients (ICC), typical error (TE), coefficient of variation (CV%), and weighted kappa (k) were used in reliability analysis. Results: For the Athlete Introductory Movement Screen 4-task sum score, intrarater reliability was high (ICC = .97; CV = 2.8%), whereas interrater reliability was good (intraclass correlation coefficient = .88; CV = 5.6%). There was a range of agreement from fair to almost perfect (k = .31-.89) between raters across individual movements. A 7-day and 6-month test-retest held good reliability and acceptable CVs (≤ 10%) for sum scores. Conclusion: The 4-task Athlete Introductory Movement Screen appears to be a reliable tool for profiling emerging athletes. Reliability was strongest within the same rater; it was lower, yet acceptable, between 2 raters. Scores can provide an overview of appropriate movement competencies, helping practitioners assess training interventions in the athlete development pathway.</t>
  </si>
  <si>
    <t xml:space="preserve">https://search.ebscohost.com/login.aspx?direct=true&amp;db=mdc&amp;AN=30982436&amp;site=ehost-live </t>
  </si>
  <si>
    <t>Development of an Athlete Diet Index for Rapid Dietary Assessment of Athletes.</t>
  </si>
  <si>
    <t>Capling L; Gifford JA; Beck KL; Flood VM; Slater GJ; Denyer GS; O'Connor HT</t>
  </si>
  <si>
    <t>10.1123/ijsnem.2019-0098</t>
  </si>
  <si>
    <t>Athletes; Diet; Feeding Behavior; Nutrition Assessment; Nutritional Status; Surveys and Questionnaires standards; Female; Humans; Male; Sports Nutritional Physiological Phenomena</t>
  </si>
  <si>
    <t>Food-based diet indices provide a practical, rapid, and inexpensive way of evaluating dietary intake. Rather than nutrients, diet indices assess the intake of whole foods and dietary patterns, and compare these with nutrition guidelines. An athlete-specific diet index would offer an efficient and practical way to assess the quality of athletes' diets, guide nutrition interventions, and focus sport nutrition support. This study describes the development and validation of an Athlete Diet Index (ADI). Item development was informed by a review of existing diet indices, relevant literature, and in-depth focus groups with 20 sports nutritionists (median of 11 years' professional experience) from four elite athlete sporting institutes. Focus group data were analyzed (NVivo 11 Pro; QSR International Pty. Ltd., 2017, Melbourne, Australia), and key themes were identified to guide the development of athlete-relevant items. A modified Delphi survey in a subgroup of sports nutritionists (n = 9) supported item content validation. Pilot testing with athletes (n = 15) subsequently informed face validity. The final ADI (n = 68 items) was categorized into three sections. Section A (n = 45 items) evaluated usual intake, special diets or intolerances, dietary habits, and culinary skills. Section B (n = 15 items) assessed training load, nutrition supporting training, and sports supplement use. Section C (n = 8 items) captured the demographic details, sporting type, and caliber. All of the athletes reported the ADI as easy (40%) or very easy (60% of participants) to use and rated the tool as relevant (37%) or very relevant (63% of participants) to athletes. Further evaluation of the ADI, including the development of a scoring matrix and validation compared with established dietary methodology, is warranted.</t>
  </si>
  <si>
    <t xml:space="preserve">https://search.ebscohost.com/login.aspx?direct=true&amp;db=mdc&amp;AN=31629350&amp;site=ehost-live </t>
  </si>
  <si>
    <t>Differing Physiological Adaptations Induced by Dry and Humid Short-Term Heat Acclimation.</t>
  </si>
  <si>
    <t>Tebeck ST; Buckley JD; Bellenger CR; Stanley J</t>
  </si>
  <si>
    <t>10.1123/ijspp.2018-0707</t>
  </si>
  <si>
    <t>Purpose: To investigate the effect of a 5-day short-term heat acclimation (STHA) protocol in dry (43˚C and 20 % RH) or humid (32˚C and 80 % RH) environmental conditions on endurance cycling performance in temperate conditions (21˚C). Methods: In a randomised, cross-over design, eleven cyclists completed each of the two, 5-day blocks of STHA matched for heat index (44˚C) and total exposure time (480 min), separated by 30-days. Pre- and post-temperate endurance performance (4-min mean max power, lactate threshold 1 and 2) was assessed in addition a heat stress test used to assess individual levels of heat adaptation. Results: Differences in endurance performance were unclear. Following dry STHA, gross mechanical efficiency was likely reduced [between-condition effect size dry vs humid (90 % confidence interval) [-0.59 (-1.05, -0.15)], oxygen uptake was likely increased for a given workload [+0.64 (0.14, 1.07)] and energy expenditure likely increased [+0.59 (0.17, 1.03)]. Plasma volume expansion at Day 5 of acclimation was similar (within-condition outcome +4.6 ± 6.3 % and +5.3 ± 5.1 % dry and humid respectively) but was retained for 3-4 days longer after the final humid STHA exposure (-0.2 ± 8.1 % and +4.5 ± 4.2 % dry and humid respectively). Sweat rate was very likely increased during dry STHA [+0.57 (0.25, 0.89)] and possibly increased [+0.18 (-0.15; 0.50)] during humid STHA. Conclusion: STHA induced divergent adaptations between dry and humid conditions, but did not result in differences in temperate endurance performance.</t>
  </si>
  <si>
    <t xml:space="preserve">https://search.ebscohost.com/login.aspx?direct=true&amp;db=mdc&amp;AN=31094262&amp;site=ehost-live </t>
  </si>
  <si>
    <t>Effects of Different Fatigue Levels on Physiological Responses and Pacing in Judo Matches.</t>
  </si>
  <si>
    <t>Franchini E; Takito MY; Alves ED; Shiroma SA; Julio UF; Humberstone C</t>
  </si>
  <si>
    <t>10.1519/JSC.0000000000003006</t>
  </si>
  <si>
    <t>Athletes; High-Intensity Interval Training methods; Martial Arts physiology; Muscle Fatigue physiology; Adult; Hand Strength physiology; Heart Rate physiology; Humans; Lactic Acid blood; Male; Perception; Time and Motion Studies; Warm-Up Exercise</t>
  </si>
  <si>
    <t>Franchini, E, Takito, MY, Alves, ED, Shiroma, SA, Julio, UF, and Humberstone, C. Effects of different fatigue levels on physiological responses and pacing in judo matches. J Strength Cond Res 33(3): 783-792, 2019-The objective of this study was to compare athletes' pacing during judo match simulation between different fatigue states. Twelve judo athletes (30.2 ± 3.2 years old, 85.6 ± 10.8 kg, 181.0 ± 5.7 cm, 19 ± 7 years of judo experience) completed three 4-minute matches against the same opponents, at 15-minute intervals in 3 different conditions: after warm-up (Control; C); after a regular training session (totaling 90 minutes); after a high-intensity interval exercise (2 blocks of 10 sets of 20-second all-out uchi-komi, with 10-second interval between sets and 5-minute interval between blocks). All matches were mediated according to the official rules, filmed, and analyzed concerning: rating of perceived recovery (RPR), rating of perceived exertion (RPE), heart rate (before and after match), blood lactate concentrations [La] before, peak after match and delta (peak minus the prematch values), and time-motion measures (frequencies and durations of actions). Time-motion measures included athlete displacement without contact, gripping, attack, feint, groundwork combat, pauses, and high- to low-intensity effort ratio. The experimental conditions resulted in different physiological and perceived responses prematch (HR, [La], RPR) and postmatch simulations (HR and [La]peak), with no change in RPE and few changes in technical variables. There was a decrease in grip dispute time, and increase in time of displacement without contact. These technical changes were enough to preserve the pace during the matches, which seemed to be controlled by the athletes to maintain their number of attacks, feints, and RPE.</t>
  </si>
  <si>
    <t xml:space="preserve">https://search.ebscohost.com/login.aspx?direct=true&amp;db=mdc&amp;AN=30615008&amp;site=ehost-live </t>
  </si>
  <si>
    <t>Effects of High-Intensity Interval Training on Olympic Combat Sports Athletes' Performance and Physiological Adaptation: A Systematic Review.</t>
  </si>
  <si>
    <t>Franchini E; Cormack S; Takito MY</t>
  </si>
  <si>
    <t>10.1519/JSC.0000000000002957</t>
  </si>
  <si>
    <t>Athletic Performance physiology; High-Intensity Interval Training; Martial Arts physiology; Wrestling physiology; Adaptation, Physiological; Athletes; Humans</t>
  </si>
  <si>
    <t>Franchini, E, Cormack, S, and Takito, MY. Effects of high-intensity interval training on Olympic combat sports athletes' performance and physiological adaptation: A systematic review. J Strength Cond Res 33(1): 242-252, 2019-Combat sports represent around 25% of all Olympic medals disputed, and the success in these sports are determined by technical-tactical excellence and supported by physiological and psychological development. Although the training in combat sports is intermittent training by nature, some researchers have started to focus their attention on the effects of complementary high-intensity interval training (HIIT)-coupled standard combat sports-specific training on morphological, physiological, and performance adaptations. Thus, in this systematic review, we aimed to verify the effects of this type of training on these variables. A total of 117 articles in the electronic databases Pubmed, Scopus, and Web of Science were retrieved, and 9 studies remained in the present systematic review. A total of 228 athletes (138 judo athletes, 40 taekwondo athletes, 18 boxers, 17 karate athletes, and 15 wrestlers) were investigated in these 9 studies (5 with judo athletes, 1 with boxers, 1 with karate athletes, 1 with wrestlers, and 1 with taekwondo athletes). The HIIT protocols investigated did not generate any change in body fat percentage or body mass but generally resulted in increases in (Equation is included in full-text article.)max or (Equation is included in full-text article.)peak, varying from 4.4 to 23.0%. However, the most observed benefit of HIIT protocols was an increase in anaerobic fitness, represented by improvements in anaerobic power and capacity.</t>
  </si>
  <si>
    <t xml:space="preserve">https://search.ebscohost.com/login.aspx?direct=true&amp;db=mdc&amp;AN=30431531&amp;site=ehost-live </t>
  </si>
  <si>
    <t>Effects of Various Recovery Strategies on Repeated Bouts of Simulated Intermittent Activity.</t>
  </si>
  <si>
    <t>Crowther FA; Sealey RM; Crowe MJ; Edwards AM; Halson SL</t>
  </si>
  <si>
    <t>10.1519/JSC.0000000000002396</t>
  </si>
  <si>
    <t>Athletes; Athletic Performance physiology; Exercise physiology; Football physiology; Adult; Cold Temperature; Cool-Down Exercise physiology; Humans; Male; Myalgia physiopathology; Time Factors; Water; Young Adult</t>
  </si>
  <si>
    <t>Crowther, FA, Sealey, RM, Crowe, MJ, Edwards, AM, and Halson, SL. Effects of various recovery strategies on repeated bouts of simulated intermittent activity. J Strength Cond Res 33(7): 1781-1794, 2019-A large variety of recovery strategies are used between and after bouts of exercise to maximize performance and perceptual recovery, with limited conclusive evidence regarding the effectiveness of these strategies. The aim of this study was to compare 5 postexercise recovery strategies (cold water immersion, contrast water therapy, active recovery, a combined cold water immersion and active recovery, and a control condition) to determine which is most effective for the recovery of performance, perceptual, and flexibility measures during and after repeated bouts of simulated small-sided team sport demands. Fourteen recreationally active males (mean ± SD; age: 26 ± 6 years; height: 180 ± 5 cm; mass: 81 ± 9 kg) undertook repeated bouts of exercise, simulating a rugby sevens tournament day followed by the above listed recovery strategies (randomized, 1 per week). Perceptual, performance, and flexibility variables were measured immediately before, 5 minutes after all 3 exercise bouts, and at 75 minutes after the first 2 exercise bouts. Contrast water therapy was found to be superior to active at 75 minutes after bout 2 and 5 minutes after bout 3 for repeated-sprint ability and relative average power. The combined recovery strategy was superior to active for repeated-sprint ability at 5 minutes after bout 3; relative best power at 5 minutes after bout 2; total quality recovery before bout 2, 75 minutes after bout 2, and before bout 3; was superior to active for muscle soreness from 75 minutes after bout 1 and for the remainder of the day; and was superior to the control at 75 minutes after bout 1, 75 minutes after bout 2, and before bout 3. The active recovery was detrimental to total sprint time and relative average power at 75 minutes after bout 2 and 5 minutes after bout 3 in comparison with contrast water therapy and the control (not relative average power). Relative average power was decreased after active at 5 minutes after bout 2 in comparison with the combined recovery strategy and the control. Relative average power after cold water immersion was decreased at 75 minutes after bout 2 in comparison with the control and contrast water therapy. Total quality recovery was significantly reduced after active in comparison with the combined recovery strategy before bout 2, 75 minutes after bout 2, and before bout 3. Muscle soreness was also significantly increased after active recovery at 75 minutes after bout 1 and for the remainder of the day in comparison with the combined recovery strategy and was increased at 5 minutes after bout 3 in comparison with the control. Active recovery is not recommended because of the detrimental performance and perceptual results noted. As no recovery strategies were significantly better than the control condition for performance recovery and the combined recovery strategy is the only superior recovery strategy in comparison with the control for perceptual recovery (muscle soreness only), it is difficult to recommend a recovery strategy that should be used for both performance and perceptual recovery. Thus, based on the methodology and findings of this study unless already in use by athletes, no water immersion recovery strategies are recommended in preference to a control because of the resource-intensive (time and equipment) nature of water immersion recovery strategies.</t>
  </si>
  <si>
    <t xml:space="preserve">https://search.ebscohost.com/login.aspx?direct=true&amp;db=mdc&amp;AN=31242139&amp;site=ehost-live </t>
  </si>
  <si>
    <t>Energy Availability in Athletics: Health, Performance, and Physique.</t>
  </si>
  <si>
    <t>Melin AK; Heikura IA; Tenforde A; Mountjoy M</t>
  </si>
  <si>
    <t>10.1123/ijsnem.2018-0201</t>
  </si>
  <si>
    <t>Athletic Performance physiology; Energy Metabolism; Nutritional Requirements; Sports Nutritional Physiological Phenomena; Athletes; Body Composition; Body Weight; Energy Intake; Feeding and Eating Disorders; Humans; Reproductive Health</t>
  </si>
  <si>
    <t>The reported prevalence of low energy availability (LEA) in female and male track and field athletes is between 18% and 58% with the highest prevalence among athletes in endurance and jump events. In male athletes, LEA may result in reduced testosterone levels and libido along with impaired training capacity. In female track and field athletes, functional hypothalamic amenorrhea as consequence of LEA has been reported among 60% of elite middle- and long-distance athletes and 23% among elite sprinters. Health concerns with functional hypothalamic amenorrhea include impaired bone health, elevated risk for bone stress injury, and cardiovascular disease. Furthermore, LEA negatively affects recovery, muscle mass, neuromuscular function, and increases the risk of injuries and illness that may affect performance negatively. LEA in track and field athletes may occur due to intentional alterations in body mass or body composition, appetite changes, time constraints, or disordered eating behavior. Long-term LEA causes metabolic and physiological adaptations to prevent further weight loss, and athletes may therefore be weight stable yet have impaired physiological function secondary to LEA. Achieving or maintaining a lower body mass or fat levels through long-term LEA may therefore result in impaired health and performance as proposed in the Relative Energy Deficiency in Sport model. Preventive educational programs and screening to identify athletes with LEA are important for early intervention to prevent long-term secondary health consequences. Treatment for athletes is primarily to increase energy availability and often requires a team approach including a sport physician, sports dietitian, physiologist, and psychologist.</t>
  </si>
  <si>
    <t xml:space="preserve">https://search.ebscohost.com/login.aspx?direct=true&amp;db=mdc&amp;AN=30632422&amp;site=ehost-live </t>
  </si>
  <si>
    <t>Enhancing skill transfer in tennis using representative learning design.</t>
  </si>
  <si>
    <t>Krause L; Farrow D; Pinder R; Buszard T; Kovalchik S; Reid M</t>
  </si>
  <si>
    <t>10.1080/02640414.2019.1647739</t>
  </si>
  <si>
    <t>Athletic Performance psychology; Generalization, Response; Motor Skills physiology; Tennis psychology; Adolescent; Athletic Performance physiology; Competitive Behavior physiology; Female; Humans; Male; Mentoring; Task Performance and Analysis; Tennis physiology</t>
  </si>
  <si>
    <t>Representative Learning Design advocates that practice should simulate the demands of competition. The effectiveness of increased task representativeness to improve serving skill of junior tennis players was assessed after a six-week intervention. Thirty-three participants (15.4 ± 1.9 years of age) were assigned to one of the three groups; "serve only" (participants served to no opponent), "serve return" (participants served to an opponent and hit no extra shots) or "serve +3 rd " (participants served to an opponent and hit one extra shot). Using the validated representative practice assessment tool (RPAT) tasks were considered to be low, moderate and high in task representativeness, respectively. Participants hit 56 serves, twice weekly for 6-weeks. Pre and post serving performances were assessed via a skill test and in-situ matchplay using SportsCode and HawkEye ball tracking, respectively. Serve speed, landing locations, serve angle and positional advantage was obtained for 1 st and 2 nd serves. The relationship between increasing representativeness and increased skill acquisition was not linear, rather different behaviours emerged. For example, when hitting 2 nd serves in matchplay, the low and moderate representative groups prioritised speed over placement while the high representative group prioritised placement over speed. Coaches therefore need to carefully individualise representativeness to an athletes' specific needs.</t>
  </si>
  <si>
    <t xml:space="preserve">https://search.ebscohost.com/login.aspx?direct=true&amp;db=mdc&amp;AN=31379253&amp;site=ehost-live </t>
  </si>
  <si>
    <t>Epidemiology of bone stress injuries in Australian high performance athletes: A retrospective cohort study.</t>
  </si>
  <si>
    <t>Ruddick GK; Lovell GA; Drew MK; Fallon KE</t>
  </si>
  <si>
    <t>10.1016/j.jsams.2019.06.008</t>
  </si>
  <si>
    <t>Australia; Athletic Injuries epidemiology; Fractures, Stress epidemiology; Adolescent; Adult; Athletes; Australia epidemiology; Child; Female; Humans; Male; Retrospective Studies; Young Adult</t>
  </si>
  <si>
    <t>Objectives: To examine the epidemiology of bone stress injuries in an elite sports institute. Design: Retrospective cohort study at the Australian Institute of Sport. Methods: A retrospective analysis of the clinical records contained within the Australian Institute of Sport Athlete Management System electronic database was performed. Records with Orchard Sports Injury Classification System codes relating to bone stress injuries and stress fractures were reviewed and descriptive statistics relating to sport, site of injury, athlete age, sex and activity were analysed. Results: In the three-year period January 2014-2017, 11,942 injuries were recorded across 48 sports. 181 bone stress injuries (0.15% of all injuries) were recorded across 16 sports. BSIs in the foot and lumbar spine were the most common accounting for 30% and 23% of all the reported BSIs respectively. Gymnasts had a high frequency of lumbar spine stress injuries (n=24, 51%) and rowers had a high frequency of rib stress injuries (n=22, 88%). The most common location for stress injuries, equally distributed across a variety of sports, were in the foot (n=54, 30%). Female athletes recorded more BSIs than males. Conclusion: Across a three-year period, 0.15% of injuries were related to bone stress injuries. Almost double the cases were recorded in female athletes. Sport specific injury sites were observed in the dataset. Crown Copyright © 2019. Published by Elsevier Ltd. All rights reserved.</t>
  </si>
  <si>
    <t xml:space="preserve">https://search.ebscohost.com/login.aspx?direct=true&amp;db=mdc&amp;AN=31307905&amp;site=ehost-live </t>
  </si>
  <si>
    <t>Epidemiology of elite sprint kayak injuries: A 3-year prospective study.</t>
  </si>
  <si>
    <t>Toohey LA; Drew MK; Bullock N; Caling B; Fortington LV; Finch CF; Cook JL</t>
  </si>
  <si>
    <t>10.1016/j.jsams.2019.06.002</t>
  </si>
  <si>
    <t>Australia; Athletic Injuries epidemiology; Water Sports injuries; Adult; Athletes; Australia; Female; Humans; Longitudinal Studies; Male; Prospective Studies; Sex Factors; Shoulder Injuries; Torso injuries; Upper Extremity injuries; Young Adult</t>
  </si>
  <si>
    <t>Objectives: To analyse the characteristics of injuries sustained by elite sprint kayak athletes, to investigate relationships between initial and subsequent injuries, and to examine injury differences between male and female athletes. Design: Descriptive epidemiology study. Methods: Data from 63 athletes (37 male, 26 female) of the Australian national sprint kayak squad were prospectively collected over three continuous years (September 2014-August 2017). All medical attention injuries were recorded irrespective of time-loss and modality of training. Descriptive analyses were performed, and frequency comparisons across genders assessed with chi squared tests. Results: Forty-nine athletes (78%) sustained 146 injuries (median=2, interquartile range=1-4, range=0-12). Most injuries were to the upper limb (48%), with the shoulder being the most common body site injured (27%). Thirty-one athletes (49%) sustained at least one subsequent injury, equating to 97 subsequent injuries. The majority (68%) of subsequent injuries occurred at a different site and nature to previous injuries. Male athletes were more likely to sustain an injury than remain injury free compared to female athletes (Chi 2 (1) =6.75, p=0.009), but there was no difference between males and females who thereafter sustained a subsequent injury (Chi 2 (1) =0.84, p=0.359). Conclusions: Injury occurrence is common in sprint kayak, with many athletes experiencing more than one injury. Small variations in injury characteristics exist between male and female athletes in sprint kayak. This study identifies upper limb and trunk, and joint and muscle injuries as the most prevalent sprint kayak injuries, providing a focus for the development of future injury prevention strategies. Copyright © 2019 Sports Medicine Australia. All rights reserved.</t>
  </si>
  <si>
    <t xml:space="preserve">https://search.ebscohost.com/login.aspx?direct=true&amp;db=mdc&amp;AN=31239203&amp;site=ehost-live </t>
  </si>
  <si>
    <t>Esports: The Chess of the 21st Century.</t>
  </si>
  <si>
    <t>Pluss MA; Bennett KJM; Novak AR; Panchuk D; Coutts AJ; Fransen J</t>
  </si>
  <si>
    <t>10.3389/fpsyg.2019.00156</t>
  </si>
  <si>
    <t>For many decades, researchers have explored the true potential of human achievement. The expertise field has come a long way since the early works of de Groot (1965) and Chase and Simon (1973). Since then, this inquiry has expanded into the areas of music, science, technology, sport, academia, and art. Despite the vast amount of research to date, the capability of study methodologies to truly capture the nature of expertise remains questionable. Some considerations include (i) the individual bias in the retrospective recall of developmental activities, (ii) the ability to develop ecologically valid tasks, and (iii) difficulties capturing the influence of confounding factors on expertise. This article proposes that expertise research in electronic sports (esports) presents an opportunity to overcome some of these considerations. Esports involves individuals or teams of players that compete in video game competitions via human-computer interaction. Advantages of applying the expert performance approach in esports include (i) developmental activities are objectively tracked and automatically logged online, (ii) the constraints of representative tasks correspond with the real-world environment of esports performance, and (iii) expertise has emerged without the influence of guided systematic training environments. Therefore, this article argues that esports research provides an ideal opportunity to further advance research on the development and assessment of human expertise.</t>
  </si>
  <si>
    <t xml:space="preserve">https://search.ebscohost.com/login.aspx?direct=true&amp;db=mdc&amp;AN=30761055&amp;site=ehost-live </t>
  </si>
  <si>
    <t>Estimating the Maximum Isometric Force Generating Capacity of Wheelchair Racing Athletes for Simulation Purposes.</t>
  </si>
  <si>
    <t>Lewis AR; Robertson WS; Phillips EJ; Grimshaw P; Portus M</t>
  </si>
  <si>
    <t>Journal of applied biomechanics</t>
  </si>
  <si>
    <t>358–365</t>
  </si>
  <si>
    <t>10.1123/jab.2018-0078</t>
  </si>
  <si>
    <t>For the wheelchair racing population, it is uncertain whether musculoskeletal models using the maximum isometric force generating capacity of non-athletic, able-bodied individuals, are appropriate, as few anthropometric parameters for wheelchair athletes are reported in the literature. In this study, a sensitivity analysis was performed in OpenSim, whereby the maximum isometric force generating capacity of muscles was adjusted in 25% increments to literature defined values between scaling factors of 0.25x to 4.0x for two elite athletes, at three speeds representative of race conditions. Convergence of the solution was used to assess the results. Artificially weakening a model presented unrealistic values, and artificially strengthening a model excessively (4.0x) demonstrated physiologically invalid muscle force values. The ideal scaling factors were 1.5x and 1.75x for each of the athletes, respectively, as was assessed through convergence of the solution. This was similar to the relative difference in limb masses between dual energy X-Ray absorptiometry (DXA) data and anthropometric data in the literature (1.49x and 1.70x), suggesting that DXA may be used to estimate the required scaling factors. The reliability of simulations for elite wheelchair racing athletes can be improved by appropriately increasing the maximum isometric force generating capacity of muscles.</t>
  </si>
  <si>
    <t xml:space="preserve">https://search.ebscohost.com/login.aspx?direct=true&amp;db=mdc&amp;AN=31141441&amp;site=ehost-live </t>
  </si>
  <si>
    <t>Evening electronic device use and sleep patterns in athletes.</t>
  </si>
  <si>
    <t>Jones MJ; Dawson B; Gucciardi DF; Eastwood PR; Miller J; Halson SL; Dunican IC; Peeling P</t>
  </si>
  <si>
    <t>10.1080/02640414.2018.1531499</t>
  </si>
  <si>
    <t>Athletes psychology; Habits; Microcomputers statistics &amp; numerical data; Sleep; Adult; Age Factors; Equipment and Supplies Utilization; Female; Humans; Male; Time Factors; Young Adult</t>
  </si>
  <si>
    <t>The present study aimed to investigate pre-sleep behaviours (including evening electronic device use) and sleep quantity in well-trained athletes. Seventy well-trained athletes (44 females, 26 males) aged 21 ± 4 y from a range of team and individual sports were asked to complete an online sleep diary for 7 days. The sleep diary included questions about pre-sleep behaviours (e.g. napping, caffeine intake), electronic device use in the 2 h prior to bedtime (e.g. type of device and duration of use) and sleep (e.g. time in bed, sleep onset latency). On average, athletes spent 8:20 ± 1:21 h in bed each night. Associations between age, time in bed and sleepiness suggested that younger athletes spent more time in bed (B = -0.05, p = 0.001) but felt sleepier (r = -0.32, p &lt; 0.01) than older athletes. On average, athletes mostly used electronic devices for 0-30 min prior to sleep. The use of multiple devices in the evening was associated with more perceived difficulty in falling asleep (B = 0.22, p = 0.03), but no associations existed with other sleep variables. In summary, younger athletes may require later start times or improved sleep quality to resolve excessive sleepiness.</t>
  </si>
  <si>
    <t xml:space="preserve">https://search.ebscohost.com/login.aspx?direct=true&amp;db=mdc&amp;AN=30326782&amp;site=ehost-live </t>
  </si>
  <si>
    <t>False-performance feedback does not affect punching forces and pacing of elite boxers.</t>
  </si>
  <si>
    <t>Halperin I; Chapman DW; Thompson KG; Abbiss C</t>
  </si>
  <si>
    <t>10.1080/02640414.2018.1482526</t>
  </si>
  <si>
    <t>Athletes psychology; Athletic Performance psychology; Boxing psychology; Feedback; Adolescent; Adult; Humans; Male; Young Adult</t>
  </si>
  <si>
    <t>Prior research indicates that providing participants with positive augmented feedback tends to enhance motor learning and performance, whereas the opposite occurs with negative feedback. However, the majority of studies were conducted with untrained participants performing unfamiliar motor tasks and so it remains unclear if elite athletes completing familiar tasks respond in a similar fashion. Thus, this study investigated the effects of three different versions of false-performance feedback on punching force (N), pacing (force over time) and ratings of perceived exertion (RPE) in 15 elite amateur male boxers. Athletes completed a simulated boxing bout consisting of three rounds with 84 maximal effort punches delivered to a punching integrator on four separate days. Day one was a familiarisation session in which no feedback was provided. In the following three days athletes randomly received false-positive, false-negative and false-neutral feedback on their punching performance between each round. No statistical or meaningful differences were observed in punching forces, pacing or RPE between conditions (P &gt; 0.05; ≤ 2%). These null results could stem from the elite status of the athletes involved, the focus on performance rather than learning, or they may indicate that false feedback has a less potent effect on performance than previously thought.</t>
  </si>
  <si>
    <t xml:space="preserve">https://search.ebscohost.com/login.aspx?direct=true&amp;db=mdc&amp;AN=29863966&amp;site=ehost-live </t>
  </si>
  <si>
    <t>Fluid, energy, and nutrient recovery via ad libitum intake of different commercial beverages and food in female athletes.</t>
  </si>
  <si>
    <t>McCartney D; Irwin C; Cox GR; Desbrow B</t>
  </si>
  <si>
    <t>10.1139/apnm-2018-0176</t>
  </si>
  <si>
    <t>Beverages adverse effects; Drinking; Eating; Energy Metabolism; Exercise physiology; Isotonic Solutions administration &amp; dosage; Milk adverse effects; Nutritional Status; Water-Electrolyte Balance; Administration, Oral; Adolescent; Adult; Animals; Bicycling; Feeding Behavior; Female; Fluid Shifts; Humans; Isotonic Solutions adverse effects; Middle Aged; Nutritive Value; Recommended Dietary Allowances; Recovery of Function; Time Factors; Young Adult</t>
  </si>
  <si>
    <t>This study investigated the effect of consuming different commercial beverages with food ad libitum after exercise on fluid, energy, and nutrient recovery in trained females. On 4 separate occasions, 8 females (body mass (BM): 61.8 ± 10.7 kg; maximal oxygen uptake: 46.3 ± 7.5 mL·kg -1 ·min -1 ) lost 2.0% ± 0.3% BM cycling at ∼75% maximal oxygen uptake before completing a 4-h recovery period with ad libitum access to 1 of 4 beverages: Water, Powerade (Sports Drink), Up &amp; Go Reduced Sugar (Lower Sugar (LS)-MILK) or Up &amp; Go Energize (Higher Protein (HP)-MILK). Participants also had two 15-min opportunities to access food within the first 2 h of the recovery period. Beverage intake, total water/nutrient intake, and indicators of fluid recovery (BM, urine output, plasma osmolality), gastrointestinal tolerance and palatability were assessed periodically. While total water intake (from food and beverage) (Water: 1918 ± 580 g; Sports Drink: 1809 ± 338 g; LS-MILK: 1458 ± 431 g; HP-MILK: 1523 ± 472 g; p = 0.010) and total urine output (Water: 566 ± 314 g; Sports Drink: 459 ± 290 g; LS-MILK: 220 ± 53 g; HP-MILK: 230 ± 117 g; p = 0.009) differed significantly by beverage, the quantity of ingested water retained was similar across treatments (Water: 1352 ± 462 g; Sports Drink: 1349 ± 407 g; LS-MILK: 1238 ± 400 g; HP-MILK: 1293 ± 453 g; p = 0.691). Total energy intake (from food and beverage) increased in proportion to the energy density of the beverage (Water: 4129 ± 1080 kJ; Sports Drink: 5167 ± 643 kJ; LS-MILK: 6019 ± 1925 kJ; HP-MILK: 7096 ± 2058 kJ; p = 0.014). When consumed voluntarily and with food, different beverages promote similar levels of fluid recovery, but alter energy/nutrient intakes. Providing access to food and understanding the longer-term dietary goals of female athletes are important considerations when recommending a recovery beverage.</t>
  </si>
  <si>
    <t xml:space="preserve">https://search.ebscohost.com/login.aspx?direct=true&amp;db=mdc&amp;AN=29953820&amp;site=ehost-live </t>
  </si>
  <si>
    <t>How performance analysis of elite long jumping can inform representative training design through identification of key constraints on competitive behaviours.</t>
  </si>
  <si>
    <t>McCosker C; Renshaw I; Greenwood D; Davids K; Gosden E</t>
  </si>
  <si>
    <t>10.1080/17461391.2018.1564797</t>
  </si>
  <si>
    <t>Athletic Performance physiology; Competitive Behavior physiology; Task Performance and Analysis; Track and Field physiology; Adult; Female; Humans; Male</t>
  </si>
  <si>
    <t>Analysing performance in competitive environments enables identification of key constraints which shape behaviours, supporting designs of more representative training and learning environments. In this study, competitive performance of 244 elite level jumpers (male and female) was analysed to identify the impact of candidate individual, environmental and task constraints on performance outcomes. Findings suggested that key constraints shaping behaviours in long jumping were related to: individuals (e.g. particularly intended performance goals of athletes and their impact on future jump performance); performance environments (e.g. strength and direction of wind) and tasks (e.g. requirement for front foot to be behind foul line at take-off board to avoid a foul jump). Results revealed the interconnectedness of competitive performance, highlighting that each jump should not be viewed as a behaviour in isolation, but rather as part of a complex system of connected performance events which contribute to achievement of competitive outcomes. These findings highlight the potential nature of the contribution of performance analysis in competitive performance contexts. They suggest how practitioners could design better training tasks, based on key ecological constraints of competition, to provide athletes with opportunities to explore and exploit functional intentions and movement solutions high in contextual specificity.</t>
  </si>
  <si>
    <t xml:space="preserve">https://search.ebscohost.com/login.aspx?direct=true&amp;db=mdc&amp;AN=30614404&amp;site=ehost-live </t>
  </si>
  <si>
    <t>Identifying generalised segmental acceleration patterns that contribute to ground reaction force features across different running tasks.</t>
  </si>
  <si>
    <t>Verheul J; Warmenhoven J; Lisboa P; Gregson W; Vanrenterghem J; Robinson MA</t>
  </si>
  <si>
    <t>10.1016/j.jsams.2019.07.006</t>
  </si>
  <si>
    <t>Acceleration; Biomechanical Phenomena; Running physiology; Adult; Deceleration; Female; Humans; Male; Multivariate Analysis; Principal Component Analysis; Young Adult</t>
  </si>
  <si>
    <t>Objectives: To support future developments of field-based biomechanical load monitoring tools, this study aimed to identify generalised segmental acceleration patterns and their contribution to ground reaction forces (GRFs) across different running tasks. Design: Exploratory experimental design. Methods: A multivariate principal component analysis (PCA) was applied to a combination of segmental acceleration data from all body segments for 15 team-sport athletes performing accelerated, decelerated and constant low-, moderate- and high-speed running, and 90° cutting trials. Segmental acceleration profiles were then reconstructed from each principal component (PC) and used to calculate their specific GRF contributions. Results: The first PC explained 48.57% of the acceleration variability for all body segments and was primarily related to the between-task differences in the overall magnitude of the GRF impulse. Magnitude and timing of high-frequency acceleration and GRF features (i.e. impact related characteristics) were primarily explained by the second PC (12.43%) and also revealed important between-task differences. The most important GRF characteristics were explained by the first five PCs, while PCs beyond that primarily contained small contributions to the overall GRF impulse. Conclusions: These findings show that a multivariate PCA approach can reveal generalised acceleration patterns and specific segmental contributions to GRF features, but their relative importance for different running activities are task dependent. Using segmental acceleration to assess whole-body biomechanical loading generically across various movements may thus require task identification algorithms and/or advanced sensor or data fusion approaches. Copyright © 2019 Sports Medicine Australia. Published by Elsevier Ltd. All rights reserved.</t>
  </si>
  <si>
    <t xml:space="preserve">https://search.ebscohost.com/login.aspx?direct=true&amp;db=mdc&amp;AN=31445948&amp;site=ehost-live </t>
  </si>
  <si>
    <t>Independent Influence of Spinal Cord Injury Level on Thermoregulation during Exercise.</t>
  </si>
  <si>
    <t>Forsyth P; Miller J; Pumpa K; Thompson KG; Jay O</t>
  </si>
  <si>
    <t>10.1249/MSS.0000000000001978</t>
  </si>
  <si>
    <t>Exercise physiology; Paraplegia physiopathology; Quadriplegia physiopathology; Spinal Cord Injuries physiopathology; Sweating physiology; Adult; Body Temperature physiology; Esophagus physiology; Hot Temperature; Humans; Male; Paraplegia etiology; Quadriplegia etiology; Skin Temperature physiology; Spinal Cord Injuries complications; Young Adult</t>
  </si>
  <si>
    <t>Purpose: This study aimed to establish the true influence of spinal cord injury (SCI) level on core temperature and sweating during exercise in the heat independently of biophysical factors. Methods: A total of 31 trained males (8 with tetraplegia [TP; C5-C8], 7 with high paraplegia [HP; T1-T5], 8 with low paraplegia [LP; T6-L1], and 8 able bodied [AB]) performed 3 × 10 min of arm ergometry with 3-min rest at a metabolic heat production of (a) 4.0 W·kg (AB vs TP) or (b) 6.0 W·kg (AB vs HP vs LP), in 35°C, 50% relative humidity. Esophageal (Tes) and local skin temperatures and local sweat rate (LSR) on the forehead and upper back were measured throughout. Results: Change in Tes was greatest in TP (1.86°C ± 0.32°C vs 0.29°C ± 0.07°C, P &lt; 0.001) and greater in HP compared with LP and AB, reaching 1.20°C ± 0.50°C, 0.66°C ± 0.23°C, and 0.53°C ± 0.12°C, respectively (P &lt; 0.001). Approximately half of the variability in end-trial ΔTes was described by SCI level in paraplegics (adjusted R = 0.490, P = 0.005). Esophageal temperature onset thresholds of sweating at the forehead and upper back were similar among HP, LP, and AB, whereas no sweating was observed in TP. Thermosensitivity (ΔTes vs ΔLSR) was also similar, except for LP demonstrating lower thermosensitivity than AB at the upper back (0.78 ± 0.26 vs 1.59 ± 0.89 mg·cm·min, P = 0.039). Change in skin temperature was greatest in denervated regions, most notably at the calf in all SCI groups (TP, 2.07°C ± 0.93°C; HP, 2.73°C ± 0.68°C; LP, 2.92°C ± 1.48°C). Conclusion: This study is the first to show the relationship between ΔTes and SCI level in athletes with paraplegia after removing variability arising from differences in metabolic heat production and mass. Individual variability in ΔTes is further reduced among athletes with TP because of minimal evaporative heat loss secondary to an absence of sweating.</t>
  </si>
  <si>
    <t xml:space="preserve">https://search.ebscohost.com/login.aspx?direct=true&amp;db=mdc&amp;AN=30865188&amp;site=ehost-live </t>
  </si>
  <si>
    <t>Injury epidemiology and risk factors in competitive artistic gymnasts: a systematic review.</t>
  </si>
  <si>
    <t>Campbell RA; Bradshaw EJ; Ball NB; Pease DL; Spratford W</t>
  </si>
  <si>
    <t>10.1136/bjsports-2018-099547</t>
  </si>
  <si>
    <t>Athletic Injuries epidemiology; Gymnastics injuries; Humans; Incidence; Prevalence; Risk Factors</t>
  </si>
  <si>
    <t>Background: Artistic gymnastics is reported to have some of the highest injury rates in sports, which limits participation and often involves considerable medical expenses. Purpose: To critically appraise the epidemiological literature on injury patterns and risk factors in competitive artistic gymnastics. Study Design: Systematic review. Methods: Six databases were searched for articles that investigated injuries in competitive artistic gymnasts. Injury incidence, prevalence and risk factor data were extracted, alongside information on injury location, type, severity, nature and mechanism of injury. Quality and level of evidence were assessed using a modified Downs and Black quality index checklist and the Oxford Centre for Evidence-based Medicine guidelines. Results: The search identified 894 articles, with 22 eligible for inclusion. Descriptive analysis showed that injury incidence and prevalence varied from 0.3 to 3.6 injuries per gymnast (female=0.3-3.6, male=0.7) and 2.0-2.3 (female=2.0-2.3, male=2.0), respectively. Male gymnasts sustained mostly upper limb injuries, while female gymnast reported lower limb injuries. Floor was associated with the greatest number of injuries for both male and female gymnasts. Higher competitive level and exposure to competition were risk factors for gymnastics injury: age, body mass, body size, training duration and life stress were significant associated factors. Conclusion: Injury incidence and prevalence results are substantial among artistic gymnasts of all competitive levels. Gymnasts who train at highly competitive levels and are exposed to competition environments are a greater risk of injury. Future researchers should implement consistent reporting methods. Competing Interests: Competing interests: None declared. © Author(s) (or their employer(s)) 2019. No commercial re-use. See rights and permissions. Published by BMJ.</t>
  </si>
  <si>
    <t xml:space="preserve">https://search.ebscohost.com/login.aspx?direct=true&amp;db=mdc&amp;AN=30670379&amp;site=ehost-live </t>
  </si>
  <si>
    <t>Injury prevention strategies specific to pre-elite athletes competing in Olympic and professional sports - A systematic review.</t>
  </si>
  <si>
    <t>Smyth EA; Newman P; Waddington G; Weissensteiner JR; Drew MK</t>
  </si>
  <si>
    <t>10.1016/j.jsams.2019.03.002</t>
  </si>
  <si>
    <t>Athletes; Athletic Injuries prevention &amp; control; Competitive Behavior; Sports; Humans</t>
  </si>
  <si>
    <t>Objectives: To describe and evaluate injury prevention interventions for pre-elite athletes who compete in an Olympic or professional sport. Design: Systematic review. Methods: This review was prospectively registered (PROSPERO CRD42017065083) and a systematic electronic search was conducted in May 2017. The following inclusion criteria were applied: (1) studies including and analysing data specific to pre-elite athletes (determined by the T3/T4 levels of the FTEM model); (2) featured injury prevention interventions; (3) provided sufficient data related to injury such that the effect can be analysed e.g. injury rates, incidence, prevalence, injury rate ratios; (4) featured randomised and non-randomised controlled trials or prospective cohorts. Results: A total of 13,480 articles were retrieved with 121 titles identified and 11 studies satisfying the inclusion criteria. No studies demonstrated a low risk of bias. Four different interventions were identified: exercise (n=7, 64%), psychological (n=2, 18%), equipment (n=1, 9%), nutrition (n=1, 9%). Of the seven exercise interventions, four showed a protective effect and three found no significant effect, providing conflicting evidence. Caution is advised due to high risk of bias, low intervention reporting and minimal evidence for implementation planning in all seven studies. Conclusions: There is limited evidence from level 2 and 3 studies suggesting exercise and psychology interventions may prevent injury in pre-elite athletes. There is an absence of evidence to support the use of equipment and nutrition interventions in pre-elite athletes. There is a need for quality research designs confirming the clinical impact of existing injury prevention interventions for pre-elite athletes. Copyright © 2019 Sports Medicine Australia. All rights reserved.</t>
  </si>
  <si>
    <t xml:space="preserve">https://search.ebscohost.com/login.aspx?direct=true&amp;db=mdc&amp;AN=30930142&amp;site=ehost-live </t>
  </si>
  <si>
    <t>International Association of Athletics Federations Consensus Statement 2019: Nutrition for Athletics.</t>
  </si>
  <si>
    <t>Burke LM; Castell LM; Casa DJ; Close GL; Costa RJS; Desbrow B; Halson SL; Lis DM; Melin AK; Peeling P; Saunders PU; Slater GJ; Sygo J; Witard OC; Bermon S; Stellingwerff T</t>
  </si>
  <si>
    <t>10.1123/ijsnem.2019-0065</t>
  </si>
  <si>
    <t>Athletes; Nutritional Requirements; Sports Nutritional Sciences; Consensus; Diet; Dietary Supplements; Energy Intake; Energy Metabolism; Humans; Sports Nutritional Physiological Phenomena</t>
  </si>
  <si>
    <t>The International Association of Athletics Federations recognizes the importance of nutritional practices in optimizing an Athlete's well-being and performance. Although Athletics encompasses a diverse range of track-and-field events with different performance determinants, there are common goals around nutritional support for adaptation to training, optimal performance for key events, and reducing the risk of injury and illness. Periodized guidelines can be provided for the appropriate type, amount, and timing of intake of food and fluids to promote optimal health and performance across different scenarios of training and competition. Some Athletes are at risk of relative energy deficiency in sport arising from a mismatch between energy intake and exercise energy expenditure. Competition nutrition strategies may involve pre-event, within-event, and between-event eating to address requirements for carbohydrate and fluid replacement. Although a "food first" policy should underpin an Athlete's nutrition plan, there may be occasions for the judicious use of medical supplements to address nutrient deficiencies or sports foods that help the athlete to meet nutritional goals when it is impractical to eat food. Evidence-based supplements include caffeine, bicarbonate, beta-alanine, nitrate, and creatine; however, their value is specific to the characteristics of the event. Special considerations are needed for travel, challenging environments (e.g., heat and altitude); special populations (e.g., females, young and masters athletes); and restricted dietary choice (e.g., vegetarian). Ideally, each Athlete should develop a personalized, periodized, and practical nutrition plan via collaboration with their coach and accredited sports nutrition experts, to optimize their performance.</t>
  </si>
  <si>
    <t xml:space="preserve">https://search.ebscohost.com/login.aspx?direct=true&amp;db=mdc&amp;AN=30952204&amp;site=ehost-live </t>
  </si>
  <si>
    <t>Iron considerations for the athlete: a narrative review.</t>
  </si>
  <si>
    <t>Sim M; Garvican-Lewis LA; Cox GR; Govus A; McKay AKA; Stellingwerff T; Peeling P</t>
  </si>
  <si>
    <t>10.1007/s00421-019-04157-y</t>
  </si>
  <si>
    <t>Anemia, Iron-Deficiency prevention &amp; control; Athletes; Iron metabolism; Physical Conditioning, Human physiology; Anemia, Iron-Deficiency etiology; Athletic Performance; Female; Humans; Male; Physical Conditioning, Human adverse effects; Sex Factors</t>
  </si>
  <si>
    <t>Iron plays a significant role in the body, and is specifically important to athletes, since it is a dominant feature in processes such as oxygen transport and energy metabolism. Despite its importance, athlete populations, especially females and endurance athletes, are commonly diagnosed with iron deficiency, suggesting an association between sport performance and iron regulation. Although iron deficiency is most common in female athletes (~ 15-35% athlete cohorts deficient), approximately 5-11% of male athlete cohorts also present with this issue. Furthermore, interest has grown in the mechanisms that influence iron absorption in athletes over the last decade, with the link between iron regulation and exercise becoming a research focus. Specifically, exercise-induced increases in the master iron regulatory hormone, hepcidin, has been highlighted as a contributing factor towards altered iron metabolism in athletes. To date, a plethora of research has been conducted, including investigation into the impact that sex hormones, diet (e.g. macronutrient manipulation), training and environmental stress (e.g. hypoxia due to altitude training) have on an athlete's iron status, with numerous recommendations proposed for consideration. This review summarises the current state of research with respect to the aforementioned factors, drawing conclusions and recommendations for future work.</t>
  </si>
  <si>
    <t xml:space="preserve">https://search.ebscohost.com/login.aspx?direct=true&amp;db=mdc&amp;AN=31055680&amp;site=ehost-live </t>
  </si>
  <si>
    <t>Is an Energy Surplus Required to Maximize Skeletal Muscle Hypertrophy Associated With Resistance Training.</t>
  </si>
  <si>
    <t>Slater GJ; Dieter BP; Marsh DJ; Helms ER; Shaw G; Iraki J</t>
  </si>
  <si>
    <t>Frontiers in nutrition</t>
  </si>
  <si>
    <t>10.3389/fnut.2019.00131</t>
  </si>
  <si>
    <t>Frontiers Media S. A</t>
  </si>
  <si>
    <t>Resistance training is commonly prescribed to enhance strength/power qualities and is achieved via improved neuromuscular recruitment, fiber type transition, and/ or skeletal muscle hypertrophy. The rate and amount of muscle hypertrophy associated with resistance training is influenced by a wide array of variables including the training program, plus training experience, gender, genetic predisposition, and nutritional status of the individual. Various dietary interventions have been proposed to influence muscle hypertrophy, including manipulation of protein intake, specific supplement prescription, and creation of an energy surplus. While recent research has provided significant insight into optimization of dietary protein intake and application of evidence based supplements, the specific energy surplus required to facilitate muscle hypertrophy is unknown. However, there is clear evidence of an anabolic stimulus possible from an energy surplus, even independent of resistance training. Common textbook recommendations are often based solely on the assumed energy stored within the tissue being assimilated. Unfortunately, such guidance likely fails to account for other energetically expensive processes associated with muscle hypertrophy, the acute metabolic adjustments that occur in response to an energy surplus, or individual nuances like training experience and energy status of the individual. Given the ambiguous nature of these calculations, it is not surprising to see broad ranging guidance on energy needs. These estimates have never been validated in a resistance training population to confirm the "sweet spot" for an energy surplus that facilitates optimal rates of muscle gain relative to fat mass. This review not only addresses the influence of an energy surplus on resistance training outcomes, but also explores other pertinent issues, including "how much should energy intake be increased," "where should this extra energy come from," and "when should this extra energy be consumed." Several gaps in the literature are identified, with the hope this will stimulate further research interest in this area. Having a broader appreciation of these issues will assist practitioners in the establishment of dietary strategies that facilitate resistance training adaptations while also addressing other important nutrition related issues such as optimization of fuelling and recovery goals. Practical issues like the management of satiety when attempting to increase energy intake are also addressed.</t>
  </si>
  <si>
    <t xml:space="preserve">https://search.ebscohost.com/login.aspx?direct=true&amp;db=mdc&amp;AN=31482093&amp;site=ehost-live </t>
  </si>
  <si>
    <t>Isolated ingestion of caffeine and sodium bicarbonate on repeated sprint performance: A systematic review and meta-analysis.</t>
  </si>
  <si>
    <t>Lopes-Silva JP; Choo HC; Franchini E; Abbiss CR</t>
  </si>
  <si>
    <t>10.1016/j.jsams.2019.03.007</t>
  </si>
  <si>
    <t>Athletic Performance physiology; Caffeine pharmacology; Performance-Enhancing Substances pharmacology; Running physiology; Sodium Bicarbonate pharmacology; Caffeine administration &amp; dosage; Humans; Performance-Enhancing Substances administration &amp; dosage; Sodium Bicarbonate administration &amp; dosage</t>
  </si>
  <si>
    <t>Objectives: This study is a systematic review and meta-analysis aimed at investigating the isolated effects of caffeine and sodium bicarbonate (NaHCO 3 ) ingestion on repeated sprint ability (RSA). Methods: Following a search through PubMed and Scopus, 13 studies (7 with caffeine and 6 with NaHCO 3 ) were found to meet inclusion criteria. Random-effects of standardized mean difference (SMD) for total work and best sprint performance was examined. Study quality was assessed using QualSyst. Results: The meta-analysis indicated that caffeine ingestion did not improve the total work done (weighted average effect size Hedges's g = -0.01, 95%CI: -0.32 to 0.31, p = 0.97), best sprint (weighted average effect size Hedges's g = -0.02, 95% CI: -0.32 to 0.27; p = 0.87) or last sprint performance (weighed average effect size Hedge's g = -0.27, 95%CI: -0.68 to 0.14; p = 0.20), when compared with a placebo condition. Similarly, NaHCO 3 ingestion did not improve the total work done (weighted average effect size Hedges's g = 0.43, 95% CI: -0.11 to 0.97, p = 0.12), best sprint (weighted average effect size Hedges's g = 0.02, 95% CI -0.30 to 0.34; p = 0.90) or last sprint performance (weighted average effect size Hedge's g = 0.20, 95%CI: -0.13 to 0.52, p = 0.14), compared with a placebo condition. Quality assessment of selected articles was classified as strong. Conclusion: This meta-analysis provides evidence that repeated sprint ability is not affected by acute ingestion of caffeine or NaHCO 3 . Copyright © 2019 Sports Medicine Australia. Published by Elsevier Ltd. All rights reserved.</t>
  </si>
  <si>
    <t xml:space="preserve">https://search.ebscohost.com/login.aspx?direct=true&amp;db=mdc&amp;AN=31036532&amp;site=ehost-live </t>
  </si>
  <si>
    <t>Isometric Exercise to Reduce Pain in Patellar Tendinopathy In-Season: Is It Effective "on the Road"?</t>
  </si>
  <si>
    <t>Rio E; Purdam C; Girdwood M; Cook J</t>
  </si>
  <si>
    <t>10.1097/JSM.0000000000000549</t>
  </si>
  <si>
    <t>Exercise Therapy methods; Patellar Ligament physiopathology; Tendinopathy therapy; Athletes; Female; Humans; Male; Physical Therapy Modalities; Posture; Quadriceps Muscle</t>
  </si>
  <si>
    <t>Objective: To investigate the effectiveness of an isometric squat exercise using a portable belt, on patellar tendon pain and function, in athletes during their competitive season. Design: Case series with no requirements to change any aspect of games or training. The object of this pragmatic study was to investigate this intervention in addition to "usual management." A control or sham intervention was considered unacceptable to teams. Setting: In-season. Participants: A total of 25 male and female elite and subelite athletes from 5 sports. Intervention: 5 × 30-second isometric quadriceps squat exercise using a rigid belt completed over a 4-week period. Main Outcome Measures: (1) single-leg decline squat (SLDS)-a pain provocation test for the patellar tendon (numerical rating score of pain between 0 and 10), (2) VISA-P questionnaire assessing patellar tendon pain and function, and (3) self-reported adherence with completing the exercise over a 4-week period. Results: Baseline SLDS pain was high for these in-season athletes, median 7.5/10 (range 3.5-9) and was significantly reduced over the 4-week intervention (P &lt; 0.001, ES r = 0.580, median change 3.5). VISA-P scores improved after intervention (P &lt; 0.001, ES r = 0.568, mean change 12.2 ± 8.9, percentage mean change 18.8%, where minimum clinical important difference of relative change for VISA-P is 15.4%-27%). Adherence was high; athletes reported completing the exercise 5 times per week. Conclusions: This pragmatic study suggests that a portable isometric squat reduced pain in-season for athletes with patellar tendinopathy (PT). This form of treatment may be effective, but clinical trials with a control group are needed to confirm the results.</t>
  </si>
  <si>
    <t xml:space="preserve">https://search.ebscohost.com/login.aspx?direct=true&amp;db=mdc&amp;AN=31033611&amp;site=ehost-live </t>
  </si>
  <si>
    <t>Late swing or early stance? A narrative review of hamstring injury mechanisms during high-speed running.</t>
  </si>
  <si>
    <t>Kenneally-Dabrowski CJB; Brown NAT; Lai AKM; Perriman D; Spratford W; Serpell BG</t>
  </si>
  <si>
    <t>10.1111/sms.13437</t>
  </si>
  <si>
    <t>Athletic Injuries etiology; Hamstring Muscles injuries; Running injuries; Biomechanical Phenomena; Electromyography; Hamstring Muscles physiology; Hip; Humans; Knee; Tendons physiology; Torque</t>
  </si>
  <si>
    <t>Hamstring injuries are highly prevalent in many running-based sports, and predominantly affect the long head of biceps femoris. Re-injury rates are also high and together lead to considerable time lost from sport. However, the mechanisms for hamstring injury during high-speed running are still not fully understood. Therefore, the aim of this review was to summarize the current literature describing hamstring musculotendon mechanics and electromyography activity during high-speed running, and how they may relate to injury risk. The large eccentric contraction, characterized by peak musculotendon strain and negative work during late swing phase is widely suggested to be potentially injurious. However, it is also argued that high hamstring loads resulting from large joint torques and ground reaction forces during early stance may cause injury. While direct evidence is still lacking, the majority of the literature suggests that the most likely timing of injury is the late swing phase. Future research should aim to prospectively examine the relationship between hamstring musculotendon dynamics and hamstring injury. © 2019 John Wiley &amp; Sons A/S. Published by John Wiley &amp; Sons Ltd.</t>
  </si>
  <si>
    <t xml:space="preserve">https://search.ebscohost.com/login.aspx?direct=true&amp;db=mdc&amp;AN=31033024&amp;site=ehost-live </t>
  </si>
  <si>
    <t>Late swing running mechanics influence hamstring injury susceptibility in elite rugby athletes: A prospective exploratory analysis.</t>
  </si>
  <si>
    <t>Kenneally-Dabrowski C; Brown NAT; Warmenhoven J; Serpell BG; Perriman D; Lai AKM; Spratford W</t>
  </si>
  <si>
    <t>10.1016/j.jbiomech.2019.05.037</t>
  </si>
  <si>
    <t>Football injuries; Football physiology; Hamstring Muscles injuries; Hamstring Muscles physiopathology; Running injuries; Running physiology; Adult; Athletes; Biomechanical Phenomena; Hip Joint physiology; Humans; Knee Joint physiology; Lower Extremity physiology; Male; Pelvis physiology; Prospective Studies; Torso physiology; Young Adult</t>
  </si>
  <si>
    <t>Hamstring injuries are one of the most prevalent injuries in rugby union and many other running-based sports, such as track sprinting and soccer. The majority of these injuries occur during running; however, the relationship between running mechanics and hamstring injury is unclear. Obtaining large samples of prospective injury data to examine this relationship is difficult, and therefore exploratory analysis frameworks may assist in deriving valuable information from studies with small but novel samples. The aim of this study was to undertake a prospective exploratory analysis of the relationship between running mechanics and hamstring injury. Kinematic and kinetic data of the trunk, pelvis and lower limbs were collected during maximal overground running efforts for ten elite rugby union athletes. Subsequently, hamstring injury occurrence was recorded for the following Super Rugby season, during which three athletes sustained a running-based hamstring injury. Functional principal component analysis was used to visualise patterns of variability in running mechanics during the late swing phase between athletes. Results indicated that subsequently injured athletes demonstrated a tendency for greater thoracic lateral flexion, greater hip extension moments and greater knee power absorption, compared to uninjured athletes. All variables demonstrated an ability to descriptively differentiate between injured and uninjured athletes at approximately 60% of the late swing phase. Therefore, we hypothesize that greater thoracic lateral flexion, a greater hip extension moment and greater knee power absorption between peak hip flexion and peak knee extension during the late swing phase may put rugby athletes at greater risk of running-based hamstring injury. Copyright © 2019 Elsevier Ltd. All rights reserved.</t>
  </si>
  <si>
    <t xml:space="preserve">https://search.ebscohost.com/login.aspx?direct=true&amp;db=mdc&amp;AN=31176462&amp;site=ehost-live </t>
  </si>
  <si>
    <t>Longer-term effects of minimalist shoes on running performance, strength and bone density: A 20-week follow-up study .</t>
  </si>
  <si>
    <t>Fuller JT; Thewlis D; Tsiros MD; Brown NAT; Hamill J; Buckley JD</t>
  </si>
  <si>
    <t>10.1080/17461391.2018.1505958</t>
  </si>
  <si>
    <t>Athletic Performance; Bone Density; Running; Shoes; Adult; Biomechanical Phenomena; Follow-Up Studies; Humans; Male; Young Adult</t>
  </si>
  <si>
    <t>This study investigated whether male runners improve running performance, running economy, ankle plantar flexor strength, and alter running biomechanics and lower limb bone mineral density when gradually transitioning to using minimalist shoes for 100% of weekly running. The study was a planned follow-up of runners (n = 50) who transitioned to minimalist or conventional shoes for 35% of weekly structured training in a previous 6-week randomised controlled trial. In that trial, running performance and economy improved more with minimalist shoes than conventional shoes. Runners in each group were instructed to continue running in their allocated shoe during their own preferred training programme for a further 20 weeks while increasing allocated shoe use to 100% of weekly training. At the 20-week follow-up, minimalist shoes did not affect performance (effect size: 0.19; p = 0.218), running economy (effect size: ≤ 0.24; p ≥ 0.388), stride rate or length (effect size: ≤ 0.12; p ≥ 0.550), foot strike (effect size: ≤ 0.25; p ≥ 0.366), or bone mineral density (effect size: ≤ 0.40; p ≥ 0.319). Minimalist shoes increased plantar flexor strength more than conventional shoes when runners trained with greater mean weekly training distances (shoe*distance interaction: p = 0.036). After greater improvements with minimalist shoes during the initial six weeks of a structured training programme, increasing minimalist shoe use from 35% to 100% over 20 weeks, when runners use their own preferred training programme, did not further improve performance, running economy or alter running biomechanics and lower limb bone mineral density. Minimalist shoes improved plantar flexor strength more than conventional shoes in runners with greater weekly training distances.</t>
  </si>
  <si>
    <t xml:space="preserve">https://search.ebscohost.com/login.aspx?direct=true&amp;db=mdc&amp;AN=30102872&amp;site=ehost-live </t>
  </si>
  <si>
    <t>Magnetic Resonance Imaging and Freehand 3-D Ultrasound Provide Similar Estimates of Free Achilles Tendon Shape and 3-D Geometry.</t>
  </si>
  <si>
    <t>Devaprakash D; Lloyd DG; Barrett RS; Obst SJ; Kennedy B; Adams KL; Hunter A; Vlahovich N; Pease DL; Pizzolato C</t>
  </si>
  <si>
    <t>Ultrasound in medicine &amp; biology</t>
  </si>
  <si>
    <t>10.1016/j.ultrasmedbio.2019.07.679</t>
  </si>
  <si>
    <t>Pergamon Press</t>
  </si>
  <si>
    <t>Achilles Tendon diagnostic imaging; Athletes; Imaging, Three-Dimensional methods; Magnetic Resonance Imaging methods; Ultrasonography methods; Adult; Female; Humans; Image Interpretation, Computer-Assisted; Male</t>
  </si>
  <si>
    <t>The purpose of this study was to assess the similarity of free Achilles tendon shape and 3-D geometry between magnetic resonance imaging (MRI) and freehand 3-D ultrasound (3-DUS) imaging methods. Fourteen elite/sub-elite middle-distance runners participated in the study. MRI and 3-DUS scans of the Achilles tendon were acquired on two separate imaging sessions, and all 3-D reconstructions were performed using identical methods. Shape similarity of free Achilles tendon reconstructed from MRI and 3-DUS data was assessed using Jaccard index, Hausdorff distance and root mean square error (RMSE). The Jaccard index, Hausdorff distance and RMSE values were 0.76 ± 0.05, 2.70 ± 0.70 and 0.61 ± 0.10 mm, respectively. The level of agreement between MRI and 3-DUS for free Achilles tendon volume, length and average cross-sectional area (CSA) was assessed using Bland-Altman analysis. Compared to MRI, freehand 3-DUS overestimated volume, length and average CSA by 30.6 ± 15.8 mm 3 (1.1% ± 0.6%), 0.3 ± 0.7 mm (0.6% ± 1.9%) and 0.3 ± 1.42 mm 2 (0.4% ± 2.0%), respectively. The upper and lower limits of agreement between MRI and 3-DUS for volume, length and average CSA were -0.4 to 61.7 mm 3 (-0.2% to 2.3%), -1.0 to 1.5 mm (-3.2% to 4.5%) and -2.5 to 3.1 mm 2 (-3.5% to 4.3%), respectively. There were no significant differences between imaging methods in CSA along the length of the tendon. In conclusion, MRI and freehand 3-DUS may be considered equivalent methods for estimating shape and 3-D geometry of the free Achilles tendon. These findings, together with the practical benefits of being able to assess 3-D Achilles tendon shape and geometry in a laboratory environment and under isometric loading, make 3-DUS an attractive alternative to MRI for assessing 3-D free Achilles tendon macro-structure in future studies. Copyright © 2019 World Federation for Ultrasound in Medicine &amp; Biology. Published by Elsevier Inc. All rights reserved.</t>
  </si>
  <si>
    <t xml:space="preserve">https://search.ebscohost.com/login.aspx?direct=true&amp;db=mdc&amp;AN=31471069&amp;site=ehost-live </t>
  </si>
  <si>
    <t>Mass distribution of wheelchair athletes assessed using DXA scans and biomechanical simulations.</t>
  </si>
  <si>
    <t>Lewis AR; Robertson W; Phillips EJ; Grimshaw PN; Portus M</t>
  </si>
  <si>
    <t>Journal of biomechanical engineering</t>
  </si>
  <si>
    <t>10.1115/1.4043869</t>
  </si>
  <si>
    <t>American Society Of Mechanical Engineers</t>
  </si>
  <si>
    <t>The anthropometries of elite wheelchair racing athletes differ to the generic, able-bodied anthropometries commonly used in computational biomechanical simulations. The impact of using able-bodied parameters on the accuracy of simulations involving wheelchair racing is currently unknown. In this study, athlete-specific mass segment inertial parameters of five elite wheelchair athletes were calculated using dual-energy X-ray absorptiometry scans. These were compared against commonly used anthropometrics parameters of data presented in the literature. A computational biomechanical simulation of wheelchair propulsion assessed the sensitivity of athlete-specific mass parameters using Kruskal-Wallis analysis, Mann-Whitney U analysis and Spearman correlations. Substantial between-athlete body mass distribution variances (thigh mass &lt; 14.6% total body mass), and between-limb asymmetries (&lt;62.4%; 3.1 kg) were observed. Compared to non-athletic able-bodied anthropometric data, wheelchair racing athletes demonstrated greater mass in the upper extremities (up to 3.8% total body mass), and less in the lower extremities (up to 9.8% total body mass). Computational simulations were sensitive to individual body mass distribution, with simulation outputs increasing by up to 12.5% when measured segment masses were 14.3% greater than the generic counterpart. These data suggest non-athletic, able-bodied mass segment inertial parameters are inappropriate for analysing elite wheelchair racing motion.</t>
  </si>
  <si>
    <t xml:space="preserve">https://search.ebscohost.com/login.aspx?direct=true&amp;db=mdc&amp;AN=31141594&amp;site=ehost-live </t>
  </si>
  <si>
    <t>Netrin-1-like-immunoreactivity Coexpresses With DCC and Has a Differential Level in the Myenteric Cholinergic and Nitrergic Neurons of the Adult Mouse Colon.</t>
  </si>
  <si>
    <t>Ko SY; Price JT; Blatch GL; Nurgali K</t>
  </si>
  <si>
    <t>The journal of histochemistry and cytochemistry : official journal of the Histochemistry Society</t>
  </si>
  <si>
    <t>10.1369/0022155418819821</t>
  </si>
  <si>
    <t>SAGE Publications</t>
  </si>
  <si>
    <t>Cholinergic Neurons cytology; Colon innervation; DCC Receptor analysis; Myenteric Plexus cytology; Netrin-1 analysis; Nitrergic Neurons cytology; Animals; Fluorescent Antibody Technique; Male; Mice; Mice, Inbred BALB C</t>
  </si>
  <si>
    <t>Netrin-1 is a potent axonal and neuronal guidance cue in the developing nervous system. Netrin-1 functions are mediated by its receptors, such as deleted in colorectal cancer (DCC) present on axons and neurons. Localization of DCC and Netrin-1 on various types of enteric neurons and their role in the mature enteric nervous system is unknown. The results of our study revealed that almost all enteric neurons and processes express DCC and Netrin-1 in the adult mice. Netrin-1-like-immunoreactivity (IR) was detected in the cytoplasm of neurons with some showing strong or weak staining. The majority of Netrin-1-like-immunoreactive enteric neurons were choline acetyltransferase (ChAT)-positive. However, ~19% of neurons were strongly Netrin-1-like-positive but ChAT-negative while ~8% of neurons were Netrin-1-like-negative but strongly ChAT-positive. In contrast, almost all nitric oxide synthase (nNOS)-positive enteric neurons displayed strong Netrin-1-like-IR. This differential intensity of Netrin-1 expression in the myenteric neurons might determine major neuronal subtypes regulating intestinal motility, ChAT-IR excitatory, and nNOS-IR inhibitory muscle motor and interneurons. This is the first study demonstrating the localization of DCC and Netrin-1 in the colonic myenteric plexus of the adult mice and their expression level determining two major neuronal subtypes regulating intestinal motility.</t>
  </si>
  <si>
    <t xml:space="preserve">https://search.ebscohost.com/login.aspx?direct=true&amp;db=mdc&amp;AN=30576266&amp;site=ehost-live </t>
  </si>
  <si>
    <t>Normobaric Hypoxia Reduces V˙O2 at Different Intensities in Highly Trained Runners.</t>
  </si>
  <si>
    <t>Sharma AP; Saunders PU; Garvican-Lewis LA; Clark B; Gore CJ; Thompson KG; Périard JD</t>
  </si>
  <si>
    <t>10.1249/MSS.0000000000001745</t>
  </si>
  <si>
    <t>Altitude; Anaerobic Threshold physiology; Cardiorespiratory Fitness physiology; Hypoxia; Oxygen Consumption physiology; Running physiology; Acclimatization; Adult; Exercise Test; High-Intensity Interval Training methods; Humans; Male; Young Adult</t>
  </si>
  <si>
    <t>Introduction: We sought to determine the effect of low and moderate normobaric hypoxia on oxygen consumption and anaerobic contribution during interval running at different exercise intensities. Methods: Eight runners (age, 25 ± 7 yr, V˙O2max: 72.1 ± 5.6 mL·kg·min) completed three separate interval sessions at threshold (4 × 5 min, 2-min recovery), V˙O2max (8 × 90 s, 90-s recovery), and race pace (10 × 45 s, 1 min 45 s recovery) in each of; normoxia (elevation: 580 m, FiO2: 0.21), low (1400 m, 0.195) or moderate (2100 m, 0.18) normobaric hypoxia. The absolute running speed for each intensity was kept the same at each altitude to evaluate the effect of FiO2 on physiological responses. Expired gas was collected throughout each session, with total V˙O2 and accumulated oxygen deficit calculated. Data were compared using repeated-measures ANOVA. Results: There were significant differences between training sessions for peak and total V˙O2, and anaerobic contribution (P &lt; 0.001, P = 0.01 respectively), with race pace sessions eliciting the lowest and highest responses respectively. Compared to 580 m, total V˙O2 at 2100 m was significantly lower (P &lt; 0.05), and anaerobic contribution significantly higher (P &lt; 0.05) during both threshold and V˙O2max sessions. No significant differences were observed between altitudes for race pace sessions. Conclusions: To maintain oxygen flux, completing acute exercise at threshold and V˙O2max intensity at 1400 m simulated altitude appears more beneficial compared with 2100 m. However, remaining at moderate altitude is a suitable when increasing the anaerobic contribution to exercise is a targeted response to training.</t>
  </si>
  <si>
    <t xml:space="preserve">https://search.ebscohost.com/login.aspx?direct=true&amp;db=mdc&amp;AN=30095742&amp;site=ehost-live </t>
  </si>
  <si>
    <t>Nutrition and Altitude: Strategies to Enhance Adaptation, Improve Performance and Maintain Health: A Narrative Review.</t>
  </si>
  <si>
    <t>Stellingwerff T; Peeling P; Garvican-Lewis LA; Hall R; Koivisto AE; Heikura IA; Burke LM</t>
  </si>
  <si>
    <t>Suppl 2</t>
  </si>
  <si>
    <t>10.1007/s40279-019-01159-w</t>
  </si>
  <si>
    <t>Acclimatization; Altitude; Athletic Performance physiology; Sports Nutritional Physiological Phenomena; Antioxidants administration &amp; dosage; Diet; Dietary Supplements; Erythropoiesis; Humans; Hypoxia; Iron administration &amp; dosage; Iron physiology; Micronutrients administration &amp; dosage; Nutritional Requirements; Oxidative Stress</t>
  </si>
  <si>
    <t>Training at low to moderate altitudes (~ 1600-2400 m) is a common approach used by endurance athletes to provide a distinctive environmental stressor to augment training stimulus in the anticipation of increasing subsequent altitude- and sea-level-based performance. Despite some scientific progress being made on the impact of various nutrition-related changes in physiology and associated interventions at mountaineering altitudes (&gt; 3000 m), the impact of nutrition and/or supplements on further optimization of these hypoxic adaptations at low-moderate altitudes is only an emerging topic. Within this narrative review we have highlighted six major themes involving nutrition: altered energy availability, iron, carbohydrate, hydration, antioxidant requirements and various performance supplements. Of these issues, emerging data suggest that particular attention be given to the potential risk for poor energy availability and increased iron requirements at the altitudes typical of elite athlete training (~ 1600-2400 m) to interfere with optimal adaptations. Furthermore, the safest way to address the possible increase in oxidative stress associated with altitude exposure is via the consumption of antioxidant-rich foods rather than high-dose antioxidant supplements. Meanwhile, many other important questions regarding nutrition and altitude training remain to be answered. At the elite level of sport where the differences between winning and losing are incredibly small, the strategic use of nutritional interventions to enhance the adaptations to altitude training provides an important consideration in the search for optimal performance.</t>
  </si>
  <si>
    <t xml:space="preserve">https://search.ebscohost.com/login.aspx?direct=true&amp;db=mdc&amp;AN=31691928&amp;site=ehost-live </t>
  </si>
  <si>
    <t>Nutrition for Travel: From Jet lag To Catering.</t>
  </si>
  <si>
    <t>Halson SL; Burke LM; Pearce J</t>
  </si>
  <si>
    <t>10.1123/ijsnem.2018-0278</t>
  </si>
  <si>
    <t>Athletes; Jet Lag Syndrome; Sports Nutritional Physiological Phenomena; Travel; Caffeine; Humans; Light; Meals; Melatonin; Time Factors</t>
  </si>
  <si>
    <t>Domestic and international travel represents a regular challenge to high-performance track-and-field athletes, particularly when associated with the pressure of competition or the need to support specialized training (e.g., altitude or heat adaptation). Jet lag is a challenge for transmeridian travelers, while fatigue and alterations to gastrointestinal comfort are associated with many types of long-haul travel. Planning food and fluid intake that is appropriate to the travel itinerary may help to reduce problems. Resynchronization of the body clock is achieved principally through manipulation of zeitgebers, such as light exposure; more investigation of the effects of melatonin, caffeine, and the timing/composition of meals will allow clearer guidelines for their contribution to be prepared. At the destination, the athlete, the team management, and catering providers each play a role in achieving eating practices that support optimal performance and success in achieving the goals of the trip. Although the athlete is ultimately responsible for his or her nutrition plan, best practice by all parties will include pretrip consideration of risks around the quality, quantity, availability, and hygiene standards of the local food supply and the organization of strategies to deal with general travel nutrition challenges as well as issues that are specific to the area or the special needs of the group. Management of buffet-style eating, destination-appropriate protocols around food/water and personal hygiene, and arrangement of special food needs including access to appropriate nutritional support between the traditional "3 meals a day" schedule should be part of the checklist.</t>
  </si>
  <si>
    <t xml:space="preserve">https://search.ebscohost.com/login.aspx?direct=true&amp;db=mdc&amp;AN=30507257&amp;site=ehost-live </t>
  </si>
  <si>
    <t>Objective Perimetry in Sporting-Related Mild Traumatic Brain Injury.</t>
  </si>
  <si>
    <t>Sabeti F; Carle CF; Jaros RK; Rohan EMF; Waddington G; Lueck CJ; Hughes D; Maddess T</t>
  </si>
  <si>
    <t>Ophthalmology</t>
  </si>
  <si>
    <t>10.1016/j.ophtha.2019.01.026</t>
  </si>
  <si>
    <t>Elsevier</t>
  </si>
  <si>
    <t>Brain Injuries complications; Football injuries; Retina physiopathology; Visual Fields physiology; Adult; Case-Control Studies; Female; Humans; Male; Prospective Studies; Visual Acuity physiology; Visual Field Tests; Young Adult</t>
  </si>
  <si>
    <t xml:space="preserve">https://search.ebscohost.com/login.aspx?direct=true&amp;db=mdc&amp;AN=30711605&amp;site=ehost-live </t>
  </si>
  <si>
    <t>Oral Supplementation of Specific Collagen Peptides Combined with Calf-Strengthening Exercises Enhances Function and Reduces Pain in Achilles Tendinopathy Patients.</t>
  </si>
  <si>
    <t>Praet SFE; Purdam CR; Welvaert M; Vlahovich N; Lovell G; Burke LM; Gaida JE; Manzanero S; Hughes D; Waddington G</t>
  </si>
  <si>
    <t>10.3390/nu11010076</t>
  </si>
  <si>
    <t>Achilles Tendon pathology; Collagen administration &amp; dosage; Pain Management; Peptide Fragments administration &amp; dosage; Tendinopathy therapy; Administration, Oral; Adult; Collagen chemistry; Cross-Over Studies; Double-Blind Method; Female; Humans; Male; Middle Aged; Peptide Fragments chemistry; Resistance Training</t>
  </si>
  <si>
    <t>The current pilot study investigates whether oral supplementation of specific collagen peptides improves symptoms and tendon vascularisation in patients with chronic mid-portion Achilles tendinopathy in combination with structured exercise. Participants were given a placebo or specific collagen peptides (TENDOFORTE ® ) in combination with a bi-daily calf-strengthening program for 6 months. Group AB received specific collagen peptides for the first 3 months before crossing over to placebo. Group BA received placebo first before crossing over to specific collagen peptides. At baseline (T1), 3 (T2) and 6 (T3) months, Victorian Institute of Sports Assessment⁻Achilles (VISA-A) questionnaires and microvascularity measurements through contrast-enhanced ultrasound were obtained in 20 patients. Linear mixed modeling statistics showed that after 3 months, VISA-A increased significantly for group AB with 12.6 (9.7; 15.5), while in group BA VISA-A increased only by 5.3 (2.3; 8.3) points. After crossing over group AB and BA showed subsequently a significant increase in VISA-A of, respectively, 5.9 (2.8; 9.0) and 17.7 (14.6; 20.7). No adverse advents were reported. Microvascularity decreased in both groups to a similar extent and was moderately associated with VISA-A ( R c ²:0.68). We conclude that oral supplementation of specific collagen peptides may accelerate the clinical benefits of a well-structured calf-strengthening and return-to-running program in Achilles tendinopathy patients.</t>
  </si>
  <si>
    <t xml:space="preserve">https://search.ebscohost.com/login.aspx?direct=true&amp;db=mdc&amp;AN=30609761&amp;site=ehost-live </t>
  </si>
  <si>
    <t>Plasma Amino Acid Concentrations After the Ingestion of Dairy and Collagen Proteins, in Healthy Active Males.</t>
  </si>
  <si>
    <t>Alcock RD; Shaw GC; Tee N; Burke LM</t>
  </si>
  <si>
    <t>10.3389/fnut.2019.00163</t>
  </si>
  <si>
    <t>Introduction: Recent evidence suggests that the consumption of essential amino acids (AA) and/or those abundantly present in collagen may have the capacity to influence the synthesis of new collagen in ligaments and tendons, when tissue perfusion is optimized (e.g., during exercise). However, little is currently known about the bioavailability of these AAs in blood after the consumption of various collagen and diary protein sources: such information is needed to develop potentially useful dietary and supplement intake strategies. Objectives: The aim of the current study was to characterize blood AA concentrations in response to consumption of collagen and dairy protein sources; specifically, maximum concentrations, the timing of maximum concentration, and total (area under the curve) exposure above baseline. Methods: A 20 g serve of various dairy and collagen proteins, and a 300 mL serve of bone broth were consumed by healthy, recreationally active males after an overnight fast. Blood samples were drawn every 20 min for a total of 180 min, for analysis of plasma AA concentrations. Total AA, essential AA and collagen specific AAs were analyzed for maximum concentration, timing of peak, and area under the curve. Results: In general, protein intake was associated with a similar increase in total and collagen specific AAs, except for collagen proteins being a superior source of glycine (683 ± 166 μmol/L) compared to 260 ± 65 μmol/L for dairy proteins ( P &lt; 0.0001), whilst dairy proteins were a superior source of leucine (267 ± 77 μmol/L) compared to 189 ± μmol/L for collagen proteins ( P &lt; 0.04). Although there were several differences in the bioavailability of hydrolysed compared to non-hydrolysed proteins, this only reached statistical significance within the dairy proteins, but not for collagen proteins. Conclusions: The intake of collagen proteins result in higher plasma peaks of glycine, whilst the intake of dairy proteins result in higher plasma peaks of leucine. This information may support further investigations, and identification of key AAs that may support exercise in the synthesis of collagen. Copyright © 2019 Alcock, Shaw, Tee and Burke.</t>
  </si>
  <si>
    <t xml:space="preserve">https://search.ebscohost.com/login.aspx?direct=true&amp;db=mdc&amp;AN=31681789&amp;site=ehost-live </t>
  </si>
  <si>
    <t>Practical Hydration Solutions for Sports.</t>
  </si>
  <si>
    <t>Belval LN; Hosokawa Y; Casa DJ; Adams WM; Armstrong LE; Baker LB; Burke L; Cheuvront S; Chiampas G; González-Alonso J; Huggins RA; Kavouras SA; Lee EC; McDermott BP; Miller K; Schlader Z; Sims S; Stearns RL; Troyanos C; Wingo J</t>
  </si>
  <si>
    <t>10.3390/nu11071550</t>
  </si>
  <si>
    <t>Drinking; Sports; Water; Athletes; Dehydration prevention &amp; control; Humans</t>
  </si>
  <si>
    <t>Personalized hydration strategies play a key role in optimizing the performance and safety of athletes during sporting activities. Clinicians should be aware of the many physiological, behavioral, logistical and psychological issues that determine both the athlete's fluid needs during sport and his/her opportunity to address them; these are often specific to the environment, the event and the individual athlete. In this paper we address the major considerations for assessing hydration status in athletes and practical solutions to overcome obstacles of a given sport. Based on these solutions, practitioners can better advise athletes to develop practices that optimize hydration for their sports.</t>
  </si>
  <si>
    <t xml:space="preserve">https://search.ebscohost.com/login.aspx?direct=true&amp;db=mdc&amp;AN=31324008&amp;site=ehost-live </t>
  </si>
  <si>
    <t>Predicting fatigue using countermovement jump force-time signatures: PCA can distinguish neuromuscular versus metabolic fatigue.</t>
  </si>
  <si>
    <t>Wu PP; Sterkenburg N; Everett K; Chapman DW; White N; Mengersen K</t>
  </si>
  <si>
    <t>e0219295</t>
  </si>
  <si>
    <t>10.1371/journal.pone.0219295</t>
  </si>
  <si>
    <t>Athletic Performance physiology; Football physiology; Muscle Fatigue physiology; Muscle Strength physiology; Adult; Athletes; Exercise Test; Humans; Male; Neuromuscular Monitoring methods; Plyometric Exercise; Principal Component Analysis; Young Adult</t>
  </si>
  <si>
    <t>Purpose: This study investigated the relationship between the ground reaction force-time profile of a countermovement jump (CMJ) and fatigue, specifically focusing on predicting the onset of neuromuscular versus metabolic fatigue using the CMJ. Method: Ten recreational athletes performed 5 CMJs at time points prior to, immediately following, and at 0.5, 1, 3, 6, 24 and 48 h after training, which comprised repeated sprint sessions of low, moderate, or high workloads. Features of the concentric portion of the CMJ force-time signature at the measurement time points were analysed using Principal Components Analysis (PCA) and functional PCA (fPCA) to better understand fatigue onset given training workload. In addition, Linear Mixed Effects (LME) models were developed to predict the onset of fatigue. Results: The first two Principal Components (PCs) using PCA explained 68% of the variation in CMJ features, capturing variation between athletes through weighted combinations of force, concentric time and power. The next two PCs explained 9.9% of the variation and revealed fatigue effects between 6 to 48 h after training for PC3, and contrasting neuromuscular and metabolic fatigue effects in PC4. fPCA supported these findings and further revealed contrasts between metabolic and neuromuscular fatigue effects in the first and second half of the force-time curve in PC3, and a double peak effect in PC4. Subsequently, CMJ measurements up to 0.5 h after training were used to predict relative peak CMJ force, with mean squared errors of 0.013 and 0.015 at 6 and 48 h corresponding to metabolic and neuromuscular fatigue. Conclusion: The CMJ was found to provide a strong predictor of neuromuscular and metabolic fatigue, after accounting for force, concentric time and power. This method can be used to assist coaches to individualise future training based on CMJ response to the immediate session. Competing Interests: The authors have declared that no competing interests exist.</t>
  </si>
  <si>
    <t xml:space="preserve">https://search.ebscohost.com/login.aspx?direct=true&amp;db=mdc&amp;AN=31291303&amp;site=ehost-live </t>
  </si>
  <si>
    <t>Racing Fast and Slow: Defining the Tactical Behavior That Differentiates Medalists in Elite Men's 1,500 m Championship Racing.</t>
  </si>
  <si>
    <t>Sandford GN; Day BT; Rogers SA</t>
  </si>
  <si>
    <t>10.3389/fspor.2019.00043</t>
  </si>
  <si>
    <t>Background: 1,500 m running has long been a blue ribbon event of track championship racing. The eventual medalists employ common tactical behaviors such as a fast sustained pace from the start (gun-to-tape), or, slow initial laps that precede a precisely timed race kick. Before the kick, there are positional changes caused by surging, that can go uncharacterized. The inter-relationship of surge events, tactical positioning, and kick execution may have important implications for eventual medal winning outcomes and require further definition. Methods: In a randomized order, three middle-distance running experts were provided publically available video (YouTube) of 16 men's 1,500 m championship races across, European, World and Olympic championships. Each expert determined the occurrence of surges (defined as any point in the 1,500 m after the first 300 m where an athlete repositions by ≥3 places; or noticeably dictates a raise in the pace from the front) and the race kick. Following a second level verification of expert observations, tactical behaviors (quantity and distance marker within each race) mean distance from the finish were compared between fast (≤3:34.00, n = 5), medium (&gt;3:34.00- ≤3:41.99, n = 7) and slow (≥3:42.00, n = 4) race categories. Results: Before the race kick, there were more surges in slow (5 ± 1.7, mean ±90% confidence limits) vs. fast races (1 ± 0.4, very large difference, very likely ). The final surge before the race kick occurred earlier in fast (704 ± 133 m from the finish) vs. medium (427 ± 83 m, large difference, most likely ), and slow races (370 ± 137 m, large difference, most likely ). At initiation of the race kick in fast races, large positional differences were found between eventual gold (2 ± 1.2; likely ) and silver (2.2 ± 1.6; likely ) vs. bronze medalists (4.4 ± 1.2). In slow races, positional differences were unclear between eventual gold (4.3 ± 4.7), silver (4.8 ± 4.8) and bronze medalists (5.3 ± 1.5). Regardless of category, the race kick occurred on the last lap, with unclear differences between fast 244 ± 92 m medium 243 ± 56 m and slow 236 ± 142 m races. Conclusions: Presenting tactical behaviors by race categorization (slow, medium, fast race times), provides a novel understanding of the nuance of racing tactics. The present findings highlight the importance of considering within race athlete decision making across multiple-race scenarios during championship preparation. Copyright © 2019 Sandford, Day and Rogers.</t>
  </si>
  <si>
    <t xml:space="preserve">https://search.ebscohost.com/login.aspx?direct=true&amp;db=mdc&amp;AN=33344966&amp;site=ehost-live </t>
  </si>
  <si>
    <t>Racing weight and resistance training: perceptions and practices in trained male cyclists.</t>
  </si>
  <si>
    <t>Hoon MW; Haakonssen EC; Menaspà P; Burke LM</t>
  </si>
  <si>
    <t>10.1080/00913847.2019.1607602</t>
  </si>
  <si>
    <t>Athletes; Attitude; Bicycling; Resistance Training; Weight Loss; Adult; Body Weight; Humans; Male</t>
  </si>
  <si>
    <t>Objectives : This study sought to investigate the perceptions and practices of achieving 'race weight' in a population of trained male cyclists. A secondary focus was to investigate the use of gym-based strength training, a possible attenuator of the side effects associated with weight reduction. Methods : A total of n = 97 well-trained cyclists ranging from local club level to international standard completed an online survey capturing data on the aforementioned topics. Results : Forty-nine percent of respondents indicated they were unsatisfied with their current bodyweight, with a similar percentage across club, national and international level riders. Riders who identified as climbers had lower reported bodyweight; however, all categories of riders expressed a desire to reduce bodyweight by a similar percentage (1.9%, ± 3.4%; 90% CL). Seventy-seven percent of respondents indicated that they had recently tried or were currently trying to reduce bodyweight, most commonly by reducing food intake and avoiding sugary foods. Nine percent indicated they were using either supplements or medications to lower bodyweight, and 27% reported having sought advice from a health professional. A higher proportion of international riders engaged in strength training (85%), compared to national (50%) and club (55%) riders ( p &lt; 0.05). The most cited reasons for not strength training were time constraints and believing it was not beneficial to their cycling performance. Conclusion : These data suggest that trained male cyclists are a highly weight-conscious population who engage in a variety of practices to reduce weight. Practitioners should be aware of these tendencies, as they may carry significant health implications if poorly implemented.</t>
  </si>
  <si>
    <t xml:space="preserve">https://search.ebscohost.com/login.aspx?direct=true&amp;db=mdc&amp;AN=30978146&amp;site=ehost-live </t>
  </si>
  <si>
    <t>Response.</t>
  </si>
  <si>
    <t>10.1249/MSS.0000000000002087</t>
  </si>
  <si>
    <t>Body Temperature Regulation; Spinal Cord Injuries; Exercise; Humans</t>
  </si>
  <si>
    <t xml:space="preserve">https://search.ebscohost.com/login.aspx?direct=true&amp;db=mdc&amp;AN=31626060&amp;site=ehost-live </t>
  </si>
  <si>
    <t>Response: Commentary: Long-term Practice with Domain-Specific Task Constraints Influences Perceptual Skills.</t>
  </si>
  <si>
    <t>Oppici L; Panchuk D; Serpiello FR; Farrow D</t>
  </si>
  <si>
    <t>10.3389/fpsyg.2019.00085</t>
  </si>
  <si>
    <t xml:space="preserve">https://search.ebscohost.com/login.aspx?direct=true&amp;db=mdc&amp;AN=30761045&amp;site=ehost-live </t>
  </si>
  <si>
    <t>Sleep Patterns and Alertness in an Elite Super Rugby Team During a Game Week.</t>
  </si>
  <si>
    <t>Dunican IC; Higgin CC; Murray K; Jones MJ; Dawson B; Caldwell JA; Halson SL; Eastwood PR</t>
  </si>
  <si>
    <t>Journal of human kinetics</t>
  </si>
  <si>
    <t>10.2478/hukin-2018-0088</t>
  </si>
  <si>
    <t>Sciendo</t>
  </si>
  <si>
    <t>Sleep is a vital component of preparation, performance and recovery for a Super Rugby game. The purpose of this study was to quantify sleep behaviours and alertness of professional rugby union players during training and a game. Thirty-six rugby union players from a Super Rugby team wore a wrist-activity device (Readiband™) to measure sleep for 3 days before, 3 days after and on the night of an evening game. Players were separated into those selected to play the game (n = 23) and those who were not (n = 13). Alertness was assessed for all training and game times using bio-mathematical modelling. Alertness measures ≤90% were considered to reflect impaired reaction time. Those selected to play in the game progressively increased sleep duration over the nights prior to the game (by 92 min p ≤ 0.05) by delaying wake time. Players went to bed later after the game (02:20 ± 114 min vs 22:57 ± 60 min; p ≤ 0.001) which resulted in decreased sleep duration on game night compared to pre-game nights (296 ± 179 min vs 459 ± 78 min; p ≤ 0.05). Four players did not achieve any sleep on game night. Sleep duration appeared to be truncated by early morning training sessions (before 08:00) on the second and third mornings after the game. Alertness was &gt;90% for all training and game times for all players. In conclusion, in the days leading into a Super Rugby game, players delay morning time at wake and consequently increase sleep duration with post-game sleep reduced in some.</t>
  </si>
  <si>
    <t xml:space="preserve">https://search.ebscohost.com/login.aspx?direct=true&amp;db=mdc&amp;AN=31523310&amp;site=ehost-live </t>
  </si>
  <si>
    <t>Sleep practices implemented by team sport coaches and sports science support staff: A potential avenue to improve athlete sleep?</t>
  </si>
  <si>
    <t>10.1016/j.jsams.2019.01.008</t>
  </si>
  <si>
    <t>Australia; Athletes; Health Knowledge, Attitudes, Practice; Mentoring; Sleep Hygiene; Sports education; Sports psychology; Australia; Cross-Sectional Studies; Female; Humans; Male; Sleep Disorders, Circadian Rhythm prevention &amp; control; Surveys and Questionnaires</t>
  </si>
  <si>
    <t>Objectives: The primary aims of the present study were to assess the sleep hygiene knowledge of high performance team sport coaches and sports science support staff; the sleep practices these individuals implement with athletes; and the barriers to the more frequent use of these practices. Design: Cross-sectional observational study. Methods: A sample of 86 Australian coaches and sports science support staff working within high performance team sport volunteered to complete a four-part questionnaire, including the Sleep Beliefs Survey used to assess sleep hygiene knowledge. Results: Overall sleep hygiene knowledge was adequate (15.3±2.9, score range 0-20; mean±SD), however knowledge of sleep-wake cycle behaviours (score 4.9±1.6 out of 7) and thoughts and attitudes about sleep (3.6±1.0 out of 5) were inadequate. Over half (56%) of coaches and support staff had monitored athlete sleep, while 43% had promoted sleep hygiene. Lack of resources (response range 44-60%) and knowledge (16-41%) were the two main barriers to the implementation of sleep monitoring and sleep hygiene practices. Conclusions: Team sport coaches and sports science support staff have adequate overall sleep hygiene knowledge, yet some specific areas (e.g. sleep-wake cycle behaviours) warrant improvement. There appear to be limited sleep practices implemented with athletes, particularly regarding the promotion of sleep hygiene. The development of educational sleep resources for coaches and support staff to implement with athletes may help address the identified barriers and improve sleep knowledge. Copyright © 2019 Sports Medicine Australia. Published by Elsevier Ltd. All rights reserved.</t>
  </si>
  <si>
    <t xml:space="preserve">https://search.ebscohost.com/login.aspx?direct=true&amp;db=mdc&amp;AN=30685228&amp;site=ehost-live </t>
  </si>
  <si>
    <t>Special Environments: Altitude and Heat.</t>
  </si>
  <si>
    <t>Saunders PU; Garvican-Lewis LA; Chapman RF; Périard JD</t>
  </si>
  <si>
    <t>10.1123/ijsnem.2018-0256</t>
  </si>
  <si>
    <t>Adaptation, Physiological; Altitude; Athletic Performance physiology; Hot Temperature; Physical Conditioning, Human methods; Athletes; Humans; Sports Nutritional Physiological Phenomena</t>
  </si>
  <si>
    <t>High-level athletes are always looking at ways to maximize training adaptations for competition performance, and using altered environmental conditions to achieve this outcome has become increasingly popular by elite athletes. Furthermore, a series of potential nutrition and hydration interventions may also optimize the adaptation to altered environments. Altitude training was first used to prepare for competition at altitude, and it still is today; however, more often now, elite athletes embark on a series of altitude training camps to try to improve sea-level performance. Similarly, the use of heat acclimation/acclimatization to optimize performance in hot/humid environmental conditions is a common practice by high-level athletes and is well supported in the scientific literature. More recently, the use of heat training to improve exercise capacity in temperate environments has been investigated and appears to have positive outcomes. This consensus statement will detail the use of both heat and altitude training interventions to optimize performance capacities in elite athletes in both normal environmental conditions and extreme conditions (hot and/or high), with a focus on the importance of nutritional strategies required in these extreme environmental conditions to maximize adaptations conducive to competitive performance enhancement.</t>
  </si>
  <si>
    <t xml:space="preserve">https://search.ebscohost.com/login.aspx?direct=true&amp;db=mdc&amp;AN=30676138&amp;site=ehost-live </t>
  </si>
  <si>
    <t>Sports Foods and Dietary Supplements for Optimal Function and Performance Enhancement in Track-and-Field Athletes.</t>
  </si>
  <si>
    <t>Peeling P; Castell LM; Derave W; de Hon O; Burke LM</t>
  </si>
  <si>
    <t>10.1123/ijsnem.2018-0271</t>
  </si>
  <si>
    <t>Athletic Performance physiology; Dietary Supplements; Nutritional Requirements; Sports Nutritional Physiological Phenomena; Track and Field physiology; Athletes; Food; Humans; Performance-Enhancing Substances administration &amp; dosage</t>
  </si>
  <si>
    <t>Athletes are exposed to numerous nutritional products, attractively marketed with claims of optimizing health, function, and performance. However, there is limited evidence to support many of these claims, and the efficacy and safety of many products is questionable. The variety of nutritional aids considered for use by track-and-field athletes includes sports foods, performance supplements, and therapeutic nutritional aids. Support for sports foods and five evidence-based performance supplements (caffeine, creatine, nitrate/beetroot juice, β-alanine, and bicarbonate) varies according to the event, the specific scenario of use, and the individual athlete's goals and responsiveness. Specific challenges include developing protocols to manage repeated use of performance supplements in multievent or heat-final competitions or the interaction between several products which are used concurrently. Potential disadvantages of supplement use include expense, false expectancy, and the risk of ingesting banned substances sometimes present as contaminants. However, a pragmatic approach to the decision-making process for supplement use is recommended. The authors conclude that it is pertinent for sports foods and nutritional supplements to be considered only where a strong evidence base supports their use as safe, legal, and effective and that such supplements are trialed thoroughly by the individual before committing to use in a competition setting.</t>
  </si>
  <si>
    <t xml:space="preserve">https://search.ebscohost.com/login.aspx?direct=true&amp;db=mdc&amp;AN=30299192&amp;site=ehost-live </t>
  </si>
  <si>
    <t>Sprinting After Having Sprinted: Prior High-Intensity Stochastic Cycling Impairs the Winning Strike for Gold.</t>
  </si>
  <si>
    <t>Etxebarria N; Ingham SA; Ferguson RA; Bentley DJ; Pyne DB</t>
  </si>
  <si>
    <t>10.3389/fphys.2019.00100</t>
  </si>
  <si>
    <t>Bunch riding in closed circuit cycling courses and some track cycling events are often typified by highly variable power output and a maximal sprint to the finish. How criterium style race demands affect final sprint performance however, is unclear. We studied the effects of 1 h variable power cycling on a subsequent maximal 30 s sprint in the laboratory. Nine well-trained male cyclists/triathletes (O 2peak 4.9 ± 0.4 L⋅min -1 ; mean ± SD) performed two 1 h cycling trials in a randomized order with either a constant (CON) or variable (VAR) power output matched for mean power output. The VAR protocol comprised intervals of varying intensities (40-135% of maximal aerobic power) and durations (10 to 90 s). A 30 s maximal sprint was performed before and immediately after each 1 h cycling trial. When compared with CON, there was a greater reduction in peak (-5.1 ± 6.1%; mean ± 90% confidence limits) and mean (-5.9 ± 5.2%) power output during the 30 s sprint after the 1 h VAR cycle. Variable power cycling, commonly encountered during criterium and triathlon races can impair an optimal final sprint, potentially compromising race performance. Athletes, coaches, and staff should evaluate training (to improve repeat sprint-ability) and race-day strategies (minimize power variability) to optimize the final sprint.</t>
  </si>
  <si>
    <t xml:space="preserve">https://search.ebscohost.com/login.aspx?direct=true&amp;db=mdc&amp;AN=30837886&amp;site=ehost-live </t>
  </si>
  <si>
    <t>Subsequent Injury Risk Is Elevated Above Baseline After Return to Play: A 5-Year Prospective Study in Elite Australian Football.</t>
  </si>
  <si>
    <t>Stares JJ; Dawson B; Peeling P; Heasman J; Rogalski B; Fahey-Gilmour J; Dupont G; Drew MK; Welvaert M; Toohey L</t>
  </si>
  <si>
    <t>10.1177/0363546519852622</t>
  </si>
  <si>
    <t>Australia; Athletes; Athletic Injuries etiology; Return to Sport; Soccer injuries; Australia; Cohort Studies; Humans; Male; Prospective Studies; Young Adult</t>
  </si>
  <si>
    <t>Background: The risk of sustaining a subsequent injury is elevated in the weeks after return to play (RTP) from an index injury. However, little is known about the magnitude, duration, and nature by which subsequent injury risk is increased. Purpose: To quantify and describe the risk of injury in a 12-week period after RTP from an index injury in Australian football players. Study Design: Cohort study; Level of evidence, 2. Methods: Injury data were collected from 79 players over 5 years at 1 Australian Football League club. Injuries were classified with the Orchard Sports Injury Classification System and by side of the body. Furthermore, injury severity was classified as time loss (resulting in ≥1 matches being missed) or non-time loss (no matches missed). Subsequent injury was categorized with the SIC-2.0 model and applied to the data set via an automated script. The probability of a time loss subsequent injury was calculated for in-season index injuries for each week of a 12-week period after RTP via a mixed effect logistic regression model. Results: Subsequent injury risk was found to be highest in the week of RTP for both time loss injuries (9.4%) and non-time loss injuries (6.9%). Risk decreased with each week survived after RTP; however, it did not return to baseline risk of participation (3.6%). Conclusion: These findings demonstrate that athletes returning to play are at an increased risk of injury for a number of weeks, thus indicating the requirement for tertiary prevention strategies to ensure that they survive this period.</t>
  </si>
  <si>
    <t xml:space="preserve">https://search.ebscohost.com/login.aspx?direct=true&amp;db=mdc&amp;AN=31199669&amp;site=ehost-live </t>
  </si>
  <si>
    <t>The effect of beetroot juice supplementation on repeat-sprint performance in hypoxia.</t>
  </si>
  <si>
    <t>Kent GL; Dawson B; McNaughton LR; Cox GR; Burke LM; Peeling P</t>
  </si>
  <si>
    <t>10.1080/02640414.2018.1504369</t>
  </si>
  <si>
    <t>Athletic Performance; Bicycling physiology; Dietary Supplements; Fruit and Vegetable Juices; Nitrates administration &amp; dosage; Adult; Altitude; Athletes; Beta vulgaris; Exercise Test; Humans; Hypoxia; Male; Oxygen Consumption; Sports Nutritional Physiological Phenomena; Young Adult</t>
  </si>
  <si>
    <t>This investigation assessed the effect of dietary nitrate (NO 3 - ) supplementation, in the form of beetroot juice (BR), on repeat-sprint performance in normoxia and normobaric hypoxia. 12 male team-sport athletes (age 22.3 ± 2.6 y, VO 2peak 53.1 ± 8.7 mL.kg -1 .min -1 ) completed three exercise trials involving a 10 min submaximal warm-up and 4 sets of cycling repeat-sprint efforts (RSE; 9 × 4 s) at sea level (CON), or at 3000 m simulated altitude following acute supplementation (140 mL) with BR (HYP BR ; 13 mmol NO 3 - ) or NO 3 - depleted BR placebo (HYP PLA ). Peak (PPO) and mean (MPO) power output, plus work decrement were recorded during the RSE task, while oxygen consumption (VO 2 ) was measured during the warm-up. There were no significant differences observed between HYP BR and HYP PLA for PPO or MPO; however, work decrement was reduced in the first RSE set in HYP BR compared with HYP PLA . There was a moderate effect for VO 2 to be lower following BR at the end of the 10 min warm-up (ES = 0.50 ± 0.51). Dietary NO 3 - may not improve repeat-sprint performance in hypoxia but may reduce VO 2 during submaximal exercise. Therefore, BR supplementation may be more effective for performance improvement during predominantly aerobic exercise.</t>
  </si>
  <si>
    <t xml:space="preserve">https://search.ebscohost.com/login.aspx?direct=true&amp;db=mdc&amp;AN=30058956&amp;site=ehost-live </t>
  </si>
  <si>
    <t>The Effect of Carbohydrate Ingestion Following Eccentric Resistance Exercise on AKT/mTOR and ERK Pathways: A Randomized, Double-Blinded, Crossover Study.</t>
  </si>
  <si>
    <t>Figueiredo VC; Farnfield MM; Ross MLR; Gran P; Halson SL; Peake JM; Cameron-Smith D; Markworth JF</t>
  </si>
  <si>
    <t>10.1123/ijsnem.2019-0075</t>
  </si>
  <si>
    <t>Dietary Carbohydrates pharmacology; Extracellular Signal-Regulated MAP Kinases metabolism; Mechanistic Target of Rapamycin Complex 1 metabolism; Proto-Oncogene Proteins c-akt metabolism; Resistance Training; Blood Glucose metabolism; Cross-Over Studies; Double-Blind Method; Humans; Insulin blood; Male; Young Adult</t>
  </si>
  <si>
    <t>Purpose: To determine the acute effects of carbohydrate (CHO) ingestion following a bout of maximal eccentric resistance exercise on key anabolic kinases of mammalian target of rapamycin and extracellular signal-regulated kinase (ERK) pathways. The authors' hypothesis was that the activation of anabolic signaling pathways known to be upregulated by resistance exercise would be further stimulated by the physiological hyperinsulinemia resulting from CHO supplementation. Methods: Ten resistance-trained men were randomized in a crossover, double-blind, placebo (PLA)-controlled manner to ingest either a noncaloric PLA or 3 g/kg of CHO beverage throughout recovery from resistance exercise. Muscle biopsies were collected at rest, immediately after a single bout of intense lower body resistance exercise, and after 3 hr of recovery. Results: CHO ingestion elevated plasma glucose and insulin concentrations throughout recovery compared with PLA ingestion. The ERK pathway (phosphorylation of ERK1/2 [Thr202/Tyr204], RSK [Ser380], and p70S6K [Thr421/Ser424]) was markedly activated immediately after resistance exercise, without any effect of CHO supplementation. The phosphorylation state of AKT (Thr308) was unchanged postexercise in the PLA trial and increased at 3 hr of recovery above resting with ingestion of CHO compared with PLA. Despite stimulating-marked phosphorylation of AKT, CHO ingestion did not enhance resistance exercise-induced phosphorylation of p70S6K (Thr389) and rpS6 (Ser235/236 and Ser240/244). Conclusion: CHO supplementation after resistance exercise and hyperinsulinemia does not influence the ERK pathway nor the mTORC1 target p70S6K and its downstream proteins, despite the increased AKT phosphorylation.</t>
  </si>
  <si>
    <t xml:space="preserve">https://search.ebscohost.com/login.aspx?direct=true&amp;db=mdc&amp;AN=31592623&amp;site=ehost-live </t>
  </si>
  <si>
    <t>The Effects of Dietary Pattern during Intensified Training on Stool Microbiota of Elite Race Walkers.</t>
  </si>
  <si>
    <t>Murtaza N; Burke LM; Vlahovich N; Charlesson B; O' Neill H; Ross ML; Campbell KL; Krause L; Morrison M</t>
  </si>
  <si>
    <t>10.3390/nu11020261</t>
  </si>
  <si>
    <t>Diet, Carbohydrate-Restricted; Diet, High-Fat; Feces microbiology; Gastrointestinal Microbiome physiology; Walking physiology; Adult; Athletes; Humans; Principal Component Analysis; Young Adult</t>
  </si>
  <si>
    <t>We investigated extreme changes in diet patterns on the gut microbiota of elite race walkers undertaking intensified training and its possible links with athlete performance. Numerous studies with sedentary subjects have shown that diet and/or exercise can exert strong selective pressures on the gut microbiota. Similar studies with elite athletes are relatively scant, despite the recognition that diet is an important contributor to sports performance. In this study, stool samples were collected from the cohort at the beginning (baseline; BL) and end (post-treatment; PT) of a three-week intensified training program during which athletes were assigned to a High Carbohydrate (HCHO), Periodised Carbohydrate (PCHO) or ketogenic Low Carbohydrate High Fat (LCHF) diet (post treatment). Microbial community profiles were determined by 16S rRNA gene amplicon sequencing. The microbiota profiles at BL could be separated into distinct "enterotypes," with either a Prevotella or Bacteroides dominated enterotype. While enterotypes were relatively stable and remained evident post treatment, the LCHF diet resulted in a greater relative abundance of Bacteroides and Dorea and a reduction of Faecalibacterium. Significant negative correlations were observed between Bacteroides and fat oxidation and between Dorea and economy test following LCHF intervention.</t>
  </si>
  <si>
    <t xml:space="preserve">https://search.ebscohost.com/login.aspx?direct=true&amp;db=mdc&amp;AN=30682843&amp;site=ehost-live </t>
  </si>
  <si>
    <t>The impact of chronic carbohydrate manipulation on mucosal immunity in elite endurance athletes.</t>
  </si>
  <si>
    <t>McKay AKA; Pyne DB; Peeling P; Sharma AP; Ross MLR; Burke LM</t>
  </si>
  <si>
    <t>10.1080/02640414.2018.1521712</t>
  </si>
  <si>
    <t>Dietary Carbohydrates administration &amp; dosage; Immunity, Mucosal; Physical Endurance immunology; Walking physiology; Adult; Diet, Carbohydrate Loading; Diet, Carbohydrate-Restricted; Diet, High-Fat; Female; Humans; Immunoglobulin A, Secretory metabolism; Male; Physical Conditioning, Human; Saliva metabolism; Young Adult</t>
  </si>
  <si>
    <t>Carbohydrate (CHO) availability could alter mucosal immune responses to exercise. This study compared the effect of three dietary approaches to CHO availability on resting and post-exercise s-IgA levels. Elite race walkers (n = 26) adhered to a high CHO diet (HCHO), periodised CHO availability (PCHO) or a low CHO/high fat diet (LCHF) for 3 weeks while completing an intensified training program. HCHO and PCHO groups consumed 8.0-8.5 g.kg -1 CHO daily, with timing of ingestion manipulated to alter CHO availability around key training sessions. The LCHF diet comprised 80% fat and restricted CHO to &lt; 50 g.day -1 . A race walk test protocol (19 km females, 25 km males) was completed at baseline, after adaptation, and following CHO restoration. On each occasion, saliva samples were obtained pre- and post-exercise to quantify s-IgA levels. Resting s-IgA secretion rate substantially increased ~ two-fold post-intervention in all groups (HCHO: 2.2 ± 2.2, PCHO: 2.8 ± 3.2, LCHF: 1.6 ± 1.6; fold-change± 95% confidence limits), however, no substantial differences between dietary treatments were evident. Post-exercise, substantial 20-130% increases in s-IgA concentration and 43-64% reductions in flow rate occurred in all dietary treatments, with trivial differences evident between groups. It appears that high volume training overrides any effect of manipulating CHO availability on mucosal immunity in elite athletes.</t>
  </si>
  <si>
    <t xml:space="preserve">https://search.ebscohost.com/login.aspx?direct=true&amp;db=mdc&amp;AN=30207506&amp;site=ehost-live </t>
  </si>
  <si>
    <t>The Impact of Dry-Land Sprint Start Training on the Short Track Speed Skating Start.</t>
  </si>
  <si>
    <t>Haug WB; Drinkwater EJ; Cicero NJ; Barthell JA; Chapman DW</t>
  </si>
  <si>
    <t>10.1519/JSC.0000000000001892</t>
  </si>
  <si>
    <t>Athletic Performance physiology; Exercise physiology; Skating physiology; Athletes; Cross-Over Studies; Humans; Male; Orientation, Spatial</t>
  </si>
  <si>
    <t>Haug, WB, Drinkwater, EJ, Cicero, NJ, Barthell, JA, and Chapman, DW. The impact of dry-land sprint start training on the short track speed skating start. J Strength Cond Res 33(2): 544-548, 2019-This investigation sought to determine the effects of dry-land sprint start training on short track speed skating (STSS) start performance. Nine highly trained short track athletes completed a control period of normal STSS training followed by a 4-week training intervention. Before and after the control and intervention periods, athletes performed 3 electronically timed dry-land and on-ice 14.43 m maximal sprint start efforts. The intervention consisted of 2 sprint sessions per week consisting of 9 electronically timed 14.43 m dry-land sprint starts in addition to normal STSS training. The control period resulted in no substantial change in on-ice start performance (mean Δ: -0.01 seconds, 95% confidence limit [CL]: -0.08 to 0.05 seconds; effect size [ES]: -0.05; trivial); however, a small change was observed in dry-land start performance (mean Δ: -0.07 seconds, 95% CL: -0.13 to -0.02 seconds; ES: -0.49). After brief specific dry-land sprint start training, a small improvement was observed in both on-ice (Mean Δ: -0.07 seconds, 95% CL: -0.13 to -0.01 seconds; ES: -0.33) and dry-land (Mean Δ: -0.04 seconds, 95% CL: -0.09 to 0.00 seconds; ES: -0.29) start performance. This investigation suggests that STSS start performance can be improved through a brief dry-land sprint start training program.</t>
  </si>
  <si>
    <t xml:space="preserve">https://search.ebscohost.com/login.aspx?direct=true&amp;db=mdc&amp;AN=28486330&amp;site=ehost-live </t>
  </si>
  <si>
    <t>The Impact of Morning versus Afternoon Exercise on Iron Absorption in Athletes.</t>
  </si>
  <si>
    <t>McCormick R; Moretti D; McKay AKA; Laarakkers CM; Vanswelm R; Trinder D; Cox GR; Zimmerman MB; Sim M; Goodman C; Dawson B; Peeling P</t>
  </si>
  <si>
    <t>10.1249/MSS.0000000000002026</t>
  </si>
  <si>
    <t>Hepcidins blood; Interleukin-6 blood; Iron blood; Physical Endurance physiology; Sports physiology; Absorption, Physiological; Adult; Cross-Over Studies; Erythrocytes metabolism; Female; Ferritins blood; Humans; Male; Time Factors; Young Adult</t>
  </si>
  <si>
    <t>Purpose: This study examined postexercise inflammatory, hepcidin, and iron absorption responses to endurance exercise performed in the morning versus the afternoon. Methods: Sixteen endurance-trained runners (10 male, 6 female) with serum ferritin (sFer) &lt; 50 μg·L completed a 90-min running protocol (65% vV˙O2max) in the morning (AM), or the afternoon (PM), in a crossover design. An iron-fortified fluid labeled with stable iron isotopes (Fe or Fe) was administered with a standardized meal 30 min following the exercise and control conditions during each trial, serving as a breakfast and dinner meal. Venous blood samples were collected before, immediately after, and 3 h after the exercise and control conditions to measure sFer, serum interleukin-6 (IL-6), and serum hepcidin-25. A final venous blood sample was collected 14 d after each trial to determine the erythrocyte iron incorporation, which was used to calculate iron absorption. Linear mixed-modeling was used to analyze the data. Results: Overall, exercise significantly increased the concentrations of IL-6 (4.938 pg·mL; P = 0.006), and hepcidin-25 concentrations significantly increased 3 h after exercise by 0.380 nM (P &lt; 0.001). During the PM trial, hepcidin concentrations exhibited diurnal tendency, increasing 0.55 nM at rest (P = 0.007), before further increasing 0.68 nM (P &lt; 0.001) from prerun to 3 h postrun. Fractional iron absorption was significantly greater at breakfast after the AM run, compared with both the rested condition (0.778%; P = 0.020) and dinner in the AM run trial (0.672%; P = 0.011). Conclusions: Although exercise resulted in increased concentrations of IL-6 and hepcidin, iron was best absorbed in the morning after exercise, indicating there may be a transient mechanism during the acute postexercise window to promote iron absorption opposing the homeostatic regulation by serum hepcidin elevations.</t>
  </si>
  <si>
    <t xml:space="preserve">https://search.ebscohost.com/login.aspx?direct=true&amp;db=mdc&amp;AN=31058762&amp;site=ehost-live </t>
  </si>
  <si>
    <t>The Occurrence, Causes and Perceived Performance Effects of Breast Injuries in Elite Female Athletes.</t>
  </si>
  <si>
    <t>Journal of sports science &amp; medicine</t>
  </si>
  <si>
    <t>Dept. of Sports Medicine, Medical Faculty of Uludag University</t>
  </si>
  <si>
    <t>Athletic Injuries epidemiology; Athletic Performance physiology; Breast injuries; Adolescent; Adult; Age Factors; Athletic Injuries etiology; Athletic Injuries prevention &amp; control; Body Mass Index; Breast anatomy &amp; histology; Competitive Behavior physiology; Female; Friction; Humans; Perception; Physical Conditioning, Human adverse effects; Protective Clothing; Risk Factors; Young Adult</t>
  </si>
  <si>
    <t>Female breasts are vulnerable to direct blows or frictional injuries during sport; however, little research has investigated breast injuries experienced by female athletes. This study aimed to investigate the occurrence, causes and perceived performance effects of breast injuries in elite female athletes across a wide range of sports. A custom-designed survey was distributed to female athletes aged over 18 years who were competing nationally or internationally in their chosen sport. The survey included questions about breast injuries sustained during training and competition and any perceived performance effects of these injuries. 504 elite female athletes from 46 different sports completed the survey. 36% of participants (n = 182) reported experiencing breast injuries and 21% (n = 37) perceived that their breast injury negatively affected their performance. Contact breast injuries were reported by significantly more athletes involved in contact or combat sports and by athletes with larger breasts or a higher body mass index. Frictional breast injuries were reported by significantly more older athletes or those with larger breasts. Less than 10% of participants who experienced breast injuries reported their injury to a coach or medical professional and only half used any prevention strategies. Athletes, coaches and medical professionals associated with women's sport need to be made aware of the occurrence and potential negative effects of breast injuries. It is critical to normalise conversations around breast health so that athletes can be encouraged to report and, when necessary, receive treatment for breast injuries. Further research is also required to better understand factors that affect breast injuries in sport in order to develop evidence-based breast injury prevention strategies.</t>
  </si>
  <si>
    <t xml:space="preserve">https://search.ebscohost.com/login.aspx?direct=true&amp;db=mdc&amp;AN=31427880&amp;site=ehost-live </t>
  </si>
  <si>
    <t>The use of a functional test battery as a non-invasive method of fatigue assessment.</t>
  </si>
  <si>
    <t>Hughes S; Chapman DW; Haff GG; Nimphius S</t>
  </si>
  <si>
    <t>e0212870</t>
  </si>
  <si>
    <t>10.1371/journal.pone.0212870</t>
  </si>
  <si>
    <t>Athletic Performance physiology; Fatigue diagnosis; Muscle Fatigue physiology; Surveys and Questionnaires; Adult; Cross-Over Studies; Exercise Test; Fatigue physiopathology; Healthy Volunteers; Humans; Male; Muscle Strength physiology; Young Adult</t>
  </si>
  <si>
    <t>To assess whether a battery of performance markers, both individually and as group, would be sensitive to fatigue, a within group random cross-over design compared multiple variables during seated control and fatigue (repeated sprint cycling) conditions. Thirty-two physically active participants completed a neuromuscular fatigue questionnaire, Stroop task, postural sway, squat jump, countermovement jump, isometric mid-thigh pull and 10 s maximal sprint cycle (Sprintmax) before and after each condition (15 min, 1 h, 24 h and 48 h). In comparison to control, larger neuromuscular fatigue questionnaire total score decrements were observed 15 min (5.20 ± 4.6), 1 h (3.33 ± 3.9) and 24 h (1.83 ± 4.8) after cycling. Similarly, the fatigue condition elicited greater declines than control at 15 min and 1 h post in countermovement jump height (1.67 ± 1.90 cm and 1.04 ± 2.10 cm), flight time-contraction time ratio (0.03 ± 0.06 and 0.05 ± 0.11), and velocity (0.06 ± 0.07 m∙s-1 and 0.04 ± 0.08 m∙s-1). After fatigue, decrements were observed up to 48 h for average Sprintmax cadence (4-6 RPM), up to 24 h in peak Sprintmax cadence (2-5 RPM) and up to 1 h in average and peak Sprintmax power (45 ± 60 W and 58 ± 71 W). Modelling variables in a stepwise regression demonstrated that CMJ height explained 53.2% and 51.7% of 24 h and 48 h Sprintmax average power output. Based upon these data, the fatigue induced by repeated sprint cycling coincided with changes in the perception of fatigue and markers of performance during countermovement and squat jumps. Furthermore, multiple regression modelling revealed that a single variable (countermovement jump height) explained average power output. Competing Interests: The authors have declared that no competing interests exist.</t>
  </si>
  <si>
    <t xml:space="preserve">https://search.ebscohost.com/login.aspx?direct=true&amp;db=mdc&amp;AN=30817785&amp;site=ehost-live </t>
  </si>
  <si>
    <t>Upper-body Wingate test classificatory table for adult judo athletes.</t>
  </si>
  <si>
    <t>Franchini E</t>
  </si>
  <si>
    <t>Journal of exercise rehabilitation</t>
  </si>
  <si>
    <t>10.12965/jer.1836520.260</t>
  </si>
  <si>
    <t>Korean Society of Exercise Rehabilitation</t>
  </si>
  <si>
    <t>The aims of this study were to compare the upper-body Wingate test performance of judo athletes from different weight categories and to create a classificatory table for this test. A total of 179 judo athletes performed an upper-body Wingate test, following standardized recommendations (30-sec duration, and a load equivalent to 0.06 kg/kg of body mass). Absolute and relative peak power (PP) and mean power (MP) were determined. Weight categories were compared through a one-way analysis of variance, followed by Tukey test. The effect size was determined by partial eta squared. There was a large effect of weight category in absolute PP and MP, with lower values for the lighter categories ( P &lt;0.05), but it is important to note that absolute PP and MP did not differ ( P &gt;0.05) between subsequent weight categories. Moreover, when the relative PP and MP were considered, no significant differences were found ( P &gt;0.05). The higher values of PP and MP achieved by heavier judo athletes compared to lighter ones during the upper-body Wingate test is likely related to the higher total muscle mass presented by the first group compared to the later. Indeed, judo athletes from different weight category presented similar relative PP and MP, likely due to the judo training demands as well as consequence of a selection of athletes with the higher potential to develop upper-body anaerobic fitness. Finally, the normative classificatory table created may be useful as a reference in judo athletes' anaerobic evaluation. Competing Interests: CONFLICT OF INTEREST No potential conflict of interest relevant to this article was reported.</t>
  </si>
  <si>
    <t xml:space="preserve">https://search.ebscohost.com/login.aspx?direct=true&amp;db=mdc&amp;AN=30899737&amp;site=ehost-live </t>
  </si>
  <si>
    <t>Urinary Hydroxyproline Is Only Suitable As a Biomarker for Acute Intake, Up to 6 hr Postingestion of Collagen Proteins in "Free-Living," Healthy, Active Males.</t>
  </si>
  <si>
    <t>Alcock RD; Shaw GC; Tee N; Welvaert M; Burke LM</t>
  </si>
  <si>
    <t>10.1123/ijsnem.2019-0024</t>
  </si>
  <si>
    <t>Collagen administration &amp; dosage; Hydroxyproline urine; Sports Nutritional Physiological Phenomena; Adult; Biomarkers urine; Caseins; Cross-Over Studies; Dietary Supplements; Eating; Humans; Male</t>
  </si>
  <si>
    <t>The urinary excretion of hydroxyproline (Hyp), abundant in collagen protein, may serve as a biomarker of habitual collagen intake, assisting with investigations of current interest in the role of dietary collagen intake in supporting the synthesis of collagenous body tissues. This study investigated the time course of urinary Hyp excretion in "free-living," healthy, active males following the ingestion of a standardized bolus (20 g) of collagenous (gelatin and a hydrolyzed collagen powder) and dairy (calcium caseinate and hydrolyzed casein) proteins. The excretion of Hyp was assessed over a 24-hr period, separated into three collection periods: 0-6, 6-12, and 12-24 hr. Hyp was elevated for 0-6 hr after the consumption of collagen-containing supplements (gelatin 31.3 ± 8.8 mmol/mol and hydrolyzed collagen 33.7 ± 22.0 mmol/mol vs. baseline: gelatin 2.4 ± 1.7 mmol/mol and hydrolyzed collagen 2.8 ± 1.5 mmol/mol; p &lt; .05), but not for the dairy protein supplements (calcium caseinate 3.4 ± 1.7 mmol/mol and hydrolyzed casein 4.0 ± 3.7 mmol/mol; p &gt; .05). Therefore, urinary Hyp reflects an acute intake of collagenous protein, but is not suitable as a biomarker for quantifying habitual collagen intake, provided through regular dietary practices in "free-living," healthy, active males.</t>
  </si>
  <si>
    <t xml:space="preserve">https://search.ebscohost.com/login.aspx?direct=true&amp;db=mdc&amp;AN=31444314&amp;site=ehost-live </t>
  </si>
  <si>
    <t>Validity of a low-cost laser with freely available software for improving measurement of walking and running speed.</t>
  </si>
  <si>
    <t>Clark RA; Pua YH; Bower KJ; Bechard L; Hough E; Charlton PC; Mentiplay B</t>
  </si>
  <si>
    <t>10.1016/j.jsams.2018.07.005</t>
  </si>
  <si>
    <t>Running physiology; Software; Walking Speed physiology; Acceleration; Adult; Cross-Sectional Studies; Female; Humans; Lasers; Male; Young Adult</t>
  </si>
  <si>
    <t>Objectives: Accurately measuring speed and acceleration during walking, running and sprinting has important implications for rehabilitation, planning training and talent identification in sporting and clinical populations. Light detection and ranging laser technology provides a continuous stream of distance data. It has the potential to allow rapid and precise measurement and may be advantageous compared with discrete methods of assessment, such as stopwatches and timing gates, which may be inaccurate over short distances. Therefore, the aim of this study was to assess the validity of a novel, low-cost and easy to implement laser-based system during walking and running trials. Design: Cross-sectional study. Methods: Thirty-two healthy adults performed walking and running trials from flying and static starts while monitored concurrently with reference standard three-dimensional motion analysis and laser systems. Velocity was calculated over short (0.5m) and longer (3m) intervals using both systems. Validity was assessed using absolute agreement intraclass correlation coefficients (ICC 2,1 ), mean absolute errors, Pearson's correlations and regressions and Bland-Altman plots. Results: All intraclass correlation coefficients and correlations were excellent (ICC&gt;0.88, R&gt;0.89). For the longer interval, all mean absolute errors were &lt;0.03m/s (0.24-1.31%). Slightly higher mean absolute error values were reported for the shorter interval (3.16-5.10%), with the highest error of 0.184m/s evident for the flying start running trial. Conclusions: These results indicate that a low-cost and accessible laser system can be used to accurately assess walking and running speed. To aid implementation and further research, freely available hardware design descriptions and downloadable software can be accessed at www.rehabtools.org/LIDAR. Copyright © 2018 Sports Medicine Australia. Published by Elsevier Ltd. All rights reserved.</t>
  </si>
  <si>
    <t xml:space="preserve">https://search.ebscohost.com/login.aspx?direct=true&amp;db=mdc&amp;AN=30029889&amp;site=ehost-live </t>
  </si>
  <si>
    <t>Wearing compression socks during exercise aids subsequent performance.</t>
  </si>
  <si>
    <t>Brophy-Williams N; Driller MW; Kitic CM; Fell JW; Halson SL</t>
  </si>
  <si>
    <t>10.1016/j.jsams.2018.06.010</t>
  </si>
  <si>
    <t>Athletic Performance physiology; Running physiology; Stockings, Compression; Adult; Cross-Over Studies; Humans; Lactic Acid blood; Male; Muscle Fatigue; Myalgia; Oxygen Consumption; Young Adult</t>
  </si>
  <si>
    <t>Objectives: To assess the effect of wearing compression socks on immediate and subsequent 5km running time trials, with particular attention to the influences on physiological, perceptual and performance-based parameters. Design: Counter-balanced cross-over experiment. Methods: Twelve male runners (mean±SD 5km run time 19:29±1:18min:s) each completed two experimental sessions. Sessions consisted of a standardised running warm-up, followed by a 5km time trial (TT1), a one hour recovery period, then a repeat of the warm-up and 5km time trial (TT2). One session required the use of sports compression socks during the first warm-up and time trial (COMP), while the other did not (CON). Results: The decline in run performance in CON from TT1 to TT2 was moderate and significantly greater than that experienced by runners in COMP (9.6s, d=0.67, p&lt;0.01). No difference was found between experimental conditions for oxygen consumption, blood lactate or calf volume (p=0.61, 0.54, 0.64, respectively). Perceptual measures of muscle soreness, fatigue and recovery were also similar between trials (p=0.56, 1.00 &amp; 0.61, respectively). Conclusions: Wearing sports compression socks during high intensity running has a positive impact on subsequent running performance. The underlying mechanism of such performance enhancement remains unclear, but may relate to improved oxygen delivery, reduced muscle oscillation, superior running mechanics and athlete beliefs. Copyright © 2018 Sports Medicine Australia. Published by Elsevier Ltd. All rights reserved.</t>
  </si>
  <si>
    <t xml:space="preserve">https://search.ebscohost.com/login.aspx?direct=true&amp;db=mdc&amp;AN=30554612&amp;site=ehost-live </t>
  </si>
  <si>
    <t>What Is Performance? A Scoping Review of Performance Outcomes as Study Endpoints in Athletics.</t>
  </si>
  <si>
    <t>Raysmith BP; Jacobsson J; Drew MK; Timpka T</t>
  </si>
  <si>
    <t>10.3390/sports7030066</t>
  </si>
  <si>
    <t>Purpose: This review set out to summarise, define, and provide future direction towards the use of performance outcome measures as endpoints in research performed at international benchmark events in athletics. Methods: Scoping review methodology was applied through a search of the PubMed and Sports Discus databases and a systematic article selection procedure. Articles that met the inclusion criteria underwent triage for further quantitative and qualitative analysis. A concept chart was generated to describe the methods by which performance had been measured and introduce descriptive labels for theoretical and practical application. Results: None of 2972 articles primarily identified from the database search met the triage standards for quantitative data extraction. Eleven articles were included in a qualitative analysis. The analysis identified the common methods by which performance has been measured, reported and analysed. The resulting concept chart collates labels from the qualitative analysis (categories, themes, and constructs) with sports practice labels (performance metrics, framework, and analysis). Conclusions: The state of knowledge concerning methods to employ performance metrics as endpoints in studies performed at major competitions in athletics has been summarised. Constructing a methodology that combines the performance metric variables (continuous and ordinal) that are currently utilised as endpoints remains a challenge.</t>
  </si>
  <si>
    <t xml:space="preserve">https://search.ebscohost.com/login.aspx?direct=true&amp;db=mdc&amp;AN=30884863&amp;site=ehost-live </t>
  </si>
  <si>
    <t>Whole-body cryotherapy does not augment adaptations to high-intensity interval training.</t>
  </si>
  <si>
    <t>Broatch JR; Poignard M; Hausswirth C; Bishop DJ; Bieuzen F</t>
  </si>
  <si>
    <t>10.1038/s41598-019-48518-1</t>
  </si>
  <si>
    <t>Adaptation, Physiological; Cryotherapy methods; High-Intensity Interval Training; Adrenal Cortex Hormones blood; Adrenal Cortex Hormones metabolism; Adult; Biomarkers; Energy Metabolism; Exercise psychology; Exercise Test; Humans; Male; Oxygen Consumption; Sleep</t>
  </si>
  <si>
    <t>The aim of this study was to investigate the effects of regular post-exercise whole-body cryotherapy (WBC) on physiological and performance adaptations to high-intensity interval training (HIT). In a two-group parallel design, twenty-two well-trained males performed four weeks of cycling HIT, with each session immediately followed by 3 min of WBC (-110 °C) or a passive control (CON). To assess the effects of WBC on the adaptive response to HIT, participants performed the following cycling tests before and after the training period; a graded exercise test (GXT), a time-to-exhaustion test (T max ), a 20-km time trial (20 TT ), and a 120-min submaximal test (SM 120 ). Blood samples were taken before and after training to measure changes in basal adrenal hormones (adrenaline, noradrenaline, and cortisol). Sleep patterns were also assessed during training via wrist actigraphy. As compared with CON, the administration of WBC after each training session during four weeks of HIT had no effect on peak oxygen uptake ([Formula: see text]O 2peak ) and peak aerobic power (P peak ) achieved during the GXT, T max duration and work performed (W Tmax ), 20 TT performance, substrate oxidation during the SM 120 , basal adrenaline/noradrenaline/cortisol concentrations, or sleep patterns (P &gt; 0.05). These findings suggest that regular post-exercise WBC is not an effective strategy to augment training-induced aerobic adaptations to four weeks of HIT.</t>
  </si>
  <si>
    <t xml:space="preserve">https://search.ebscohost.com/login.aspx?direct=true&amp;db=mdc&amp;AN=31427654&amp;site=ehost-live </t>
  </si>
  <si>
    <t>A systematic review of prospective epidemiological research into injury and illness in Olympic combat sport.</t>
  </si>
  <si>
    <t>Bromley SJ; Drew MK; Talpey S; McIntosh AS; Finch CF</t>
  </si>
  <si>
    <t>10.1136/bjsports-2016-097313</t>
  </si>
  <si>
    <t>Athletic Injuries epidemiology; Boxing injuries; Martial Arts injuries; Wrestling injuries; Athletes; Competitive Behavior; Epidemiologic Studies; Evidence-Based Medicine; Humans; Incidence; Prevalence</t>
  </si>
  <si>
    <t>Background: Combat sports involve body contact through striking, kicking and/or throwing. They are anecdotally referred to as 'dangerous', yet long-term investigation into specific injury rates is yet to be explored. Objective: To describe incidence and prevalence of injury and illness within Olympic combat sports and to investigate risk of bias of prospective injury and illness research within these sports. Methods: We systematically searched literature published up until May 2016. We included prospective studies of injury/illness in elite combat athletes lasting more than 12 weeks. Risk of bias was assessed using a modified version of the Downs and Black checklist for methodological quality. Included studies were mapped to the Oxford Centre for Evidence-Based Medicine levels of evidence. Results: Nine studies were included, and most (n=6) had moderate risk of bias. Studies provided level 1/2b evidence that the most frequently injured areas were the head/face (45.8%), wrist (12.0%) and lower back (7.8%) in boxing; the lower back (10.9%), shoulder (10.2%) and knee (9.7%) in judo; the fingers (22.8%) and thigh (9.1%) in taekwondo; and the knee (24.8%), shoulder (17.8%) and head/face (16.6%) in wrestling. Heterogeneity of injury severity classifications and inconsistencies inexposure measures prevented any direct comparisons of injury severity/incidence across combat sports. Conclusions: There is currently a lack of consensus in the collection of injury/illness data, limiting the development of prevention programmes for combat sport as a whole. However, sport-specific data that identify body areas with high injury frequency can provide direction to clinicians, enabling them to focus their attention on developing pathologies in these areas. In doing so, clinicians can enhance the practical elements of their role within the integrated combat sport performance team and assist in the regular update of surveillance records. Competing Interests: Competing interests: None declared. © Article author(s) (or their employer(s) unless otherwise stated in the text of the article) 2018. All rights reserved. No commercial use is permitted unless otherwise expressly granted.</t>
  </si>
  <si>
    <t xml:space="preserve">https://search.ebscohost.com/login.aspx?direct=true&amp;db=mdc&amp;AN=28954799&amp;site=ehost-live </t>
  </si>
  <si>
    <t>An update to the AIS-AMA position statement on concussion in sport.</t>
  </si>
  <si>
    <t>Elkington LJ; Manzanero S; Hughes DC</t>
  </si>
  <si>
    <t>The Medical journal of Australia</t>
  </si>
  <si>
    <t>10.5694/mja17.01180</t>
  </si>
  <si>
    <t>Australasian Medical Publishing Co</t>
  </si>
  <si>
    <t>Australia; Athletic Injuries diagnosis; Athletic Injuries therapy; Brain Concussion diagnosis; Brain Concussion therapy; Australia; Humans; Return to Sport</t>
  </si>
  <si>
    <t xml:space="preserve">https://search.ebscohost.com/login.aspx?direct=true&amp;db=mdc&amp;AN=29614933&amp;site=ehost-live </t>
  </si>
  <si>
    <t>An Updated Subsequent Injury Categorisation Model (SIC-2.0): Data-Driven Categorisation of Subsequent Injuries in Sport.</t>
  </si>
  <si>
    <t>Toohey LA; Drew MK; Fortington LV; Finch CF; Cook JL</t>
  </si>
  <si>
    <t>10.1007/s40279-018-0879-3</t>
  </si>
  <si>
    <t>Athletic Injuries classification; Athletic Injuries epidemiology; Football injuries; Athletic Injuries etiology; Australia epidemiology; Humans; Incidence; Prospective Studies</t>
  </si>
  <si>
    <t>Background: Accounting for subsequent injuries is critical for sports injury epidemiology. The subsequent injury categorisation (SIC-1.0) model was developed to create a framework for accurate categorisation of subsequent injuries but its operationalisation has been challenging. Objectives: The objective of this study was to update the subsequent injury categorisation (SIC-1.0 to SIC-2.0) model to improve its utility and application to sports injury datasets, and to test its applicability to a sports injury dataset. Methods: The SIC-1.0 model was expanded to include two levels of categorisation describing how previous injuries relate to subsequent events. A data-driven classification level was established containing eight discrete injury categories identifiable without clinical input. A sequential classification level that sub-categorised the data-driven categories according to their level of clinical relatedness has 16 distinct subsequent injury types. Manual and automated SIC-2.0 model categorisation were applied to a prospective injury dataset collected for elite rugby sevens players over a 2-year period. Absolute agreement between the two coding methods was assessed. Results: An automated script for automatic data-driven categorisation and a flowchart for manual coding were developed for the SIC-2.0 model. The SIC-2.0 model was applied to 246 injuries sustained by 55 players (median four injuries, range 1-12), 46 (83.6%) of whom experienced more than one injury. The majority of subsequent injuries (78.7%) were sustained to a different site and were of a different nature. Absolute agreement between the manual coding and automated statistical script category allocation was 100%. Conclusions: The updated SIC-2.0 model provides a simple flowchart and automated electronic script to allow both an accurate and efficient method of categorising subsequent injury data in sport.</t>
  </si>
  <si>
    <t xml:space="preserve">https://search.ebscohost.com/login.aspx?direct=true&amp;db=mdc&amp;AN=29500797&amp;site=ehost-live </t>
  </si>
  <si>
    <t>Assessment of Nutrient Status in Athletes and the Need for Supplementation.</t>
  </si>
  <si>
    <t>Larson-Meyer DE; Woolf K; Burke L</t>
  </si>
  <si>
    <t>10.1123/ijsnem.2017-0338</t>
  </si>
  <si>
    <t>Athletes; Dietary Supplements; Nutritional Requirements; Sports Nutritional Physiological Phenomena; Anthropometry; Diet; Humans; Nutrition Assessment</t>
  </si>
  <si>
    <t>Nutrition assessment is a necessary first step in advising athletes on dietary strategies that include dietary supplementation, and in evaluating the effectiveness of supplementation regimens. Although dietary assessment is the cornerstone component of the nutrition assessment process, it should be performed within the context of a complete assessment that includes collection/evaluation of anthropometric, biochemical, clinical, and environmental data. Collection of dietary intake data can be challenging, with the potential for significant error of validity and reliability, which include inherent errors of the collection methodology, coding of data by dietitians, estimation of nutrient composition using nutrient food tables and/or dietary software programs, and expression of data relative to reference standards including eating guidance systems, macronutrient guidelines for athletes, and recommended dietary allowances. Limitations in methodologies used to complete anthropometric assessment and biochemical analysis also exist, as reference norms for the athlete are not well established and practical and reliable biomarkers are not available for all nutrients. A clinical assessment collected from history information and the nutrition-focused physical exam may help identify overt nutrient deficiencies but may be unremarkable in the well-trained athlete. Assessment of potential food-drug interactions and environmental components further helps make appropriate dietary and supplement recommendations. Overall, the assessment process can help the athlete understand that supplement intake cannot make up for poor food choices and an inadequate diet, while a healthy diet helps ensure maximal benefit from supplementation. Establishment of reference norms specifically for well-trained athletes for the nutrition assessment process is a future research priority.</t>
  </si>
  <si>
    <t xml:space="preserve">https://search.ebscohost.com/login.aspx?direct=true&amp;db=mdc&amp;AN=29252049&amp;site=ehost-live </t>
  </si>
  <si>
    <t>Athletes underestimate sleep quantity during daytime nap opportunities.</t>
  </si>
  <si>
    <t>Lastella M; Roach GD; Miller DJ; Versey N; Romyn G; Sargent C</t>
  </si>
  <si>
    <t>Chronobiology international</t>
  </si>
  <si>
    <t>10.1080/07420528.2018.1466787</t>
  </si>
  <si>
    <t>Athletes psychology; Circadian Rhythm physiology; Sleep physiology; Wakefulness physiology; Female; Humans; Male; Polysomnography methods; Self Report; Sleep Deprivation physiopathology</t>
  </si>
  <si>
    <t>This study examined the difference between athletes' self-reported and objective sleep durations during two nap opportunities. Twelve well-trained male soccer players' sleep durations were assessed using polysomnography and a self-report question during a 60- and 120-min nap opportunity. Participants underestimated sleep compared to objective sleep assessments for both the 60-min nap opportunity (p = 0.004) and 120-min nap opportunity (p = 0.001). Soccer players underestimated their sleep duration by approximately 10 min per hour of nap opportunity. It is yet to be determined if athletes are likely to underestimate sleep duration during their main nighttime sleep period.</t>
  </si>
  <si>
    <t xml:space="preserve">https://search.ebscohost.com/login.aspx?direct=true&amp;db=mdc&amp;AN=29842816&amp;site=ehost-live </t>
  </si>
  <si>
    <t>Automated body volume acquisitions from 3D structured-light scanning.</t>
  </si>
  <si>
    <t>Chiu CY; Pease DL; Fawkner S; Sanders RH</t>
  </si>
  <si>
    <t>Computers in biology and medicine</t>
  </si>
  <si>
    <t>10.1016/j.compbiomed.2018.07.016</t>
  </si>
  <si>
    <t>Algorithms; Body Weights and Measures methods; Imaging, Three-Dimensional methods; Software; Adult; Female; Humans; Male; Middle Aged</t>
  </si>
  <si>
    <t>Whole-body volumes and segmental volumes are highly related to the health and medical condition of individuals. However, the traditional manual post-processing of raw 3D scanned data is time-consuming and needs technical expertise. The purpose of this study was to develop bespoke software for obtaining whole-body volumes and segmental volumes from raw 3D scanned data automatically and to establish its accuracy and reliability. The bespoke software applied Stitched Puppet model fitting techniques to deform template models to fit the 3D raw scanned data to identify the segmental endpoints and determine their locations. Finally, the bespoke software used the location information of segmental endpoints to set segmental boundaries on the reconstructed meshes and to calculate body volume. The whole-body volumes and segmental volumes (head &amp; neck, torso, arms, and legs) of 29 participants processed by the traditional manual operation were regarded as the references and compared to the measurements obtained with the bespoke software using the intra-method and inter-method relative technical errors of measurement. The results showed that the errors in whole-body volumes and most segmental volumes acquired from the bespoke software were less than 5%. Overall, the bespoke software developed in this study can complete the post-processing tasks without any technical expertise, and the obtained whole-body volumes and segmental volumes can achieve good accuracy for some applications in health and medicine. Copyright © 2018 Elsevier Ltd. All rights reserved.</t>
  </si>
  <si>
    <t xml:space="preserve">https://search.ebscohost.com/login.aspx?direct=true&amp;db=mdc&amp;AN=30125785&amp;site=ehost-live </t>
  </si>
  <si>
    <t>Caffeine use in a Super Rugby game and its relationship to post-game sleep.</t>
  </si>
  <si>
    <t>Dunican IC; Higgins CC; Jones MJ; Clarke MW; Murray K; Dawson B; Caldwell JA; Halson SL; Eastwood PR</t>
  </si>
  <si>
    <t>10.1080/17461391.2018.1433238</t>
  </si>
  <si>
    <t>Caffeine administration &amp; dosage; Football; Sleep; Actigraphy; Adult; Athletes; Humans; Male; Saliva chemistry; Young Adult</t>
  </si>
  <si>
    <t>Objective: To examine the relationship between regular game-related caffeine consumption on sleep after an evening Super Rugby game. Methods: Twenty elite rugby union players wore a wrist-activity monitor to measure sleep for three days before, three days after and on the night of an evening Super Rugby game (19:00-21:00). Players ingested caffeine as they would normally (i.e. before and sometimes during a game) and saliva samples were collected before (17:00) and after (21:30) the game for caffeine concentration. Results: Compared to the nights leading up to the game, on the night of the game, players went to bed 3 h later (23:08 ± 66 min vs 02:11 ± 114 min; p &lt; .001) and had 1:30 hh:mm less sleep (5:54 ± 2:59 vs 8:02 ± 1:24 hh:mm; p &lt; .05) and four players did not sleep after the game. Post-game caffeine saliva concentrations were greater than pre-game levels in 17 players (Pre-game 0.40 µg/mL vs Post-game 2.77 µg/mL; p &lt; .001). The increase in caffeine saliva concentrations was moderately associated with an increase in sleep latency (p &lt; .05), a decrease in sleep efficiency (p &lt; .05), and a trend for a decrease in sleep duration (p = .06) on game night. Conclusion: Caffeine consumption before a Super Rugby game markedly increases post-game saliva caffeine levels. This may contribute to the observed 3.5 h delay in time at sleep onset and the 1.5 h reduction in sleep duration on the night of the game. This study highlights the need for a strategic approach to the use of caffeine within a Super Rugby team considering the potential effect on post-game sleep.</t>
  </si>
  <si>
    <t xml:space="preserve">https://search.ebscohost.com/login.aspx?direct=true&amp;db=mdc&amp;AN=29431593&amp;site=ehost-live </t>
  </si>
  <si>
    <t>Can Sleep Be Used as an Indicator of Overreaching and Overtraining in Athletes?</t>
  </si>
  <si>
    <t>Lastella M; Vincent GE; Duffield R; Roach GD; Halson SL; Heales LJ; Sargent C</t>
  </si>
  <si>
    <t>10.3389/fphys.2018.00436</t>
  </si>
  <si>
    <t xml:space="preserve">https://search.ebscohost.com/login.aspx?direct=true&amp;db=mdc&amp;AN=29740346&amp;site=ehost-live </t>
  </si>
  <si>
    <t>Case Study: Providing Nutritional Support to an Ultraendurance Runner in Preparation for a Self-Sufficient Multistage Ultramarathon: Rationed Versus Full Energy Provisions.</t>
  </si>
  <si>
    <t>Alcock R; McCubbin A; Camões-Costa V; Costa RJS</t>
  </si>
  <si>
    <t>Wilderness &amp; environmental medicine</t>
  </si>
  <si>
    <t>10.1016/j.wem.2018.06.004</t>
  </si>
  <si>
    <t>Case Reports</t>
  </si>
  <si>
    <t>Diet methods; Physical Endurance physiology; Running physiology; Sports Nutritional Physiological Phenomena; Body Composition; Energy Metabolism physiology; Humans; Male; Running psychology</t>
  </si>
  <si>
    <t>To assess the impact of rationed versus full estimated energy provisions on markers of physiological strain in response to a simulated 250 km multistage ultramarathon (MSUM), on two separate occasions, the ultraendurance runner performed a laboratory simulated MSUM, with rationed (RP: 3303±75 kcal⋅day -1 ) and full (FP: 7156±359 kcal⋅day -1 ) provisions. Total daily energy expenditure was determined using dual-method indirect calorimetry. Resting metabolic rate, iDXA, and body water were measured at baseline, day 3, and post-MSUM. Blood, urine, and feces were collected, and mood state was measured, d 1 to 5 (before and after running) to determine various physiological strain indices. Heart rate, RPE, thermal comfort, gastrointestinal symptoms, and non-protein oxidation rates were measured every 30 min during running. Data were analyzed using single-subject design analysis and interpreted using Cohen's effect size. Energy expenditure was lower on RP (6943±145 kcal⋅day -1 ) than FP (7486±143 kcal⋅day -1 ) (Cohen's δ=-3.1). More pronounced exertional strain (RPE δ=1.2, thermal conform δ=0.6, rectal temperature δ=1.0, and plasma cortisol concentration δ=1.7) was observed on RP as the MSUM progressed. Total carbohydrate and fat oxidation during running decreased (0.76 vs. 1.82 g⋅min -1 ; δ=-3.9) and increased (0.91 vs. 0.54 g⋅min -1 ; δ=3.7), respectively, more profoundly on RP as the MSUM progressed. Gastrointestinal symptoms were modestly lower in RP (δ=-0.26). Exercise-induced leukocytosis, cytokinaemia, and neutrophil responses were higher on RP. Iron status markers were trivial. Higher mood disturbance and fatigue were reported on RP. The ultraendurance runner presented greater physiological and psychophysiological disturbances, in response to a laboratory simulated MSUM, on rationed energy provisions, despite the lighter pack-weight. Copyright © 2018 Wilderness Medical Society. Published by Elsevier Inc. All rights reserved.</t>
  </si>
  <si>
    <t xml:space="preserve">https://search.ebscohost.com/login.aspx?direct=true&amp;db=mdc&amp;AN=30249353&amp;site=ehost-live </t>
  </si>
  <si>
    <t>Chronic Ketogenic Low Carbohydrate High Fat Diet Has Minimal Effects on Acid-Base Status in Elite Athletes.</t>
  </si>
  <si>
    <t>Carr AJ; Sharma AP; Ross ML; Welvaert M; Slater GJ; Burke LM</t>
  </si>
  <si>
    <t>10.3390/nu10020236</t>
  </si>
  <si>
    <t>Clinical Study</t>
  </si>
  <si>
    <t>Acid-Base Equilibrium; Athletes; Diet, High-Fat; Diet, Ketogenic; Adaptation, Physiological; Bicarbonates blood; Biomarkers blood; Exercise Test; Female; Health Status; Humans; Hydrogen-Ion Concentration; Lactic Acid blood; Male; Physical Endurance; Time Factors</t>
  </si>
  <si>
    <t>Although short (up to 3 days) exposure to major shifts in macronutrient intake appears to alter acid-base status, the effects of sustained (&gt;1 week) interventions in elite athletes has not been determined. Using a non-randomized, parallel design, we examined the effect of adaptations to 21 days of a ketogenic low carbohydrate high fat (LCHF) or periodized carbohydrate (PCHO) diet on pre- and post-exercise blood pH, and concentrations of bicarbonate (HCO₃ - ) and lactate (La - ) in comparison to a high carbohydrate (HCHO) control. Twenty-four (17 male and 7 female) elite-level race walkers completed 21 days of either LCHF (n = 9), PCHO (n = 7), or HCHO (n = 8) under controlled diet and training conditions. At baseline and post-intervention, blood pH, blood [HCO₃ - ], and blood [La - ] were measured before and after a graded exercise test. Net endogenous acid production (NEAP) over the previous 48-72 h was also calculated from monitored dietary intake. LCHF was not associated with significant differences in blood pH, [HCO₃ - ], or [La - ], compared with the HCHO diet pre- or post-exercise, despite a significantly higher NEAP (mEq·day -1 ) (95% CI = [10.44; 36.04]). Our results indicate that chronic dietary interventions are unlikely to influence acid-base status in elite athletes, which may be due to pre-existing training adaptations, such as an enhanced buffering capacity, or the actions of respiratory and renal pathways, which have a greater influence on regulation of acid-base status than nutritional intake. Competing Interests: The authors declare no conflict of interest.</t>
  </si>
  <si>
    <t xml:space="preserve">https://search.ebscohost.com/login.aspx?direct=true&amp;db=mdc&amp;AN=29463034&amp;site=ehost-live </t>
  </si>
  <si>
    <t>Collecting Health and Exposure Data in Australian Olympic Combat Sports: Feasibility Study Utilizing an Electronic System.</t>
  </si>
  <si>
    <t>Bromley S; Drew M; Talpey S; McIntosh A; Finch C</t>
  </si>
  <si>
    <t>JMIR human factors</t>
  </si>
  <si>
    <t>e27</t>
  </si>
  <si>
    <t>10.2196/humanfactors.9541</t>
  </si>
  <si>
    <t>JMIR Publications Inc</t>
  </si>
  <si>
    <t>Background: Electronic methods are increasingly being used to manage health-related data among sporting populations. Collection of such data permits the analysis of injury and illness trends, improves early detection of injuries and illnesses, collectively referred to as health problems, and provides evidence to inform prevention strategies. The Athlete Management System (AMS) has been employed across a range of sports to monitor health. Australian combat athletes train across the country without dedicated national medical or sports science teams to monitor and advocate for their health. Employing a Web-based system, such as the AMS, may provide an avenue to increase the visibility of health problems experienced by combat athletes and deliver key information to stakeholders detailing where prevention programs may be targeted. Objective: The objectives of this paper are to (1) report on the feasibility of utilizing the AMS to collect longitudinal injury and illness data of combat sports athletes and (2) describe the type, location, severity, and recurrence of injuries and illnesses that the cohort of athletes experience across a 12-week period. Methods: We invited 26 elite and developing athletes from 4 Olympic combat sports (boxing, judo, taekwondo, and wrestling) to participate in this study. Engagement with the AMS was measured, and collected health problems (injuries or illnesses) were coded using the Orchard Sports Injury Classification System (version 10.1) and International Classification of Primary Care (version 2). Results: Despite &gt;160 contacts, athlete engagement with online tools was poor, with only 13% compliance across the 12-week period. No taekwondo or wrestling athletes were compliant. Despite low overall engagement, a large number of injuries or illness were recorded across 11 athletes who entered data-22 unique injuries, 8 unique illnesses, 30 recurrent injuries, and 2 recurrent illnesses. The most frequent injuries were to the knee in boxing (n=41) and thigh in judo (n=9). In this cohort, judo players experienced more severe, but less frequent, injuries than boxers, yet judo players sustained more illnesses than boxers. In 97.0% (126/130) of cases, athletes in this cohort continued to train irrespective of their health problems. Conclusions: Among athletes who reported injuries, many reported multiple conditions, indicating a need for health monitoring in Australian combat sports. A number of factors may have influenced engagement with the AMS, including access to the internet, the design of the system, coach views on the system, previous experiences with the system, and the existing culture within Australian combat sports. To increase engagement, there may be a requirement for sports staff to provide relevant feedback on data entered into the system. Until the barriers are addressed, it is not feasible to implement the system in its current form across a larger cohort of combat athletes. ©Sally Bromley, Michael Drew, Scott Talpey, Andrew McIntosh, Caroline Finch. Originally published in JMIR Human Factors (http://humanfactors.jmir.org), 09.10.2018.</t>
  </si>
  <si>
    <t xml:space="preserve">https://search.ebscohost.com/login.aspx?direct=true&amp;db=mdc&amp;AN=30305257&amp;site=ehost-live </t>
  </si>
  <si>
    <t>Comparison Between Elite and Subelite Swimmers on Dry Land and Tumble Turn Leg Extensor Force-Time Characteristics.</t>
  </si>
  <si>
    <t>Jones JV; Pyne DB; Haff GG; Newton RU</t>
  </si>
  <si>
    <t>10.1519/JSC.0000000000002041</t>
  </si>
  <si>
    <t>Exercise physiology; Leg physiology; Muscle Strength physiology; Muscle, Skeletal physiology; Swimming physiology; Adolescent; Cross-Sectional Studies; Exercise Test; Female; Humans; Male</t>
  </si>
  <si>
    <t>Jones, JV, Pyne, DB, Haff, GG, and Newton, RU. Comparison between elite and subelite swimmers on dry land and tumble turn leg extensor force-time characteristics. J Strength Cond Res 32(6): 1762-1769, 2018-Elite swimmers demonstrate faster swimming turn times that are potentially a result of having better strength-power characteristics than subelite swimmers. We quantified differences between dry-land and swimming turn force-time characteristics in elite swimmers and subelite swimmers. Subelite (11 males: 17.4 ± 0.6 years; 10 females: 17.1 ± 0.6 years) and elite swimmers (15 male: 23.2 ± 2.3 years; 7 female: 21.6 ± 2.5 years) were tested in a cross-sectional design. All swimmers performed a body weight and loaded (20 kg females, 30 kg males) squat jump (SJ) on a portable force platform. On the same day, all swimmers completed swimming turn analyses using a force platform fixed within the pool wall. The magnitude of difference between groups was estimated using a standardized mean difference (effect size statistic). Elite male and female swimmers had superior swimming turn and dry-land force-time characteristics to subelite swimmers in all tests. The standardized mean differences between groups ranged from small to very large. The largest differences were SJ peak velocity unloaded (3.07 ± 1.0 m·s males, 3.49 ± 2.29 m·s females; standardized mean difference ± 90% confidence limits) and SJ peak power unloaded (2.59 ± 0.79 w male, 2.80 ± 1.64 w female) with elite male and female swimmers having a ∼25-50% higher performance than the subelites in both characteristics. Elite swimmers exhibit superior strength and power characteristics for the swimming turn compared with younger and less experienced swimmers. A well-planned and executed strength and conditioning program is needed for emerging swimmers to develop these qualities, as they transition to senior levels.</t>
  </si>
  <si>
    <t xml:space="preserve">https://search.ebscohost.com/login.aspx?direct=true&amp;db=mdc&amp;AN=29786631&amp;site=ehost-live </t>
  </si>
  <si>
    <t>Comparison of special judo fitness test and dynamic and isometric judo chin-up tests' performance and classificatory tables' development for cadet and junior athletes.</t>
  </si>
  <si>
    <t>Agostinho MF; Junior JAO; Stankovic N; Escobar-Molina R; Franchini E</t>
  </si>
  <si>
    <t>10.12965/jer.1836020.010</t>
  </si>
  <si>
    <t>The aims of this work were to compare the performances of male and female cadet and junior judo athletes and to develop classificatory tables to these judo-specific tests for international-level from these ages. Data collected during training camps of male and female cadet and junior judo teams from three nations (Brazil, Serbia, and Spain) were analyzed, totalizing 252 individual results of special judo fitness test (SJFT), and 222 and 208 of dynamic and isometric judogi chin-up tests, respectively. Juniors performed better than cadets in the SJFT, with higher number of throws in A, B, C, and total ( P &lt;0.001 for all comparisons), lower final heart rate ( P =0.021), and lower index ( P &lt;0.001), as well as higher relative performance in the dynamic chin-up test ( P &lt;0.001). Furthermore, male athletes presented better performance compared to female athletes in the SJFT (higher number of throws in A, B and total, and lower index) and in the isometric and dynamic chin-up tests (higher absolute and relative performances) ( P &lt;0.001 for all comparisons). Considering these differences, tables were established by sex and age groups, using percentile values. Thereby, each of the parameters of the SJFT (number of throws, heart rate after and 1 min after the test, and SJFT index), as well as absolute and relative results in chin-up judogi tests, were classified by sex and age. These classificatory tables can be useful for judo coaches to monitor specific physical performance during different phases of periodization process. Competing Interests: CONFLICT OF INTEREST No potential conflict of interest relevant to this article was reported.</t>
  </si>
  <si>
    <t xml:space="preserve">https://search.ebscohost.com/login.aspx?direct=true&amp;db=mdc&amp;AN=29740559&amp;site=ehost-live </t>
  </si>
  <si>
    <t>Compression garments and cerebral blood flow: Influence on cognitive and exercise performance.</t>
  </si>
  <si>
    <t>Smale BA; Northey JM; Smee DJ; Versey NG; Rattray B</t>
  </si>
  <si>
    <t>10.1080/17461391.2017.1413139</t>
  </si>
  <si>
    <t>Athletic Performance physiology; Bicycling physiology; Cerebrovascular Circulation; Clothing; Cognition; Adult; Blood Flow Velocity; Blood Pressure; Cross-Over Studies; Exercise Test; Humans; Male; Young Adult</t>
  </si>
  <si>
    <t>This study aimed to describe the effect of compression garments on middle cerebral artery blood flow velocity (MCA v ) in relation to cognitive and exercise performance whilst cycling. In a randomised-controlled-cross-over design, 15 well-trained male cyclists were recruited to participate in three identical trials wearing loose fitting shorts (control), low-grade, or medium-grade compression garments. The protocol involved four 8 min increments of cycling at 30%, 50%, 70%, and 85% maximal power output and a 4 km time-trial. Participants undertook a cognitive Stroop task at baseline and at the midpoint of each increment. MCA v was monitored with Transcranial Doppler Ultrasonography. Mean arterial pressure (MAP) and partial pressure of end-tidal CO 2 (P et CO 2 ) were measured throughout. MCA v , MAP, P et CO 2 , and reaction time of the complex Stroop task were influenced by exercise intensity, but not compression garments. Compression garments significantly affected cognitive accuracy in the complex Stroop task such that low-grade compression appeared to enhance cognitive accuracy in comparison to the control condition at the highest intensity (p = .010). Time-trial performance did not differ between the control (338.0 ± 17.3 s), low-grade (338.7 ± 18.7 s), or medium-grade (342.2 ± 19.3 s) conditions (p = .114). Compression garments did not affect MCA v during exercise or time-trial performance, but compression may be beneficial for improved cognitive accuracy during high-intensity exercise. Further research is required to elucidate the potential impact on cognitive performance.</t>
  </si>
  <si>
    <t xml:space="preserve">https://search.ebscohost.com/login.aspx?direct=true&amp;db=mdc&amp;AN=29239696&amp;site=ehost-live </t>
  </si>
  <si>
    <t>Compression socks and the effects on coagulation and fibrinolytic activation during marathon running.</t>
  </si>
  <si>
    <t>Zadow EK; Adams MJ; Wu SSX; Kitic CM; Singh I; Kundur A; Bost N; Johnston ANB; Crilly J; Bulmer AC; Halson SL; Fell JW</t>
  </si>
  <si>
    <t>10.1007/s00421-018-3929-5</t>
  </si>
  <si>
    <t>Endurance Training; Fibrinolysis; Running physiology; Stockings, Compression; Adult; Female; Healthy Volunteers; Humans; Male; Middle Aged</t>
  </si>
  <si>
    <t>Purpose: Compression socks are frequently used in the treatment and prevention of lower-limb pathologies; however, when combined with endurance-based exercise, the impact of compression socks on haemostatic activation remains unclear. Objectives: To investigate the effect of wearing compression socks on coagulation and fibrinolysis following a marathon. Methods: Sixty-seven participants [43 males (mean ± SD: age: 46.7 ± 10.3 year) and 24 females (age: 40.0 ± 11.0 year)] were allocated into a compression (SOCK, n = 34) or control (CONTROL, n = 33) group. Venous blood samples were obtained 24 h prior to and immediately POST-marathon, and were analyzed for thrombin-anti-thrombin complex (TAT), tissue factor (TF), tissue factor pathway inhibitor (TFPI), and D-Dimer. Results: Compression significantly attenuated the post-exercise increase in D-Dimer compared to the control group [median (range) SOCK: + 9.02 (- 0.34 to 60.7) ng/mL, CONTROL: + 25.48 (0.95-73.24) ng/mL]. TF increased following the marathon run [median (range), SOCK: + 1.19 (- 7.47 to 9.11) pg/mL, CONTROL: + 3.47 (- 5.01 to 38.56) pg/mL] in all runners. No significant post-exercise changes were observed for TAT and TFPI. Conclusions: While activation of coagulation and fibrinolysis was apparent in all runners POST-marathon, wearing compression socks was shown to reduce fibrinolytic activity, as demonstrated by lower D-Dimer concentrations. Compression may reduce exercise-associated haemostatic activation when completing prolonged exercise.</t>
  </si>
  <si>
    <t xml:space="preserve">https://search.ebscohost.com/login.aspx?direct=true&amp;db=mdc&amp;AN=30043183&amp;site=ehost-live </t>
  </si>
  <si>
    <t>Contribution of uncertainty in estimation of active drag using assisted towing method in front crawl swimming.</t>
  </si>
  <si>
    <t>Hazrati P; Sinclair PJ; Spratford W; Ferdinands RE; Mason BR</t>
  </si>
  <si>
    <t>10.1080/02640414.2016.1276295</t>
  </si>
  <si>
    <t>Athletic Performance physiology; Swimming physiology; Adolescent; Biomechanical Phenomena; Data Interpretation, Statistical; Humans; Hydrodynamics; Uncertainty</t>
  </si>
  <si>
    <t>Active drag force in swimming can be calculated from a function of five different variables: swim velocity, tow velocity, belt force, power output and exponent of velocity. The accuracy of the drag force value is dependent on the accuracy of each variable, and on the contribution of each variable to drag estimation. To calculate uncertainty in drag value, first the derivatives of the active drag equation with respect to each variable were obtained. Second, these were multiplied by the uncertainty of that variable. Twelve national age and open level swimmers were recruited to complete four free swimming and five active drag trials. The uncertainties for the free and the tow swim velocities, and for the belt force, contributed approximately 5-6% and 2-3% error, respectively, in calculation of drag. The result of the uncertainty of the velocity exponent (1.8-2.6) indicated a contribution of about 6% error in active drag. The contribution of unequal power output showed that if a power changed 7.5% between conditions, it would lead to about 30% error in calculated drag. Consequently, if a swimmer did not maintain constant power output between conditions, there would be substantial errors in the calculation of active drag.</t>
  </si>
  <si>
    <t xml:space="preserve">https://search.ebscohost.com/login.aspx?direct=true&amp;db=mdc&amp;AN=28054499&amp;site=ehost-live </t>
  </si>
  <si>
    <t>Daytime naps can be used to supplement night-time sleep in athletes.</t>
  </si>
  <si>
    <t>Romyn G; Lastella M; Miller DJ; Versey NG; Roach GD; Sargent C</t>
  </si>
  <si>
    <t>10.1080/07420528.2018.1466795</t>
  </si>
  <si>
    <t>Circadian Rhythm physiology; Sleep physiology; Wakefulness physiology; Adult; Athletes psychology; Female; Humans; Male; Polysomnography methods; Sleep Deprivation physiopathology; Young Adult</t>
  </si>
  <si>
    <t>This study examined the efficacy of daytime napping to supplement night-time sleep in athletes. Twelve well-trained male soccer players completed three conditions in a randomised, counterbalanced order: 9 h in bed overnight with no daytime nap (9 h + 0 h); 8 h in bed overnight with a 1-h daytime nap (8 h + 1 h); and 7 h in bed overnight with a 2-h daytime nap (7 h + 2 h). Sleep was assessed using polysomnography. The total amount of sleep obtained in the three conditions was similar, i.e. 8.1 h (9 h + 0 h), 8.2 h (8 h + 1 h), and 8.0 h (7 h + 2 h). Daytime napping may be an effective strategy to supplement athletes' night-time sleep.</t>
  </si>
  <si>
    <t xml:space="preserve">https://search.ebscohost.com/login.aspx?direct=true&amp;db=mdc&amp;AN=30024323&amp;site=ehost-live </t>
  </si>
  <si>
    <t>Development of the athlete sleep behavior questionnaire: A tool for identifying maladaptive sleep practices in elite athletes.</t>
  </si>
  <si>
    <t>Driller MW; Mah CD; Halson SL</t>
  </si>
  <si>
    <t>Sleep science (Sao Paulo, Brazil)</t>
  </si>
  <si>
    <t>10.5935/1984-0063.20180009</t>
  </si>
  <si>
    <t>Brazilian Association of Sleep</t>
  </si>
  <si>
    <t>Introduction: Existing sleep questionnaires to assess sleep behaviors may not be sensitive in determining the unique sleep challenges faced by elite athletes. The purpose of the current study was to develop and validate the Athlete Sleep Behavior Questionnaire (ASBQ) to be used as a practical tool for support staff working with elite athletes. Methods: 564 participants (242 athletes, 322 non-athletes) completed the 18-item ASBQ and three previously validated questionnaires; the Sleep Hygiene Index (SHI), the Epworth Sleepiness Scale (ESS) and the Pittsburgh Sleep Quality Index (PSQI). A cohort of the studied population performed the ASBQ twice in one week to assess test-retest reliability, and also performed sleep monitoring via wrist-actigraphy. Results: Comparison of the ASBQ with existing sleep questionnaires resulted in moderate to large correlations ( r =0.32 - 0.69). There was a significant difference between athletes and non-athletes for the ASBQ global score (44±6 vs . 41±6, respectively, p &lt;0.01) and for the PSQI, but not for the SHI or the ESS. The reliability of the ASBQ was acceptable (ICC=0.87) when re-tested within 7 days. There was a moderate relationship between ASBQ and total sleep time ( r =-0.42). Conclusion: The ASBQ is a valid and reliable tool that can differentiate the sleep practices between athletes and non-athletes, and offers a practical instrument for practitioners and/or researchers wanting to evaluate the sleep behaviors of elite athletes. The ASBQ may provide information on areas where improvements to individual athletes' sleep habits could be made.</t>
  </si>
  <si>
    <t xml:space="preserve">https://search.ebscohost.com/login.aspx?direct=true&amp;db=mdc&amp;AN=29796200&amp;site=ehost-live </t>
  </si>
  <si>
    <t>Diagnostic imaging of ankle syndesmosis injuries: A general review.</t>
  </si>
  <si>
    <t>Kellett JJ; Lovell GA; Eriksen DA; Sampson MJ</t>
  </si>
  <si>
    <t>Journal of medical imaging and radiation oncology</t>
  </si>
  <si>
    <t>10.1111/1754-9485.12708</t>
  </si>
  <si>
    <t>Wiley-Blackwell Pub. Asia</t>
  </si>
  <si>
    <t>Ankle Injuries diagnostic imaging; Ankle Joint diagnostic imaging; Diagnosis, Differential; Humans</t>
  </si>
  <si>
    <t>Literature on the various techniques for imaging injuries to the ankle syndesmosis to determine the most appropriate imaging modality for diagnosing syndesmosis ligament disruption and instability was reviewed using the following data sources: Pubmed, Google scholar, SportsDiscus, E-journals and PLOSone. Search terms used were: syndesmosis paired with injury, imaging, radiology, X-ray, stress X-ray, arthrography, ultrasound, nuclear medicine scan, CT scan, MRI and arthroscopy. Articles were selected by reading abstracts and the full article if indicated. Further articles were derived from the references of the primary articles. Plain x-rays of the ankle will detect approximately half on AP view to two-thirds on mortise view of syndesmosis injuries. Syndesmosis injuries frequently occur in association with tibial or fibular fractures. Intra-operative stress radiography failed to detect approximately half of instabilities confirmed at arthroscopy. The current benchmark imaging techniques to diagnose syndesmosis injury and diastasis are arthroscopy and high-power (3T) MRI. Ultrasound is a promising, developing, cost-effective imaging technique which is yet to reach its full diagnostic potential. CT and nuclear medicine scans have limited roles. MRI (3T) scanning in the plane of the syndesmotic ligaments is the investigation of choice to detect ankle syndesmosis injuries. In the presence of associated injuries requiring surgery, arthroscopic viewing with stress examination is the diagnostic benchmark when available. © 2018 The Royal Australian and New Zealand College of Radiologists.</t>
  </si>
  <si>
    <t xml:space="preserve">https://search.ebscohost.com/login.aspx?direct=true&amp;db=mdc&amp;AN=29399975&amp;site=ehost-live </t>
  </si>
  <si>
    <t>Dietary nitrate supplementation does not improve cycling time-trial performance in the heat.</t>
  </si>
  <si>
    <t>Kent GL; Dawson B; Cox GR; Burke LM; Eastwood A; Croft KD; Peeling P</t>
  </si>
  <si>
    <t>10.1080/02640414.2017.1364404</t>
  </si>
  <si>
    <t>Athletic Performance physiology; Bicycling physiology; Body Temperature Regulation physiology; Dietary Supplements; Fruit and Vegetable Juices; Hot Temperature; Nitrates administration &amp; dosage; Adult; Double-Blind Method; Exercise Test; Heart Rate physiology; Humans; Male; Nitrates metabolism; Nitrites metabolism; Perception physiology; Physical Exertion physiology; Saliva metabolism; Skin Temperature physiology</t>
  </si>
  <si>
    <t>This investigation examined the effect of beetroot juice (BR) supplementation, a source of dietary nitrate (NO 3 - ), on cycling time-trial (TT) performance and thermoregulation in the heat. In a double-blind, repeated-measures design, 12 male cyclists (age 26.6 ± 4.4 years, VO 2peak 65.8 ± 5.5 mL.kg -1 .min -1 ) completed four cycling TTs (14 kJ.kg -1 ) in hot (35°C, 48% relative humidity) and euthermic (21°C, 52%) conditions, following 3 days supplementation with BR (6.5 mmol NO 3 - for 2 days and 13 mmol NO 3 - on the final day), or NO 3 - depleted placebo (PLA). Salivary NO 3 - and nitrite, core (T c ) and mean skin temperature (T sk ) were measured. Salivary NO 3 - and nitrite increased significantly post-BR supplementation (p &lt; 0.001). Average TT completion time (mm:ss) in hot conditions was 56:50 ± 05:08 with BR, compared with 58:30 ± 04:48 with PLA (p = 0.178). In euthermic conditions, average completion time was 53:09 ± 04:35 with BR, compared with 54:01 ± 04:05 with PLA (p = 0.380). The TT performance decreased (p &lt; 0.001), and T c (p &lt; 0.001) and T sk (p &lt; 0.001) were higher in hot compared with euthermic conditions. In summary, BR supplementation has no significant effect on cycling TT performance in the heat.</t>
  </si>
  <si>
    <t xml:space="preserve">https://search.ebscohost.com/login.aspx?direct=true&amp;db=mdc&amp;AN=28783446&amp;site=ehost-live </t>
  </si>
  <si>
    <t>Differences in Physiological Responses During Rowing and Cycle Ergometry in Elite Male Rowers.</t>
  </si>
  <si>
    <t>Lindenthaler JR; Rice AJ; Versey NG; McKune AJ; Welvaert M</t>
  </si>
  <si>
    <t>10.3389/fphys.2018.01010</t>
  </si>
  <si>
    <t>Cycle training is an important training modality of elite rowers. Cycling is the preferred alternative to on-water and ergometer rowing as it provides a reduction in compressive forces on the thoracic cage and upper extremities while still creating a local and central acclimation to endurance training. It is hypothesised, however, that there will be differences in physiological characteristics between Concept II (CII) rowing and WattBike (WB) cycling due to the principle regarding the specificity of training that elite rowers undertake. Understanding these differences will ensure more accurate training prescription when cycling. Twenty international level male rowers, [ V ˙ O 2PEAK 5.85 ± 0.58 L.min -1 (CI ± 0.26 L.min -1 )] participated in two identical discontinuous incremental exercise tests on a CII rowing and WB cycle ergometer. Ergometer modalities were randomised and counterbalanced among the group and tests occurred 7 days apart. V ˙ O 2 , V ˙ CO 2 , V ˙ E(STPD) and HR were significantly higher for every submaximal power output on the CII compared with the WB. Maximal power output on the WB was higher than on the CII [42 ± 33 W (CI ± 14 W) p &lt; 0.000] but V ˙ O 2PEAK was similar between modalities. Minute ventilation at maximal exercise was 11 L.min -1 lower on CII than on WB. When data were expressed relative to modality specific V ˙ O 2PEAK , power output was consistently lower on the CII as was submaximal V ˙ CO 2 , RER, RPE, mechanical efficiency and BLa concentration at 75% V ˙ O 2PEAK . Across all power outputs and exercise modalities, 77% of the variance in RPE could be explained by the variance in BLa. These results demonstrate that elite rowers can attain similar V ˙ O 2PEAK scores regardless of modality. Substantial physiological and metabolic differences are evident between CII rowing and WB cycling when power output is the independent variable with the latter being over 40 W higher. The difference in displayed power output between the ergometer modalities is attributed to differences in mechanical efficiency and a degree of power output not being accounted for on the CII ergometer. Given the lack of consistency between CII and WB power output, other physiological measures, such as HR, are better suited to prescribe WB ergometer sessions.</t>
  </si>
  <si>
    <t xml:space="preserve">https://search.ebscohost.com/login.aspx?direct=true&amp;db=mdc&amp;AN=30104984&amp;site=ehost-live </t>
  </si>
  <si>
    <t>Does performance level affect initial ball flight kinematics in finger and wrist-spin cricket bowlers?</t>
  </si>
  <si>
    <t>Spratford W; Whiteside D; Elliott B; Portus M; Brown N; Alderson J</t>
  </si>
  <si>
    <t>10.1080/02640414.2017.1329547</t>
  </si>
  <si>
    <t>Athletic Performance physiology; Fingers physiology; Motor Skills physiology; Sports physiology; Sports Equipment; Wrist physiology; Adult; Biomechanical Phenomena; Humans; Male; Rotation; Time and Motion Studies; Young Adult</t>
  </si>
  <si>
    <t>Spin bowling plays a fundamental role within the game of cricket yet little is known about the initial ball kinematics in elite and pathway spin bowlers or their relationship to performance. Therefore, the purpose of this study was to record three-dimensional ball kinematics in a large and truly high level cohort of elite and pathway finger-spin (FS) and wrist-spin (WS) bowlers, identifying potential performance measures that can be subsequently used in future research. A 22-camera Vicon motion analysis system captured retro-reflective markers placed on the seam (static) and ball (dynamic) to quantify ball kinematics in 36 FS (12 elite and 24 pathway) and 20 WS (eight elite and 12 pathway) bowlers. Results indicated that FS bowlers delivered the ball with an increased axis of rotation elevation, while wrist-spin bowlers placed greater amounts of revolutions on the ball. It also highlighted that ball release (BR) velocity, revolutions and velocity/revolution index scores for both groups and seam stability for FS bowlers, and seam azimuth angle and spin axis elevation angle for WS bowlers, were discriminators of playing level. As such these variables could be used as indicators of performance (i.e. performance measures) in future research.</t>
  </si>
  <si>
    <t xml:space="preserve">https://search.ebscohost.com/login.aspx?direct=true&amp;db=mdc&amp;AN=28532284&amp;site=ehost-live </t>
  </si>
  <si>
    <t>Does self-perceived sleep reflect sleep estimated via activity monitors in professional rugby league athletes?</t>
  </si>
  <si>
    <t>Caia J; Thornton HR; Kelly VG; Scott TJ; Halson SL; Cupples B; Driller MW</t>
  </si>
  <si>
    <t>10.1080/02640414.2017.1398885</t>
  </si>
  <si>
    <t>Actigraphy; Football physiology; Football psychology; Self Concept; Sleep; Humans; Time Factors</t>
  </si>
  <si>
    <t>This study examined agreement between self-perceived sleep and sleep estimated via activity monitors in professional rugby league athletes. 63 athletes, from three separate teams wore actigraphy monitors for 10.3 ± 3.9 days. During the monitoring period, ratings of perceived sleep quality (on a 1-5 and 1-10 Likert scale), and an estimate of sleep duration were recorded daily. Agreement between sleep estimated via activity monitors and self-perceived sleep was examined using mean bias, Pearson correlation (r) and typical error of the estimate (TEE). 641 nights of sleep were recorded, with a very large, positive correlation observed between sleep duration estimated via activity monitors and subjective sleep duration (r = 0.85), and a TEE of 48 minutes. Mean bias revealed subjective sleep duration overestimated sleep by an average of 19.8 minutes. The relationship between sleep efficiency estimated via activity monitors and self-perceived sleep quality on a 1-5 (r = 0.22) and 1-10 Likert scale (r = 0.28) was limited. The outcomes of this investigation support the use of subjective measures to monitor sleep duration in rugby league athletes when objective means are unavailable. However, practitioners should be aware of the tendency of athletes to overestimate sleep duration.</t>
  </si>
  <si>
    <t xml:space="preserve">https://search.ebscohost.com/login.aspx?direct=true&amp;db=mdc&amp;AN=29087784&amp;site=ehost-live </t>
  </si>
  <si>
    <t>Does the intramuscular tendon act like a free tendon?</t>
  </si>
  <si>
    <t>Brukner P; Cook JL; Purdam CR</t>
  </si>
  <si>
    <t>10.1136/bjsports-2017-098834</t>
  </si>
  <si>
    <t>Lower Extremity physiology; Muscle, Skeletal physiology; Tendons physiology; Humans; Tendon Injuries physiopathology</t>
  </si>
  <si>
    <t xml:space="preserve">https://search.ebscohost.com/login.aspx?direct=true&amp;db=mdc&amp;AN=29950297&amp;site=ehost-live </t>
  </si>
  <si>
    <t>Effect of dietary nitrate supplementation on thermoregulatory and cardiovascular responses to submaximal cycling in the heat.</t>
  </si>
  <si>
    <t>Kent GL; Dawson B; Cox GR; Abbiss CR; Smith KJ; Croft KD; Lim ZX; Eastwood A; Burke LM; Peeling P</t>
  </si>
  <si>
    <t>10.1007/s00421-018-3809-z</t>
  </si>
  <si>
    <t>Bicycling physiology; Blood Pressure drug effects; Body Temperature Regulation drug effects; Hot Temperature; Nitrates pharmacology; Adult; Dietary Supplements; Humans; Male; Nitrates administration &amp; dosage; Oxygen Consumption; Skin Temperature; Stress, Physiological</t>
  </si>
  <si>
    <t>Purpose: This study investigated whether reported improvements in blood flow distribution, and the possible related effects on thermoregulation during exercise following supplementation with beetroot juice (BR), a rich source of dietary nitrate (NO 3 - ), are mitigated in the heat. Methods: 12 male endurance-trained cyclists (age 27 ± 6 years, VO 2peak 68.6 ± 8.1 ml kg -1 min -1 ) completed two 60 min submaximal cycling trials at 60% of VO 2peak power output. Trials were performed in hot environmental conditions (33.3 ± 0.4 °C, 48.8 ± 3.0% RH) following 3 days of supplementation with either NO 3 - -rich BR (6.5 mmol NO 3 - for 2 days and 13 mmol NO 3 - on the final day) or NO 3 - -depleted placebo (PLA). Salivary NO 3 - and nitrite (NO 2 - ) were measured before and after the supplementation period. During exercise, cutaneous blood flow, blood pressure (MAP), core temperature (T c ), mean skin temperature (T sk ), indices of muscle oxygenation and oxygen (O 2 ) consumption were measured. Results: Salivary NO 3 - and NO 2 - increased significantly following BR by 680 and 890%, respectively. There were no significant differences observed for cutaneous blood flow, MAP, T c , T sk , muscle oxygenation, or O 2 consumption between BR and PLA. Conclusion: This investigation shows that the ergogenic effects and health benefits of BR supplementation, such as augmented cutaneous blood flow, reduced MAP, increased muscle oxygenation, and improved aerobic efficiency may be attenuated when exercise is performed in hot conditions.</t>
  </si>
  <si>
    <t xml:space="preserve">https://search.ebscohost.com/login.aspx?direct=true&amp;db=mdc&amp;AN=29356948&amp;site=ehost-live </t>
  </si>
  <si>
    <t>Effect of resistance training and protein intake pattern on myofibrillar protein synthesis and proteome kinetics in older men in energy restriction.</t>
  </si>
  <si>
    <t>Murphy CH; Shankaran M; Churchward-Venne TA; Mitchell CJ; Kolar NM; Burke LM; Hawley JA; Kassis A; Karagounis LG; Li K; King C; Hellerstein M; Phillips SM</t>
  </si>
  <si>
    <t>10.1113/JP275246</t>
  </si>
  <si>
    <t>Diet, Reducing methods; Dietary Proteins administration &amp; dosage; Muscle Proteins metabolism; Muscle, Skeletal metabolism; Obesity physiopathology; Proteome analysis; Resistance Training; Aged; Body Mass Index; Energy Metabolism; Humans; Male; Myofibrils metabolism; Obesity therapy</t>
  </si>
  <si>
    <t>Key Points: Strategies to enhance the loss of fat while preserving muscle mass during energy restriction are of great importance to prevent sarcopenia in overweight older adults. We show for the first time that the integrated rate of synthesis of numerous individual contractile, cytosolic and mitochondrial skeletal muscle proteins was increased by resistance training (RT) and unaffected by dietary protein intake pattern during energy restriction in free-living, obese older men. We observed a correlation between the synthetic rates of skeletal muscle-derived proteins obtained in serum (creatine kinase M-type, carbonic anhydrase 3) and the synthetic rates of proteins obtained via muscle sampling; and that the synthesis rates of these proteins in serum revealed the stimulatory effects of RT. These results have ramifications for understanding the influence of RT on skeletal muscle and are consistent with the role of RT in maintaining muscle protein synthesis and potentially supporting muscle mass preservation during weight loss. Abstract: We determined how the pattern of protein intake and resistance training (RT) influenced longer-term (2 weeks) integrated myofibrillar protein synthesis (MyoPS) during energy restriction (ER). MyoPS and proteome kinetics were measured during 2 weeks of ER alone and 2 weeks of ER plus RT (ER + RT) in overweight/obese older men. Participants were randomized to consume dietary protein in a balanced (BAL: 25% daily protein per meal × 4 meals) or skewed (SKEW: 7:17:72:4% daily protein per meal) pattern (n = 10 per group). Participants ingested deuterated water during the consecutive 2-week periods, and skeletal muscle biopsies and serum were obtained at the beginning and conclusion of ER and ER + RT. Bulk MyoPS (i.e. synthesis of the myofibrillar protein sub-fraction) and the synthetic rates of numerous individual skeletal muscle proteins were quantified. Bulk MyoPS was not affected by protein distribution during ER or ER + RT (ER: BAL = 1.24 ± 0.31%/day, SKEW = 1.26 ± 0.37%/day; ER + RT: BAL = 1.64 ± 0.48%/day, SKEW = 1.52 ± 0.66%/day) but was ∼26% higher during ER + RT than during ER (P = 0.023). The synthetic rates of 175 of 190 contractile, cytosolic and mitochondrial skeletal muscle proteins, as well as synthesis of muscle-derived proteins measured in serum, creatine kinase M-type (CK-M) and carbonic anhydrase 3 (CA-3), were higher during ER + RT than during ER (P &lt; 0.05). In addition, the synthetic rates of CK-M and CA-3 measured in serum correlated with the synthetic rates of proteins obtained via muscle sampling (P &lt; 0.05). This study provides novel data on the skeletal muscle adaptations to RT and dietary protein distribution. © 2018 The Authors. The Journal of Physiology © 2018 The Physiological Society.</t>
  </si>
  <si>
    <t xml:space="preserve">https://search.ebscohost.com/login.aspx?direct=true&amp;db=mdc&amp;AN=29532476&amp;site=ehost-live </t>
  </si>
  <si>
    <t>Effects of acute exercise, dehydration and rehydration on cognitive function in well-trained athletes.</t>
  </si>
  <si>
    <t>Irwin C; Campagnolo N; Iudakhina E; Cox GR; Desbrow B</t>
  </si>
  <si>
    <t>10.1080/02640414.2017.1298828</t>
  </si>
  <si>
    <t>Cognition; Dehydration therapy; Exercise physiology; Exercise psychology; Fluid Therapy; Adult; Body Mass Index; Dehydration physiopathology; Energy Intake; Humans; Male; Reaction Time; Urine</t>
  </si>
  <si>
    <t>This study investigated the effects of aerobic exercise, fluid loss and rehydration on cognitive performance in well-trained athletes. Ten endurance-trained males (25 ± 5 years; 175 ± 5 cm; 70.35 ± 5.46 kg; VO 2max , 62.95 ± 7.20 ml · kg.min -1 ) lost ~2.5 ± 0.6% body mass via continuous cycling exercise at ~65% peak sustainable power output (60 min duration) before consuming different beverages (Water = W1 and W2, Sustagen Sport = SS, Powerade = PD) and food ad libitum on four separate occasions. Cognitive function using a four-choice reaction time task (CRT), body mass, fluid consumption volumes, urine samples and subjective ratings (alertness, concentration, energy) were obtained before and after exercise, and hourly during recovery (for 4 h). CRT latency was significantly reduced immediately after exercise compared to pre-exercise measures for all trials (W1 = -16 ± 18 ms, W2 = -22 ± 21 ms, PD = -22 ± 22 ms, SS = -19 ± 26 ms). However, this effect was short-lived with subsequent measures not different from pre-exercise values. No difference in CRT accuracy was observed at any time across all trials. Subjective ratings were not different at any time across all trials. Aerobic exercise, hypohydration or an interaction between these two may provide a small cognitive performance benefit. However, these effects are temporary and confined to the immediate post-exercise period.</t>
  </si>
  <si>
    <t xml:space="preserve">https://search.ebscohost.com/login.aspx?direct=true&amp;db=mdc&amp;AN=28282741&amp;site=ehost-live </t>
  </si>
  <si>
    <t>Effects of Creatine and Carbohydrate Loading on Cycling Time Trial Performance.</t>
  </si>
  <si>
    <t>Tomcik KA; Camera DM; Bone JL; Ross ML; Jeacocke NA; Tachtsis B; Senden J; VAN Loon LJC; Hawley JA; Burke LM</t>
  </si>
  <si>
    <t>10.1249/MSS.0000000000001401</t>
  </si>
  <si>
    <t>Bicycling physiology; Creatine administration &amp; dosage; Diet, Carbohydrate Loading; Sports Nutritional Physiological Phenomena; Adult; Body Weight; Cross-Over Studies; Glycogen analysis; Humans; Male; Muscle, Skeletal physiology; Oxygen Consumption; Physical Endurance</t>
  </si>
  <si>
    <t>Introduction: Creatine (Cr) and carbohydrate loadings are dietary strategies used to enhance exercise capacity. This study examined the metabolic and performance effects of a combined CR and CHO loading regiment on time trial (TT) cycling bouts. Methods: Eighteen well-trained (~65 mL·kg·min V˙O2peak) men completed three performance trials (PT) that comprised a 120-km cycling TT interspersed with alternating 1- and 4-km sprints (six sprints each) performed every 10 km followed by an inclined ride to fatigue (~90% V˙O2peak). Subjects were pair matched into either CR-loaded (20 g·d for 5 d + 3 g·d for 9 d) or placebo (PLA) groups (n = 9) after the completion of PT1. All subjects undertook a crossover application of the carbohydrate interventions, consuming either moderate (6 g·kg body mass (BM) per day; MOD) or CHO-loaded (12 g·kg BM·d; LOAD) diets before PT2 and PT3. Muscle biopsies were taken before PT1, 18 h after PT1, and before both PT2 and PT3. Results: No significant differences in overall TT or inclined ride times were observed between intervention groups. PLA + LOAD improved power above baseline (P &lt; 0.05) during the final 1-km sprint, whereas CR + MOD and CR + LOAD improved power (P &lt; 0.05) during the final 4-km sprint. Greater power was achieved with MOD and LOAD compared with baseline with PLA (P &lt; 0.05). CR increased pre-PT BM compared with PLA (+1.54% vs +0.99% from baseline). CR + LOAD facilitated greater [total CR] (P &lt; 0.05 vs baseline) and muscle [glycogen] (P &lt; 0.01 vs baseline and MOD) compared with PLA + LOAD. Mechanistic target of rapamycin decreased from baseline after glycogen depletion (~30%; P &lt; 0.05). Conclusions: Power output in the closing sprints of exhaustive TT cycling increased with CR ingestion despite a CR-mediated increase in weight. CR cosupplemented with carbohydrates may therefore be beneficial strategy for late-stage breakaway moments in endurance events.</t>
  </si>
  <si>
    <t xml:space="preserve">https://search.ebscohost.com/login.aspx?direct=true&amp;db=mdc&amp;AN=28806275&amp;site=ehost-live </t>
  </si>
  <si>
    <t>Emergence of Skilled Behaviors in Professional, Amateur and Junior Cricket Batsmen During a Representative Training Scenario.</t>
  </si>
  <si>
    <t>Connor JD; Farrow D; Renshaw I</t>
  </si>
  <si>
    <t>10.3389/fpsyg.2018.02012</t>
  </si>
  <si>
    <t>The aim of this study was to explore the emergence of skilled behaviors, in the form of actions, cognitions and emotions, between professional state level cricket batters and their lesser skilled counterparts. Twenty-two male cricket batsmen ( n = 6 state level; n = 8 amateur grade club level, n = 8 junior state representative level) participated in a game scenario training session against right arm pace bowlers ( n = 6 amateur senior club). The batsmen were tasked with scoring as many runs as possible during a simulated limited-overs game. The actions, cognitions, and emotions of each batsmen were recorded in situ with findings showing differences between state level players and those lesser skilled. State level batsmen played more scoring shots and scored more runs, underpinned by superior bat-ball contact and technical efficiency. Furthermore, the state player's cognitive evaluations of their own performance differed from junior batters, with more reported strategies based on an external outcome focus, such as where to score runs, rather than a focus on internal processes, such as making technical changes. State level batsmen also reported lower levels of nervousness compared with junior level batsmen. These results highlight the importance of viewing the emergence of skilled behavior as multi-faceted, rather than simply the acquisition of superior execution and technical proficiency.</t>
  </si>
  <si>
    <t xml:space="preserve">https://search.ebscohost.com/login.aspx?direct=true&amp;db=mdc&amp;AN=30425668&amp;site=ehost-live </t>
  </si>
  <si>
    <t>Evening electronic device use: The effects on alertness, sleep and next-day physical performance in athletes.</t>
  </si>
  <si>
    <t>Jones MJ; Peeling P; Dawson B; Halson S; Miller J; Dunican I; Clarke M; Goodman C; Eastwood P</t>
  </si>
  <si>
    <t>10.1080/02640414.2017.1287936</t>
  </si>
  <si>
    <t>Athletic Performance; Attention; Microcomputers statistics &amp; numerical data; Sleep; Adolescent; Body Temperature; Ear, Middle physiology; Female; Humans; Hydrocortisone metabolism; Melatonin metabolism; Salvia metabolism; Task Performance and Analysis</t>
  </si>
  <si>
    <t>The aim of the present study was to investigate the influence of different types of tasks performed with or without an electronic device (tablet) on pre-sleep alertness, subsequent sleep quality and next-day athletic performance. Eight highly trained netball players attended a sleep laboratory for pre-sleep testing, polysomnographic sleep monitoring and next-day physical performance testing on 5 separate occasions (1 familiarisation and 4 experimental sessions). For 2 h prior to bedtime, athletes completed cognitively stimulating tasks (puzzles) or passive tasks (reading) with or without a tablet. Sleepiness tended to be greater after reading compared to completing puzzles without a tablet (d = 0.80), but not with a tablet. Melatonin concentration increased more so after reading compared to completing puzzles on a tablet (P = 0.02). There were no significant differences in sleep quality or quantity or next-day athletic performance between any of the conditions. These data suggest that using a tablet for 2 h prior to sleep does not negatively affect subsequent sleep or next-day performance in athletes.</t>
  </si>
  <si>
    <t xml:space="preserve">https://search.ebscohost.com/login.aspx?direct=true&amp;db=mdc&amp;AN=28282750&amp;site=ehost-live </t>
  </si>
  <si>
    <t>Evidence-Based Supplements for the Enhancement of Athletic Performance.</t>
  </si>
  <si>
    <t>Peeling P; Binnie MJ; Goods PSR; Sim M; Burke LM</t>
  </si>
  <si>
    <t>10.1123/ijsnem.2017-0343</t>
  </si>
  <si>
    <t>Athletic Performance; Dietary Supplements; Performance-Enhancing Substances; Athletes; Evidence-Based Medicine; Humans; Sports Nutritional Physiological Phenomena</t>
  </si>
  <si>
    <t>A strong foundation in physical conditioning and sport-specific experience, in addition to a bespoke and periodized training and nutrition program, are essential for athlete development. Once these underpinning factors are accounted for, and the athlete reaches a training maturity and competition level where marginal gains determine success, a role may exist for the use of evidence-based performance supplements. However, it is important that any decisions surrounding performance supplements are made in consideration of robust information that suggests the use of a product is safe, legal, and effective. The following review focuses on the current evidence-base for a number of common (and emerging) performance supplements used in sport. The supplements discussed here are separated into three categories based on the level of evidence supporting their use for enhancing sports performance: (1) established (caffeine, creatine, nitrate, beta-alanine, bicarbonate); (2) equivocal (citrate, phosphate, carnitine); and (3) developing. Within each section, the relevant performance type, the potential mechanisms of action, and the most common protocols used in the supplement dosing schedule are summarized.</t>
  </si>
  <si>
    <t xml:space="preserve">https://search.ebscohost.com/login.aspx?direct=true&amp;db=mdc&amp;AN=29465269&amp;site=ehost-live </t>
  </si>
  <si>
    <t>Exploring the Effectiveness of Immersive Video for Training Decision-Making Capability in Elite, Youth Basketball Players.</t>
  </si>
  <si>
    <t>Panchuk D; Klusemann MJ; Hadlow SM</t>
  </si>
  <si>
    <t>10.3389/fpsyg.2018.02315</t>
  </si>
  <si>
    <t>Decision-making is an essential capability for success in team sport athletes. Good decision-making is underpinned by perceptual-cognitive skills that allow athletes to assess the environment and choose the correct choice from a number of alternatives. Previous research has demonstrated that decision-making can be trained "off-line" by exposing athletes to gameplay scenarios and having them make decisions based on the information presented to them. These scenarios are typically presented on television monitors or using life-size projections but recent advances in immersive video capabilities provide opportunities to improve the fidelity of training by presenting a realistic, 360° view of the competition environment. The purpose of this study was to assess the effectiveness of immersive video training and whether training would improve decision-making performance in elite, youth basketball players (male and female). A training group completed 10 or 12 immersive video (360° video presented in a head-mounted display) training sessions in which they viewed and responded to gameplay scenarios across 3-weeks while the control group only participated in their usual training routine. Performance was assessed on an immersive video test and during small-sided games (SSG). The male training group had a large, non-significant improvement on immersive test score (+4.0 points) and in the SSG (+5.8 points) compared to the male control group (+0.3 points and +1.0 points, respectively). While both the female control group (+9.7 points) and training group (7.4 points) had large improvements in the immersive training test, only the female control improved their performance in the SSG (+6.9 points). Despite the mixed findings, there may be benefit for using immersive video for training decision-making skill in team sports. The implications of these findings (e.g., gender of the actors used to create stimuli, variety of scenarios presented) and the limitations of the experiment are discussed.</t>
  </si>
  <si>
    <t xml:space="preserve">https://search.ebscohost.com/login.aspx?direct=true&amp;db=mdc&amp;AN=30538652&amp;site=ehost-live </t>
  </si>
  <si>
    <t>Factors affecting occlusion pressure and ischemic preconditioning.</t>
  </si>
  <si>
    <t>Brown H; Binnie MJ; Dawson B; Bullock N; Scott BR; Peeling P</t>
  </si>
  <si>
    <t>10.1080/17461391.2017.1421712</t>
  </si>
  <si>
    <t>Blood Pressure; Blood Pressure Determination instrumentation; Body Composition; Ischemic Preconditioning; Sex Factors; Absorptiometry, Photon; Adolescent; Adult; Anthropometry; Arteries physiology; Athletes; Female; Humans; Lower Extremity; Male; Ultrasonography, Doppler; Upper Extremity; Young Adult</t>
  </si>
  <si>
    <t>Purpose: To determine the effect of limb selection (upper/lower), cuff width (small (6 cm)/medium (13 cm) upper; medium/large (18 cm) lower) and anthropometry on arterial occlusion pressure (AOP) in ischemic preconditioning (IPC). Methods: Twenty athletes (10 females and 10 males) had surface anthropometry and dual x-ray absorptiometry (DXA) assessments before using Doppler ultrasound to confirm AOP for each limb. Subsequently, 5 min of occlusion occurred, with near-infrared spectroscopy (NIRS) measuring muscle oxygenation changes. Resultant AOP was compared between sexes, limbs and cuff sizes using linear regression models. Results: Mean AOP was higher in the lower limbs than the upper limbs (161 ± 18 vs. 133 ± 12 mm Hg; p &lt; .001), and with smaller cuffs in upper (161 ± 16 vs. 133 ± 12 mm Hg; p &lt; .001), but not lower limbs (161 ± 16 vs. 170 ± 26 mm Hg; p = .222). Sex and resting systolic blood pressure (SBP) accounted for 77% (small cuff) to 83% (medium cuff) of variance in AOP for upper limbs, and 61% (medium cuff) to 63% (large cuff) in lower limbs. Including anthropometry accounted for 82% (small cuff) to 89% (medium cuff) and 78% (medium cuff) to 79% (large cuff) of variance for upper and lower limbs, respectively. Adding DXA variables improved the explained variance up to 83% (small cuff) to 91% (medium cuff) and 79% (medium cuff) to 87% (large cuff) for upper and lower limbs, respectively. NIRS data showed significantly greater tissue oxygenation changes in upper versus lower limbs. Conclusions: The AOP in athletes is dependent on limb occluded, sex, SBP, limb and cuff size, and body composition.</t>
  </si>
  <si>
    <t xml:space="preserve">https://search.ebscohost.com/login.aspx?direct=true&amp;db=mdc&amp;AN=29341849&amp;site=ehost-live </t>
  </si>
  <si>
    <t>Functional Role of Movement and Performance Variability: Adaptation of Front Crawl Swimmers to Competitive Swimming Constraints.</t>
  </si>
  <si>
    <t>Simbaña Escobar D; Hellard P; Pyne DB; Seifert L</t>
  </si>
  <si>
    <t>10.1123/jab.2017-0022</t>
  </si>
  <si>
    <t>Adaptation, Physiological; Athletic Performance physiology; Competitive Behavior physiology; Movement physiology; Swimming physiology; Adult; Biomechanical Phenomena physiology; Female; Humans; Male; Reproducibility of Results; Video Recording</t>
  </si>
  <si>
    <t>To study the variability in stroking parameters between and within laps and individuals during competitions, we compared and modeled the changes of speed, stroke rate, and stroke length in 32 top-level male and female swimmers over 4 laps (L1-L4) in 200-m freestyle events using video-derived 2-dimensional direct linear transformation. For the whole group, speed was greater in L1, with significant decreases across L2, L3, and L4 (1.80 ± 0.10 vs 1.73 ± 0.08; 1.69 ± 0.09; 1.66 ± 0.09 · s -1 , P &lt; .05). This variability was attributed to a decrease in stroke length (L2: 2.43 ± 0.19 vs L4: 2.20 ± 0.13 m, P &lt; .05) and an increase in stroke rate (L2: 42.8 ± 2.6 vs L4: 45.4 ± 2.3 stroke · min -1 , P &lt; .05). The coefficient of variation and the biological coefficient of variation in speed were greater for male versus female (3.9 ± 0.7 vs 3.1 ± 0.7; 2.9 ± 1.0 vs 2.6 ± 0.7, P &lt; .05) and higher in L1 versus L2 (3.9 ± 1.3 vs 3.1 ± 0.1; 2.9 ± 0.9 vs 2.3 ± 0.7, P &lt; .05). Intra-lap speed values were best represented by a cubic (n = 38), then linear (n = 37) and quadratic model (n = 8). The cubic fit was more frequent for males (43.8%) than females (15.6%), suggesting greater capacity to generate higher acceleration after the turn. The various stroking parameters managements within lap suggest that each swimmer adapts his/her behavior to the race constraints.</t>
  </si>
  <si>
    <t xml:space="preserve">https://search.ebscohost.com/login.aspx?direct=true&amp;db=mdc&amp;AN=28952848&amp;site=ehost-live </t>
  </si>
  <si>
    <t>Futsal task constraints promote transfer of passing skill to soccer task constraints.</t>
  </si>
  <si>
    <t>10.1080/17461391.2018.1467490</t>
  </si>
  <si>
    <t>Athletic Performance physiology; Motor Skills physiology; Soccer physiology; Adolescent; Attention; Humans; Learning; Male</t>
  </si>
  <si>
    <t>This study investigated how learning a passing skill with futsal or soccer task constraints influenced transfer to a new task. Futsal (n = 24, 13.6 ± 1.2 years old, 7.0 ± 1.6 years of experience) and soccer (n = 24, 13.6 ± 1.2 years old, 6.8 ± 1.2 years of experience) players performed two 5v5 + goalkeeper modified games - a futsal-like task (small playing area with the futsal ball) and soccer-like task (large playing area with the soccer ball). Participants' passing accuracy and their orientation of attention were assessed during the two tasks. The futsal group improved their passing accuracy (ES = 0.75 ± 0.61) from the futsal-like to the soccer-like task, and they were more accurate than soccer players (ES = 2.98 ± 2.96). Conversely, the soccer group's passing accuracy remained stable across the two tasks (ES = 0.10 ± 0.52) and it was similar to the futsal group in the futsal-like task (ES = 0.58 ± 1.93). This indicates a higher magnitude of transfer (and adaptability) from performing passes in a small playing area with short time to act - futsal task constraints - to a larger playing area with longer time - soccer task constraints - than vice-versa. Furthermore, the futsal group showed a higher adaptation of attention orientation to the affordances that emerged with the soccer task constraints, which is suggested to be one of the main mechanisms promoting skill transfer. These results encourage soccer practitioners to introduce futsal task constraints to fast-track players' ability to functionally adapt perception-action coupling.</t>
  </si>
  <si>
    <t xml:space="preserve">https://search.ebscohost.com/login.aspx?direct=true&amp;db=mdc&amp;AN=29738285&amp;site=ehost-live </t>
  </si>
  <si>
    <t>Helping coaches apply the principles of representative learning design: validation of a tennis specific practice assessment tool.</t>
  </si>
  <si>
    <t>Krause L; Farrow D; Reid M; Buszard T; Pinder R</t>
  </si>
  <si>
    <t>10.1080/02640414.2017.1374684</t>
  </si>
  <si>
    <t>Motor Skills physiology; Task Performance and Analysis; Tennis physiology; Transfer, Psychology physiology; Competitive Behavior physiology; Delphi Technique; Humans; Mentoring; Practice, Psychological</t>
  </si>
  <si>
    <t>Representative Learning Design (RLD) is a framework for assessing the degree to which experimental or practice tasks simulate key aspects of specific performance environments (i.e. competition). The key premise being that when practice replicates the performance environment, skills are more likely to transfer. In applied situations, however, there is currently no simple or quick method for coaches to assess the key concepts of RLD (e.g. during on-court tasks). The aim of this study was to develop a tool for coaches to efficiently assess practice task design in tennis. A consensus-based tool was developed using a 4-round Delphi process with 10 academic and 13 tennis-coaching experts. Expert consensus was reached for the inclusion of seven items, each consisting of two sub-questions related to (i) the task goal and (ii) the relevance of the task to competition performance. The Representative Practice Assessment Tool (RPAT) is proposed for use in assessing and enhancing practice task designs in tennis to increase the functional coupling between information and movement, and to maximise the potential for skill transfer to competition contexts.</t>
  </si>
  <si>
    <t xml:space="preserve">https://search.ebscohost.com/login.aspx?direct=true&amp;db=mdc&amp;AN=28905685&amp;site=ehost-live </t>
  </si>
  <si>
    <t>High dietary fat intake increases fat oxidation and reduces skeletal muscle mitochondrial respiration in trained humans.</t>
  </si>
  <si>
    <t>Leckey JJ; Hoffman NJ; Parr EB; Devlin BL; Trewin AJ; Stepto NK; Morton JP; Burke LM; Hawley JA</t>
  </si>
  <si>
    <t>FASEB journal : official publication of the Federation of American Societies for Experimental Biology</t>
  </si>
  <si>
    <t>10.1096/fj.201700993R</t>
  </si>
  <si>
    <t>Federation of American Societies for Experimental Biology</t>
  </si>
  <si>
    <t>Dietary Fats administration &amp; dosage; Exercise physiology; Mitochondria, Muscle metabolism; Muscle, Skeletal metabolism; Oxygen Consumption drug effects; Adult; Diet, Carbohydrate-Restricted; Humans; Male; Oxidation-Reduction drug effects</t>
  </si>
  <si>
    <t>High-fat, low-carbohydrate (CHO) diets increase whole-body rates of fat oxidation and down-regulate CHO metabolism. We measured substrate utilization and skeletal muscle mitochondrial respiration to determine whether these adaptations are driven by high fat or low CHO availability. In a randomized crossover design, 8 male cyclists consumed 5 d of a high-CHO diet [&gt;70% energy intake (EI)], followed by 5 d of either an isoenergetic high-fat (HFAT; &gt;65% EI) or high-protein diet (HPRO; &gt;65% EI) with CHO intake clamped at &lt;20% EI. During the intervention, participants undertook daily exercise training. On d 6, participants consumed a high-CHO diet before performing 100 min of submaximal steady-state cycling plus an ∼30-min time trial. After 5 d of HFAT, skeletal muscle mitochondrial respiration supported by octanoylcarnitine and pyruvate, as well as uncoupled respiration, was decreased at rest, and rates of whole-body fat oxidation were higher during exercise compared with HPRO. After 1 d of high-CHO diet intake, mitochondrial respiration returned to baseline values in HFAT, whereas rates of substrate oxidation returned toward baseline in both conditions. These findings demonstrate that high dietary fat intake, rather than low-CHO intake, contributes to reductions in mitochondrial respiration and increases in whole-body rates of fat oxidation after a consuming a high-fat, low-CHO diet.-Leckey, J. J., Hoffman, N. J., Parr, E. B., Devlin, B. L., Trewin, A. J., Stepto, N. K., Morton, J. P., Burke, L. M., Hawley, J. A. High dietary fat intake increases fat oxidation and reduces skeletal muscle mitochondrial respiration in trained humans.</t>
  </si>
  <si>
    <t xml:space="preserve">https://search.ebscohost.com/login.aspx?direct=true&amp;db=mdc&amp;AN=29401600&amp;site=ehost-live </t>
  </si>
  <si>
    <t>How much is enough in rehabilitation? High running workloads following lower limb muscle injury delay return to play but protect against subsequent injury.</t>
  </si>
  <si>
    <t>Stares J; Dawson B; Peeling P; Drew M; Heasman J; Rogalski B; Colby M</t>
  </si>
  <si>
    <t>10.1016/j.jsams.2018.03.012</t>
  </si>
  <si>
    <t>Athletic Injuries rehabilitation; Football injuries; Lower Extremity injuries; Return to Sport physiology; Running; Workload; Athletic Injuries prevention &amp; control; Australia; Humans; Prospective Studies; Risk Factors</t>
  </si>
  <si>
    <t>Objectives: Examine the influence of rehabilitation training loads on return to play (RTP) time and subsequent injury in elite Australian footballers. Design: Prospective cohort study. Methods: Internal (sessional rating of perceived exertion: sRPE) and external (distance, sprint distance) workload and lower limb non-contact muscle injury data was collected from 58 players over 5 seasons. Rehabilitation periods were analysed for running workloads and time spent in 3 rehabilitation stages (1: off-legs training, 2: non-football running, 3: group football training) was calculated. Multi-level survival analyses with random effects accounting for player and season were performed. Hazard ratios (HR) and 95% confidence intervals (CI) for each variable were produced for RTP time and time to subsequent injury. Results: Of 85 lower limb muscle injuries, 70 were rehabilitated to RTP, with 30 cases of subsequent injury recorded (recurrence rate=11.8%, new site injury rate=31.4%). Completion of high rehabilitation workloads delayed RTP (distance: &gt;49,775m [reference: 34,613-49,775m]: HR 0.12, 95%CI 0.04-0.36, sRPE: &gt;1266AU [reference: 852-1266AU]: HR 0.09, 95%CI 0.03-0.32). Return to running within 4days increased subsequent injury risk (3-4days [reference: 5-6 days]: HR 25.88, 95%CI 2.06-324.4). Attaining moderate-high sprint distance (427-710m) was protective against subsequent injury (154-426m: [reference: 427-710m]: HR 37.41, 95%CI 2.70-518.64). Conclusions: Training load monitoring can inform player rehabilitation programs. Higher rehabilitation training loads delayed RTP; however, moderate-high sprint running loads can protect against subsequent injury. Shared-decision making regarding RTP should include accumulated training loads and consider the trade-off between expedited RTP and lower subsequent injury risk. Copyright © 2018 Sports Medicine Australia. Published by Elsevier Ltd. All rights reserved.</t>
  </si>
  <si>
    <t xml:space="preserve">https://search.ebscohost.com/login.aspx?direct=true&amp;db=mdc&amp;AN=29764731&amp;site=ehost-live </t>
  </si>
  <si>
    <t>How well does a commercially available wearable device measure sleep in young athletes?</t>
  </si>
  <si>
    <t>Sargent C; Lastella M; Romyn G; Versey N; Miller DJ; Roach GD</t>
  </si>
  <si>
    <t>10.1080/07420528.2018.1466800</t>
  </si>
  <si>
    <t>Athletes psychology; Circadian Rhythm physiology; Sleep physiology; Wearable Electronic Devices; Actigraphy methods; Female; Humans; Male; Wakefulness physiology; Wrist physiology</t>
  </si>
  <si>
    <t>The validity of a commercially available wearable device for measuring total sleep time was examined in a sample of well-trained young athletes during night-time sleep periods and daytime naps. Participants wore a FitBit HR Charge on their non-dominant wrist and had electrodes attached to their face and scalp to enable polysomnographic recordings of sleep in the laboratory. The FitBit automatically detected 24/30 night-time sleep periods but only 6/20 daytime naps. Compared with polysomnography, the FitBit overestimated total sleep time by an average of 52 ± 152 min for night-time sleep periods, and by 4 ± 8 min for daytime naps. It is important for athletes and practitioners to be aware of the limitations of wearable devices that automatically detect sleep duration.</t>
  </si>
  <si>
    <t xml:space="preserve">https://search.ebscohost.com/login.aspx?direct=true&amp;db=mdc&amp;AN=29750580&amp;site=ehost-live </t>
  </si>
  <si>
    <t>Identifying high risk loading conditions for in-season injury in elite Australian football players.</t>
  </si>
  <si>
    <t>Stares J; Dawson B; Peeling P; Heasman J; Rogalski B; Drew M; Colby M; Dupont G; Lester L</t>
  </si>
  <si>
    <t>10.1016/j.jsams.2017.05.012</t>
  </si>
  <si>
    <t>Athletic Injuries epidemiology; Football injuries; Physical Conditioning, Human adverse effects; Workload; Adult; Australia; Humans; Physical Exertion; Prospective Studies; Risk Factors; Young Adult</t>
  </si>
  <si>
    <t>Objectives: To examine different timeframes for calculating acute to chronic workload ratio (ACWR) and whether this variable is associated with intrinsic injury risk in elite Australian football players. Design: Prospective cohort study. Methods: Internal (session rating of perceived exertion: sRPE) and external (GPS distance and sprint distance) workload and injury data were collected from 70 players from one AFL club over 4 seasons. Various acute (1-2 weeks) and chronic (3-8 weeks) timeframes were used to calculate ACWRs: these and chronic load categories were then analysed to determine the injury risk in the subsequent month. Poisson regression with robust errors within a generalised estimating equation were utilised to determine incidence rate ratios (IRR). Results: Altering acute and/or chronic timeframes did not improve the ability to detect high injury risk conditions above the commonly used 1:4 week ACWR. Twenty-seven ACWR/chronic load combinations were found to be "high risk conditions" (IRR&gt;1, p&lt;0.05) for injury within 7 days. Most (93%) of these conditions occurred when chronic load was low or very low and ACWR was either low (&lt;0.6) or high (&gt;1.5). Once a high injury risk condition was entered, the elevated risk persisted for up to 28 days. Conclusions: Injury risk was greatest when chronic load was low and ACWR was either low or high. This heightened risk remained for up to 4 weeks. There was no improvement in the ability to identify high injury risk situations by altering acute or chronic time periods from 1:4 weeks. Copyright © 2017 Sports Medicine Australia. Published by Elsevier Ltd. All rights reserved.</t>
  </si>
  <si>
    <t xml:space="preserve">https://search.ebscohost.com/login.aspx?direct=true&amp;db=mdc&amp;AN=28601588&amp;site=ehost-live </t>
  </si>
  <si>
    <t>Illegal bowling actions contribute to performance in cricket finger-spin bowlers.</t>
  </si>
  <si>
    <t>10.1111/sms.13070</t>
  </si>
  <si>
    <t>Athletic Performance standards; Biomechanical Phenomena; Elbow physiology; Fingers physiology; Sports standards; Adolescent; Adult; Foot; Humans; Male; Rotation; Task Performance and Analysis; Torso; Video Recording; Young Adult</t>
  </si>
  <si>
    <t>With advances in technology, scientists are now able to more accurately measure elbow displacement changes during the cricket bowling action. This has led to the realization that the majority of bowlers undergo some degree of elbow extension during the forward swing phase of bowling. Consequently, the International Cricket Council were obliged to revise the once zero tolerance for elbow extension threshold to a 15° range. However, it is still not understood if bowling with &gt;15° of elbow extension aids performance or alters other kinematic movements. The purpose of this study was to compare performance and technique measures between legal and illegal finger-spin bowlers. Data were collected from 48 pathway and elite bowlers using a 22-camera motion analysis system. Results indicated that the ball velocity and revolutions at ball release of pathway bowlers with illegal actions showed no significant difference and were similar to elite legal bowlers. Technique differences were also identified, with illegal bowlers being more front-on, forcing a reliance on increased elbow flexion and supination to impart effective ball kinematics at ball release. The performance benefit of greater ball velocity and revolutions is obtained when finger-spin bowlers deliver the ball with more than the allowable 15° of elbow extension, thus reinforcing the validity of the current bowling laws. To counteract bowling with an illegal action, it is recommended that a more side-on technique at back foot impact and rotating the trunk through to the point of ball release will assist bowlers in reducing undesirable elbow extension levels. © 2018 John Wiley &amp; Sons A/S. Published by John Wiley &amp; Sons Ltd.</t>
  </si>
  <si>
    <t xml:space="preserve">https://search.ebscohost.com/login.aspx?direct=true&amp;db=mdc&amp;AN=29415324&amp;site=ehost-live </t>
  </si>
  <si>
    <t>Impact of short- compared to long-haul international travel on the sleep and wellbeing of national wheelchair basketball athletes.</t>
  </si>
  <si>
    <t>Thornton HR; Miller J; Taylor L; Sargent C; Lastella M; Fowler PM</t>
  </si>
  <si>
    <t>10.1080/02640414.2017.1398883</t>
  </si>
  <si>
    <t>Athletic Performance physiology; Basketball physiology; Jet Lag Syndrome physiopathology; Sleep physiology; Travel; Wheelchairs; Adult; Humans; Time Factors</t>
  </si>
  <si>
    <t>Currently, very little is known about the impact of short- or long-haul air travel on the sleep and wellbeing of wheelchair basketball athletes. Eleven national wheelchair basketball athletes wore actigraphy monitors prior, during, and after air travel to the United Kingdom. Upon arrival, participants rated their subjective jet-lag, fatigue, and vigor. Individuals traveled to the United Kingdom from different locations in Australia, the United States, and Europe and were categorised according to travel length [LONG (up to 30.2 h) or SHORT (up to 6.5 h)]. Linear mixed models determined effects of travel length on sleep and subjective ratings of jet-lag, fatigue, and vigor. During competition, subjective fatigue and jet-lag were substantially higher (ES = 0.73; ±0.77) and (ES = 0.57; ±0.60), subjective vigor was lower (ES = 1.94; ±0.72), and get-up time was earlier (ES = 0.57; ±0.60) for LONG when compared to SHORT. Travelling greater distances by airplane had a larger effect on subjective ratings of jet-lag, fatigue and vigor, rather than sleep. Irrespective of travel group, sleep and subjective responses were compromised, reflecting the travel requirements, competition-mediated influences, and/or due to a change in environment.</t>
  </si>
  <si>
    <t xml:space="preserve">https://search.ebscohost.com/login.aspx?direct=true&amp;db=mdc&amp;AN=29099652&amp;site=ehost-live </t>
  </si>
  <si>
    <t>Implementation of the 2017 Berlin Concussion in Sport Group Consensus Statement in contact and collision sports: a joint position statement from 11 national and international sports organisations.</t>
  </si>
  <si>
    <t>Patricios JS; Ardern CL; Hislop MD; Aubry M; Bloomfield P; Broderick C; Clifton P; Echemendia RJ; Ellenbogen RG; Falvey ÉC; Fuller GW; Grand J; Hack D; Harcourt PR; Hughes D; McGuirk N; Meeuwisse W; Miller J; Parsons JT; Richiger S; Sills A; Moran KB; Shute J; Raftery M</t>
  </si>
  <si>
    <t>10.1136/bjsports-2018-099079</t>
  </si>
  <si>
    <t>Athletic Injuries prevention &amp; control; Brain Concussion diagnosis; Brain Concussion prevention &amp; control; Brain Concussion therapy; Berlin; Congresses as Topic; Consensus; Humans; Sports</t>
  </si>
  <si>
    <t>The 2017 Berlin Concussion in Sport Group Consensus Statement provides a global summary of best practice in concussion prevention, diagnosis and management, underpinned by systematic reviews and expert consensus. Due to their different settings and rules, individual sports need to adapt concussion guidelines according to their specific regulatory environment. At the same time, consistent application of the Berlin Consensus Statement's themes across sporting codes is likely to facilitate superior and uniform diagnosis and management, improve concussion education and highlight collaborative research opportunities. This document summarises the approaches discussed by medical representatives from the governing bodies of 10 different contact and collision sports in Dublin, Ireland in July 2017. Those sports are: American football, Australian football, basketball, cricket, equestrian sports, football/soccer, ice hockey, rugby league, rugby union and skiing. This document had been endorsed by 11 sport governing bodies/national federations at the time of being published. Competing Interests: Competing interests: None declared. © Article author(s) (or their employer(s) unless otherwise stated in the text of the article) 2018. All rights reserved. No commercial use is permitted unless otherwise expressly granted.</t>
  </si>
  <si>
    <t xml:space="preserve">https://search.ebscohost.com/login.aspx?direct=true&amp;db=mdc&amp;AN=29500252&amp;site=ehost-live </t>
  </si>
  <si>
    <t>Influence of body composition on physiological responses to post-exercise hydrotherapy.</t>
  </si>
  <si>
    <t>Stephens JM; Halson SL; Miller J; Slater GJ; Askew CD</t>
  </si>
  <si>
    <t>10.1080/02640414.2017.1355062</t>
  </si>
  <si>
    <t>Bicycling physiology; Body Fat Distribution; Body Mass Index; Body Temperature Regulation physiology; Hydrotherapy; Muscle, Skeletal blood supply; Regional Blood Flow; Adult; Blood Pressure physiology; Body Surface Area; Cold Temperature; Cross-Over Studies; Heart Rate physiology; Hot Temperature; Humans; Immersion; Lower Extremity blood supply; Upper Extremity blood supply</t>
  </si>
  <si>
    <t>This study examined the influence of body composition on temperature and blood flow responses to post-exercise cold water immersion (CWI), hot water immersion (HWI) and control (CON). Twenty-seven male participants were stratified into three groups: 1) low mass and low fat (LM-LF); 2) high mass and low fat (HM-LF); or 3) high mass and high fat (HM-HF). Experimental trials involved a standardised bout of cycling, maintained until core temperature reached 38.5°C. Participants subsequently completed one of three 15-min recovery interventions (CWI, HWI, or CON). Core, skin and muscle temperatures, and limb blood flow were recorded at baseline, post-exercise, and every 30 min following recovery for 240 min. During CON and HWI there were no differences in core or muscle temperature between body composition groups. The rate of fall in core temperature following CWI was greater in the LM-LF (0.03 ± 0.01°C/min) group compared to the HM-HF (0.01 ± 0.001°C/min) group (P = 0.002). Muscle temperature decreased to a greater extent during CWI in the LM-LF and HM-LF groups (8.6 ± 3.0°C) compared with HM-HF (5.1 ± 2.0°C, P &lt; 0.05). Blood flow responses did not differ between groups. Differences in body composition alter the thermal response to post-exercise CWI, which may explain some of the variance in the responses to CWI recovery.</t>
  </si>
  <si>
    <t xml:space="preserve">https://search.ebscohost.com/login.aspx?direct=true&amp;db=mdc&amp;AN=28703035&amp;site=ehost-live </t>
  </si>
  <si>
    <t>Influence of combined iron supplementation and simulated hypoxia on the haematological module of the athlete biological passport.</t>
  </si>
  <si>
    <t>Garvican-Lewis LA; Vuong VL; Govus AD; Schumacher YO; Hughes D; Lovell G; Eichner D; Gore CJ</t>
  </si>
  <si>
    <t>Drug testing and analysis</t>
  </si>
  <si>
    <t>10.1002/dta.2303</t>
  </si>
  <si>
    <t>John Wiley &amp; Sons</t>
  </si>
  <si>
    <t>Doping in Sports; Ferric Compounds administration &amp; dosage; Hemoglobins analysis; Hypoxia blood; Iron administration &amp; dosage; Maltose analogs &amp; derivatives; Substance Abuse Detection methods; Adult; Altitude; Athletes; Biomarkers blood; Dietary Supplements; Erythropoiesis; Female; Humans; Male; Maltose administration &amp; dosage; Reticulocytes cytology; Young Adult</t>
  </si>
  <si>
    <t>The integrity of the athlete biological passport (ABP) is underpinned by understanding normal fluctuations of its biomarkers to environmental or medical conditions, for example, altitude training or iron deficiency. The combined impact of altitude and iron supplementation on the ABP was evaluated in endurance-trained athletes (n = 34) undertaking 3 weeks of simulated live-high: train-low (14 h.d -1 , 3000 m). Athletes received either oral, intravenous (IV) or placebo iron supplementation, commencing 2 weeks prior and continuing throughout hypoxic exposure. Venous blood was sampled twice prior, weekly during, and up to 6 weeks after altitude. Individual ABP thresholds for haemoglobin concentration ([Hb]), reticulocyte percentage (%retic), and OFF score were calculated using the adaptive model and assessed at 99% and 99.9% specificity. Eleven athletes returned values outside of the calculated reference ranges at 99%, with 8 at 99.9%. The percentage of athletes exceeding the thresholds in each group was similar, but IV returned the most individual occurrences. A similar frequency of abnormalities occurred across the 3 biomarkers, with abnormal [Hb] and OFF score values arising mainly during-, and %retic values mainly post- altitude. Removing samples collected during altitude from the model resulted in 10 athletes returning abnormal values at 99% specificity, 2 of whom had not triggered the model previously. In summary, the abnormalities observed in response to iron supplementation and hypoxia were not systematic and mostly in line with expected physiological adaptations. They do not represent a uniform weakness in the ABP. Nevertheless, altitude training and iron supplementation should be carefully considered by experts evaluating abnormal ABP profiles. Copyright © 2017 John Wiley &amp; Sons, Ltd.</t>
  </si>
  <si>
    <t xml:space="preserve">https://search.ebscohost.com/login.aspx?direct=true&amp;db=mdc&amp;AN=28929623&amp;site=ehost-live </t>
  </si>
  <si>
    <t>Infographic: Genetic testing and research.</t>
  </si>
  <si>
    <t>Vlahovich N; Hughes D</t>
  </si>
  <si>
    <t>10.1136/bjsports-2017-098848</t>
  </si>
  <si>
    <t xml:space="preserve">https://search.ebscohost.com/login.aspx?direct=true&amp;db=mdc&amp;AN=29273601&amp;site=ehost-live </t>
  </si>
  <si>
    <t>In-season monitoring of hip and groin strength, health and function in elite youth soccer: Implementing an early detection and management strategy over two consecutive seasons.</t>
  </si>
  <si>
    <t>Wollin M; Thorborg K; Welvaert M; Pizzari T</t>
  </si>
  <si>
    <t>10.1016/j.jsams.2018.03.004</t>
  </si>
  <si>
    <t>Groin physiology; Hip physiology; Muscle Strength; Soccer; Adolescent; Humans; Longitudinal Studies; Male; Youth Sports</t>
  </si>
  <si>
    <t>Objectives: The primary purpose of this study was to describe an early detection and management strategy when monitoring in-season hip and groin strength, health and function in soccer. Secondly to compare pre-season to in-season test results. Design: Longitudinal cohort study. Methods: Twenty-seven elite male youth soccer players (age: 15.07±0.73years) volunteered to participate in the study. Monitoring tests included: adductor strength, adductor/abductor strength ratio and hip and groin outcome scores (HAGOS). Data were recorded at pre-season and at 22 monthly intervals in-season. Thresholds for alerts to initiate further investigations were defined as any of the following: adductor strength reductions &gt;15%, adductor/abductor strength ratio &lt;0.90, and HAGOS subscale scores &lt;75 out of 100 in any of the six subscales. Results: Overall, 105 alerts were detected involving 70% of players. Strength related alerts comprised 40% and remaining 60% of alerts were related to HAGOS. Hip adductor strength and adductor/abductor strength ratio were lowest at pre-season testing and had increased significantly by month two (p&lt;0.01, mean difference 0.26, CI95%: 0.12, 0.41N/kg and p&lt;0.01, mean difference 0.09, CI95%: 0.04, 0.13 respectively). HAGOS subscale scores were lowest at baseline with all, except Physical Activity, showing significant improvements at time-point one (p&lt;0.01). Most (87%) time-loss were classified minimal or mild. Conclusions: In-season monitoring aimed at early detection and management of hip and groin strength, health and function appears promising. Hip and groin strength, health and function improved quickly from pre-season to in-season in a high-risk population for ongoing hip and groin problems. Copyright © 2018 Sports Medicine Australia. All rights reserved.</t>
  </si>
  <si>
    <t xml:space="preserve">https://search.ebscohost.com/login.aspx?direct=true&amp;db=mdc&amp;AN=29555148&amp;site=ehost-live </t>
  </si>
  <si>
    <t>International Olympic Committee (IOC) Consensus Statement on Relative Energy Deficiency in Sport (RED-S): 2018 Update.</t>
  </si>
  <si>
    <t>Mountjoy M; Sundgot-Borgen J; Burke L; Ackerman KE; Blauwet C; Constantini N; Lebrun C; Lundy B; Melin A; Meyer N; Sherman R; Tenforde AS; Torstveit MK; Budgett R</t>
  </si>
  <si>
    <t>10.1123/ijsnem.2018-0136</t>
  </si>
  <si>
    <t>Energy Metabolism; Malnutrition physiopathology; Metabolic Diseases prevention &amp; control; Sports; Sports Nutritional Physiological Phenomena; Athletes; Consensus; Disabled Persons; Energy Intake; Feeding and Eating Disorders; Female; Humans; Male</t>
  </si>
  <si>
    <t xml:space="preserve">https://search.ebscohost.com/login.aspx?direct=true&amp;db=mdc&amp;AN=29771168&amp;site=ehost-live </t>
  </si>
  <si>
    <t>Interpreting Signal Amplitudes in Surface Electromyography Studies in Sport and Rehabilitation Sciences.</t>
  </si>
  <si>
    <t>Vigotsky AD; Halperin I; Lehman GJ; Trajano GS; Vieira TM</t>
  </si>
  <si>
    <t>10.3389/fphys.2017.00985</t>
  </si>
  <si>
    <t>Surface electromyography (sEMG) is a popular research tool in sport and rehabilitation sciences. Common study designs include the comparison of sEMG amplitudes collected from different muscles as participants perform various exercises and techniques under different loads. Based on such comparisons, researchers attempt to draw conclusions concerning the neuro- and electrophysiological underpinning of force production and hypothesize about possible longitudinal adaptations, such as strength and hypertrophy. However, such conclusions are frequently unsubstantiated and unwarranted. Hence, the goal of this review is to discuss what can and cannot be inferred from comparative research designs as it pertains to both the acute and longitudinal outcomes. General methodological recommendations are made, gaps in the literature are identified, and lines for future research to help improve the applicability of sEMG are suggested.</t>
  </si>
  <si>
    <t xml:space="preserve">https://search.ebscohost.com/login.aspx?direct=true&amp;db=mdc&amp;AN=29354060&amp;site=ehost-live </t>
  </si>
  <si>
    <t>Intravenous Iron Does Not Augment the Hemoglobin Mass Response to Simulated Hypoxia.</t>
  </si>
  <si>
    <t>Garvican-Lewis LA; Vuong VL; Govus AD; Peeling P; Jung G; Nemeth E; Hughes D; Lovell G; Eichner D; Gore CJ</t>
  </si>
  <si>
    <t>10.1249/MSS.0000000000001608</t>
  </si>
  <si>
    <t>Adaptation, Physiological; Altitude; Erythropoietin metabolism; Ferric Compounds administration &amp; dosage; Ferrous Compounds administration &amp; dosage; Hemoglobins metabolism; Hypoxia physiopathology; Maltose analogs &amp; derivatives; Administration, Intravenous; Administration, Oral; Adult; Dietary Supplements; Female; Humans; Hypoxia blood; Male; Maltose administration &amp; dosage; Physical Conditioning, Human; Physical Endurance physiology; Young Adult</t>
  </si>
  <si>
    <t>Purpose: Iron is integral for erythropoietic adaptation to hypoxia, yet the importance of supplementary iron compared with existing stores is poorly understood. The aim of the present study was to compare the magnitude of the hemoglobin mass (Hbmass) in response to altitude in athletes with intravenous (IV), oral, or placebo iron supplementation. Methods: Thirty-four, nonanemic, endurance-trained athletes completed 3 wk of simulated altitude (3000 m, 14 h·d), receiving two to three bolus iron injections (ferric carboxymaltose), daily oral iron supplementation (ferrous sulfate), or a placebo, commencing 2 wk before and throughout altitude exposure. Hbmass and markers of iron regulation were assessed at baseline (day -14), immediately before (day 0), weekly during (days 8 and 15), and immediately, 1, 3, and 6 wk after (days 22, 28, 42, and 63) the completion of altitude exposure. Results: Hbmass significantly increased after altitude exposure in athletes with IV (mean % [90% confidence interval (CI)], 3.7% [2.8-4.7]) and oral (3.2% [2.2-4.2]) supplementation and remained elevated at 7 d postaltitude in oral (2.9% [1.5-4.3]) and 21 d after in IV (3.0% [1.5-4.6]) supplementation. Hbmass was not significantly higher than baseline at any time point in placebo. Conclusions: Iron supplementation appears necessary for optimal erythropoietic adaptation to altitude exposure. IV iron supplementation during 3 wk of simulated live high-train low altitude training offered no additional benefit in terms of the magnitude of the erythropoietic response for nonanemic endurance athletes compared with oral supplementation.</t>
  </si>
  <si>
    <t xml:space="preserve">https://search.ebscohost.com/login.aspx?direct=true&amp;db=mdc&amp;AN=29538179&amp;site=ehost-live </t>
  </si>
  <si>
    <t>IOC consensus statement on relative energy deficiency in sport (RED-S): 2018 update.</t>
  </si>
  <si>
    <t>Mountjoy M; Sundgot-Borgen JK; Burke LM; Ackerman KE; Blauwet C; Constantini N; Lebrun C; Lundy B; Melin AK; Meyer NL; Sherman RT; Tenforde AS; Klungland Torstveit M; Budgett R</t>
  </si>
  <si>
    <t>10.1136/bjsports-2018-099193</t>
  </si>
  <si>
    <t>Energy Intake; Energy Metabolism; Malnutrition diagnosis; Malnutrition physiopathology; Sports Nutritional Physiological Phenomena; Consensus; Disabled Persons; Ethnicity; Female; Female Athlete Triad Syndrome; Humans; Male; Malnutrition therapy</t>
  </si>
  <si>
    <t xml:space="preserve">https://search.ebscohost.com/login.aspx?direct=true&amp;db=mdc&amp;AN=29773536&amp;site=ehost-live </t>
  </si>
  <si>
    <t>IOC Consensus Statement: Dietary Supplements and the High-Performance Athlete.</t>
  </si>
  <si>
    <t>Maughan RJ; Burke LM; Dvorak J; Larson-Meyer DE; Peeling P; Phillips SM; Rawson ES; Walsh NP; Garthe I; Geyer H; Meeusen R; van Loon L; Shirreffs SM; Spriet LL; Stuart M; Vernec A; Currell K; Ali VM; Budgett RGM; Ljungqvist A; Mountjoy M; Pitsiladis Y; Soligard T; Erdener U; Engebretsen L</t>
  </si>
  <si>
    <t>10.1123/ijsnem.2018-0020</t>
  </si>
  <si>
    <t>Athletes; Athletic Performance physiology; Dietary Supplements; Sports Nutritional Physiological Phenomena; Consensus; Doping in Sports; Guidelines as Topic; Humans; Nutritional Requirements; Performance-Enhancing Substances</t>
  </si>
  <si>
    <t>Nutrition usually makes a small but potentially valuable contribution to successful performance in elite athletes, and dietary supplements can make a minor contribution to this nutrition program. Nonetheless, supplement use is widespread at all levels of sport. Products described as supplements target different issues, including the management of micronutrient deficiencies, supply of convenient forms of energy and macronutrients, and provision of direct benefits to performance or indirect benefits such as supporting intense training regimens. The appropriate use of some supplements can offer benefits to the athlete, but others may be harmful to the athlete's health, performance, and/or livelihood and reputation if an anti-doping rule violation results. A complete nutritional assessment should be undertaken before decisions regarding supplement use are made. Supplements claiming to directly or indirectly enhance performance are typically the largest group of products marketed to athletes, but only a few (including caffeine, creatine, specific buffering agents and nitrate) have good evidence of benefits. However, responses are affected by the scenario of use and may vary widely between individuals because of factors that include genetics, the microbiome, and habitual diet. Supplements intended to enhance performance should be thoroughly trialed in training or simulated competition before implementation in competition. Inadvertent ingestion of substances prohibited under the anti-doping codes that govern elite sport is a known risk of taking some supplements. Protection of the athlete's health and awareness of the potential for harm must be paramount, and expert professional opinion and assistance is strongly advised before embarking on supplement use.</t>
  </si>
  <si>
    <t xml:space="preserve">https://search.ebscohost.com/login.aspx?direct=true&amp;db=mdc&amp;AN=29589768&amp;site=ehost-live </t>
  </si>
  <si>
    <t>IOC consensus statement: dietary supplements and the high-performance athlete.</t>
  </si>
  <si>
    <t>Maughan RJ; Burke LM; Dvorak J; Larson-Meyer DE; Peeling P; Phillips SM; Rawson ES; Walsh NP; Garthe I; Geyer H; Meeusen R; van Loon LJC; Shirreffs SM; Spriet LL; Stuart M; Vernec A; Currell K; Ali VM; Budgett RG; Ljungqvist A; Mountjoy M; Pitsiladis YP; Soligard T; Erdener U; Engebretsen L</t>
  </si>
  <si>
    <t>10.1136/bjsports-2018-099027</t>
  </si>
  <si>
    <t>Athletes; Athletic Performance; Dietary Supplements; Sports Nutritional Physiological Phenomena; Consensus; Diet; Humans</t>
  </si>
  <si>
    <t>Nutrition usually makes a small but potentially valuable contribution to successful performance in elite athletes, and dietary supplements can make a minor contribution to this nutrition programme. Nonetheless, supplement use is widespread at all levels of sport. Products described as supplements target different issues, including (1) the management of micronutrient deficiencies, (2) supply of convenient forms of energy and macronutrients, and (3) provision of direct benefits to performance or (4) indirect benefits such as supporting intense training regimens. The appropriate use of some supplements can benefit the athlete, but others may harm the athlete's health, performance, and/or livelihood and reputation (if an antidoping rule violation results). A complete nutritional assessment should be undertaken before decisions regarding supplement use are made. Supplements claiming to directly or indirectly enhance performance are typically the largest group of products marketed to athletes, but only a few (including caffeine, creatine, specific buffering agents and nitrate) have good evidence of benefits. However, responses are affected by the scenario of use and may vary widely between individuals because of factors that include genetics, the microbiome and habitual diet. Supplements intended to enhance performance should be thoroughly trialled in training or simulated competition before being used in competition. Inadvertent ingestion of substances prohibited under the antidoping codes that govern elite sport is a known risk of taking some supplements. Protection of the athlete's health and awareness of the potential for harm must be paramount; expert professional opinion and assistance is strongly advised before an athlete embarks on supplement use. Competing Interests: Competing interests: None declared. © Article author(s) (or their employer(s) unless otherwise stated in the text of the article) 2018. All rights reserved. No commercial use is permitted unless otherwise expressly granted.</t>
  </si>
  <si>
    <t xml:space="preserve">https://search.ebscohost.com/login.aspx?direct=true&amp;db=mdc&amp;AN=29540367&amp;site=ehost-live </t>
  </si>
  <si>
    <t>Iron monitoring of male and female rugby sevens players over an international season.</t>
  </si>
  <si>
    <t>Clarke AC; Anson JM; Dziedzic CE; Mcdonald WA; Pyne DB</t>
  </si>
  <si>
    <t>The Journal of sports medicine and physical fitness</t>
  </si>
  <si>
    <t>10.23736/S0022-4707.17.07363-7</t>
  </si>
  <si>
    <t>Edizioni Minerva Medica</t>
  </si>
  <si>
    <t>Australia; Football; Iron blood; Sports Nutritional Physiological Phenomena; Adult; Athletes; Australia; Female; Ferritins analysis; Hematocrit; Hemoglobins analysis; Humans; Iron Deficiencies; Longitudinal Studies; Male; Time Factors; Transferrin analysis; Young Adult</t>
  </si>
  <si>
    <t>Background: Given the likely influence that high training loads, contact-induced hemolysis and female-specific requirements have on the incidence of iron deficiency, characterizing the direction and magnitude of fluctuations in iron status over an international season is important for managing player health and physical performance in rugby sevens. Methods: Australian national male (N.=27) and female (N.=23) rugby sevens players undertook blood tests at pre-season, mid-season, and end-season. Hemoglobin (Hb), hematocrit (Hct), ferritin, transferrin and transferrin saturation were quantified. Female athletes also reported oral contraceptive use and a subset (N.=7) provided 7-day food diaries to quantify iron intake. Results: Male players typically had a three-fold higher ferritin concentration than females. Pre-season ferritin concentrations in male (151±66 µg/L) and female (51±24 µg/L) players declined substantially (~20%) by mid-season but recovered by end-season. Over the season 23% of female players were classified as iron deficient (ferritin &lt;30 µg/L) and prescribed supplementation. The greatest incidence of iron deficiency in female players occurred mid-season (30%). Oral contraception and dietary iron intake had an unclear influence on female players' ferritin concentration, while age was largely positively correlated (r=0.66±~0.33). Conclusions: Given the relatively low ferritin concentrations evident in female rugby sevens players, and the potential for a further decline midway through a season when physical load may be at its highest, 6-monthly hematological reviews are suggested in combination with dietary management. Annual screening may be beneficial for male players, with further monitoring only when clinically indicated.</t>
  </si>
  <si>
    <t xml:space="preserve">https://search.ebscohost.com/login.aspx?direct=true&amp;db=mdc&amp;AN=28597617&amp;site=ehost-live </t>
  </si>
  <si>
    <t>Is international junior success a reliable predictor for international senior success in elite combat sports?</t>
  </si>
  <si>
    <t>Li P; De Bosscher V; Pion J; Weissensteiner JR; Vertonghen J</t>
  </si>
  <si>
    <t>10.1080/17461391.2018.1439104</t>
  </si>
  <si>
    <t>Achievement; Athletic Performance; Boxing; Martial Arts; Wrestling; Adolescent; Aptitude; Athletes; Competitive Behavior; Female; Humans; Male; Retrospective Studies; Young Adult</t>
  </si>
  <si>
    <t>Currently in the literature, there is a dearth of empirical research that confirms whether international junior success is a reliable predictor for future international senior success. Despite the uncertainty of the junior-senior relationship, federations and coaches still tend to use junior success as a predictor for long-term senior success. A range of former investigations utilising a retrospective lens has merely focused on success that athletes attained at junior level competitions. Success that was achieved at senior-level competitions but at a junior age was relatively ignored. This study explored to what extent international senior success can be predicted based on success that athletes achieved in either international junior level competitions (i.e. junior medalists) or senior competitions at a junior age (i.e. early achievers). The sample contains 4011 international male and female athletes from three combat sports (taekwondo, wrestling and boxing), who were born between 1974 and 1990 and participated in both international junior and senior-level competitions between 1990 and 2016. Gender and sport differences were compared. The results revealed that 61.4% of the junior medalists and 90.4% of the early achievers went on to win international medals at a senior age. Among the early achievers, 92.2% of the taekwondo athletes, 68.4% of the wrestling athletes and 37.9% of the boxing athletes could be reliably "predicted" to win international senior medals. The findings demonstrate that specific to the three combat sports examined, international junior success appears to be an important predictor to long-term international senior success.</t>
  </si>
  <si>
    <t xml:space="preserve">https://search.ebscohost.com/login.aspx?direct=true&amp;db=mdc&amp;AN=29490566&amp;site=ehost-live </t>
  </si>
  <si>
    <t>Is Oxygen Uptake Measurement Enough to Estimate Energy Expenditure During High-Intensity Intermittent Exercise? Quantification of Anaerobic Contribution by Different Methods.</t>
  </si>
  <si>
    <t>Panissa VLG; Fukuda DH; Caldeira RS; Gerosa-Neto J; Lira FS; Zagatto AM; Franchini E</t>
  </si>
  <si>
    <t>10.3389/fphys.2018.00868</t>
  </si>
  <si>
    <t>Purpose: The aim of the present study was to compare the contributions of the anaerobic pathway as determined by two different methods and energy expenditure during a typical high-intensity intermittent exercise (HIIE) protocol. Methods: A descriptive research design was utilized in which thirteen physically active men performed six experimental sessions consisting of an incremental test (session 1), submaximal tests at 40, 50, 60, 70, 75, 80, 85, 90% of velocity associated with maximum oxygen uptake (v V ˙ O 2max ) with two intensities per session (sessions 2-5), and the HIIE protocol (session 6; 10 efforts of 1 min at v V ˙ O 2max interspersed by 1 min of passive recovery). The estimation of anaerobic energy system contribution was calculated by: (a) the excess post-exercise oxygen consumption plus delta lactate method and (b) the accumulated oxygen deficit method using the difference between predicted oxygen demand from the submaximal tests of varying intensities and accumulated oxygen uptake during HIIE. Estimation of aerobic energy system contribution was calculated through the measurement of oxygen consumption during activity. Total EE during the entire HIIE protocol (efforts + recovery) and for the efforts only were calculated from each method. Results: For efforts + recovery and efforts only, anaerobic contribution was similar for both methods, and consequently total EE was also equivalent ( p = 0.230 for both comparisons). During efforts + recovery, aerobic:anaerobic energy system contribution was (68 ± 4%: 32 ± 4%), while efforts only was (54 ± 5%: 46 ± 5%) with both situations demonstrating greater aerobic than anaerobic contribution ( p &lt; 0.001 for both). Conclusion: Anaerobic contribution seems to be relevant during HIIE and must to be taken into account during total EE estimation; however, the type of method employed did not change the anaerobic contribution or total EE estimates.</t>
  </si>
  <si>
    <t xml:space="preserve">https://search.ebscohost.com/login.aspx?direct=true&amp;db=mdc&amp;AN=30038583&amp;site=ehost-live </t>
  </si>
  <si>
    <t>Knee flexion not hip extension strength is persistently reduced following hamstring strain injury in Australian Football athletes: Implications for Periodic Health Examinations.</t>
  </si>
  <si>
    <t>Charlton PC; Raysmith B; Wollin M; Rice S; Purdam C; Clark RA; Drew MK</t>
  </si>
  <si>
    <t>10.1016/j.jsams.2018.03.014</t>
  </si>
  <si>
    <t>Athletic Injuries diagnosis; Hamstring Muscles injuries; Leg Injuries diagnosis; Muscle Strength; Range of Motion, Articular; Sprains and Strains diagnosis; Adolescent; Athletes; Athletic Injuries physiopathology; Australia; Case-Control Studies; Football injuries; Hamstring Muscles physiopathology; Hip; Humans; Knee Joint; Leg Injuries physiopathology; Male; Sprains and Strains physiopathology; Torque; Young Adult</t>
  </si>
  <si>
    <t>Objectives: Determine whether clinically feasible tests of isometric lower limb strength and range of motion (ROM) in Australian Football (AF) athletes are useful in Periodic Health Examinations to identify persistent deficits following hamstring strain injury (HSI). Design: Case-control. Methods: Thirty-seven male, semi-professional AF athletes (mean±SD; age, 20.2±2.9years; height, 1.7±0.5m; mass, 81±9.2kg) participated, ten athletes (37%) reported HSI within the previous three seasons of competition. Comparisons of pre-season isometric knee flexion and hip extension strength variables (peak force, torque and torque normalised to body mass) and hip, knee and ankle ROM measures were made between athletes with and without past-history of HSI using linear mixed-effect models. A logistic regression evaluated whether any of the outcome measures could differentiate athletes with a past-history of HSI. Results: Knee flexion peak force, torque and torque normalised to body mass were significantly reduced in athletes with a past-history of HSI (coefficient, 95% CI) (-44.8N, -86.3 to -3.3), (-22.2Nm, -40.5 to -3.7) and (-0.2Nmkg -1 , -0.4 to 0.0) respectively. Knee flexion peak torque normalised to body mass (Nmkg -1 ) approached significance as a test was able to differentiate athletes with history of HSI (p=0.068). There were no differences between groups for any hip extension strength or lower limb ROM outcome measures. Conclusions: Deficits in isometric peak knee flexion strength persist for up to three seasons following HSI in AF athletes. Isometric knee flexion strength testing may be a clinically feasible option for Periodic Health Examinations and inform tertiary injury prevention strategies. Copyright © 2018 Sports Medicine Australia. All rights reserved.</t>
  </si>
  <si>
    <t xml:space="preserve">https://search.ebscohost.com/login.aspx?direct=true&amp;db=mdc&amp;AN=29650337&amp;site=ehost-live </t>
  </si>
  <si>
    <t>Knee flexion strength is significantly reduced following competition in semi-professional Australian Rules football athletes: Implications for injury prevention programs.</t>
  </si>
  <si>
    <t>10.1016/j.ptsp.2018.01.001</t>
  </si>
  <si>
    <t>Football physiology; Hamstring Muscles physiopathology; Knee physiopathology; Muscle Strength; Range of Motion, Articular; Athletes; Athletic Injuries prevention &amp; control; Australia; Cohort Studies; Humans; Male; Recovery of Function; Young Adult</t>
  </si>
  <si>
    <t>Objectives: To evaluate strength and flexibility measures pre- and post- Australian Football (AF) competition to determine their potential utility as secondary prevention measures. Design: Cohort study. Setting: Semi-professional AF club. Participants: Ten male AF athletes (mean ± SD; age, 21.3 ± 2.2 years; height, 186.1 ± 6.3 cm; weight, 83.5 ± 8.6 kg). Main Outcome Measures: Maximal unilateral isometric knee flexion strength performed in 45 degrees of hip flexion and 30 degrees of knee flexion, flexibility measures of hip and knee extension and ankle dorsiflexion. All outcome measures were evaluated pre-match to determine baseline measurements and repeated acutely post-match and at 26, 50 and 74 h following. Comparisons were made between baseline measures and all other time points. Results: Knee flexion strength was significantly reduced at a group level acutely (-122.8N, 95%CI -156.2 to -89.4, p = 0.000) and at 26 h (-89.6N, 95%CI -122.9 to -56.2, p = 0.000) following competition. Hamstring flexibility was significantly reduced at all time periods following competition (all p &lt; 0.05), however these values were not clinically meaningful. Conclusions: Knowledge that unilateral isometric knee flexion strength returns to pre-competition levels by 50 h following match-play in AF athletes is valuable for planning recovery time frames and may inform implementation of secondary prevention strategies. Copyright © 2018 Elsevier Ltd. All rights reserved.</t>
  </si>
  <si>
    <t xml:space="preserve">https://search.ebscohost.com/login.aspx?direct=true&amp;db=mdc&amp;AN=29505833&amp;site=ehost-live </t>
  </si>
  <si>
    <t>Load-Power Relationship During a Countermovement Jump: A Joint Level Analysis.</t>
  </si>
  <si>
    <t>10.1519/JSC.0000000000002432</t>
  </si>
  <si>
    <t>Lower Extremity physiology; Muscle Strength physiology; Muscle, Skeletal physiology; Resistance Training methods; Adolescent; Ankle Joint physiology; Athletes; Biomechanical Phenomena; Hip Joint physiology; Humans; Knee Joint physiology; Male; Young Adult</t>
  </si>
  <si>
    <t>Williams, KJ, Chapman, DW, Phillips, EJ, and Ball, N. Load-power relationship during a countermovement jump: A joint level analysis. J Strength Cond Res 32(4): 955-961, 2018-This study aimed to investigate whether hip, knee, and ankle peak power is influenced by the relative load lifted, altering the joint and system load-power relationship during a countermovement jump (CMJ). Twenty-three male national representative athletes (age: 20.3 ± 3.1 years, squat 1 repetition maximum [1RM]: 133.8 ± 24.8 kg) completed 3 CMJs at relative barbell loads of 0, 10, 20, 30, and 40% of an athlete's estimated back squat 1RM. Ground reaction force and joint kinematics were captured using a 16 camera motion capture array integrated with 2 in-ground triaxial force plates. Hip ((Equation is included in full-text article.)= 20%, range 0 &gt; 40%), knee ((Equation is included in full-text article.)= 0%, 0 &gt; 20%), and ankle ((Equation is included in full-text article.)= 40%, 0 &gt; 40%) peak power was maximized at different percentages of absolute strength, with an athlete-dependent variation in load-power profiles observed across all lower-body joints. A decrease in system (body + barbell mass) peak power was significantly (p ≤ 0.05, r = 0.45) correlated with a reduction in knee peak power. Timing of instantaneous system and hip peak power occurred significantly closer to toe-off as load increased. The findings highlight that the generation and translation of lower-body joint power is influenced by external load and athlete-dependent traits. This subsequently alters the load-power profile at a system level, explaining the broad spectrums of loads reported to optimize system power during a CMJ. When training, we recommend that a combination of barbell loads based on assorted percentages of the estimated 1RM be prescribed to optimize joint and system power during a CMJ.</t>
  </si>
  <si>
    <t xml:space="preserve">https://search.ebscohost.com/login.aspx?direct=true&amp;db=mdc&amp;AN=29334580&amp;site=ehost-live </t>
  </si>
  <si>
    <t>Longer Sleep Durations Are Positively Associated With Finishing Place During a National Multiday Netball Competition.</t>
  </si>
  <si>
    <t>Juliff LE; Halson SL; Hebert JJ; Forsyth PL; Peiffer JJ</t>
  </si>
  <si>
    <t>10.1519/JSC.0000000000001793</t>
  </si>
  <si>
    <t>Athletes; Sleep physiology; Sports physiology; Actigraphy; Adolescent; Humans; Male; Polysomnography; Time Factors; Young Adult</t>
  </si>
  <si>
    <t>Juliff, LE, Halson, SL, Hebert, JJ, Forsyth, PL, and Peiffer, JJ. Longer sleep durations are positively associated with finishing place during a national multiday netball competition. J Strength Cond Res 32(1): 189-194, 2018-Sleep is often regarded as the single best recovery strategy available to an athlete, yet little is known about the quality and quantity of sleep in athletes during multiday competitions. This study objectively evaluated sleep characteristics of athletes during a national netball tournament. Using wrist actigraphy monitors and sleep diaries, 42 netballers from 4 state teams were monitored for the duration of a tournament (6 days) and 12 days before in home environments. Significant differences were found between teams based on final competition standings, suggesting enhanced sleep characteristics in athlete's whose team finished higher in the tournament standings. The top 2 placed teams when compared with the lower 2 placed teams slept longer (8:02 ± 36:43; 7:01 ± 27:33), had greater time in bed (9:03 ± 0:52; 7:59 ± 0:54) and reported enhanced subjective sleep ratings (2.6 ± 0.5; 2.3 ± 0.6). Sleep efficiency was no different between teams. A strong correlation (r = -0.68) was found indicating longer sleep durations during competition were associated with higher final tournament positions. Encouraging athletes to aim for longer sleep durations in competition, where possible, may influence the outcome in tournament style competitions.</t>
  </si>
  <si>
    <t xml:space="preserve">https://search.ebscohost.com/login.aspx?direct=true&amp;db=mdc&amp;AN=28135218&amp;site=ehost-live </t>
  </si>
  <si>
    <t>Low Energy Availability Is Difficult to Assess but Outcomes Have Large Impact on Bone Injury Rates in Elite Distance Athletes.</t>
  </si>
  <si>
    <t>Heikura IA; Uusitalo ALT; Stellingwerff T; Bergland D; Mero AA; Burke LM</t>
  </si>
  <si>
    <t>10.1123/ijsnem.2017-0313</t>
  </si>
  <si>
    <t>Athletic Injuries physiopathology; Bone Density; Bone and Bones injuries; Energy Intake; Energy Metabolism; Malnutrition physiopathology; Adult; Amenorrhea physiopathology; Athletes; Cross-Sectional Studies; Female; Female Athlete Triad Syndrome; Humans; Male; Nutritional Requirements; Sports Nutritional Physiological Phenomena; Surveys and Questionnaires; Testosterone blood; Triiodothyronine blood; Young Adult</t>
  </si>
  <si>
    <t>We aimed to (a) report energy availability (EA), metabolic/reproductive function, bone mineral density, and injury/illness rates in national/world-class female and male distance athletes and (b) investigate the robustness of various diagnostic criteria from the Female Athlete Triad (Triad), Low Energy Availability in Females Questionnaire, and relative energy deficiency in sport (RED-S) tools to identify risks associated with low EA. Athletes were distinguished according to benchmarks of reproductive function (amenorrheic [n = 13] vs. eumenorrheic [n = 22], low [lowest quartile of reference range; n = 10] versus normal testosterone [n = 14]), and EA calculated from 7-day food and training diaries (&lt; or &gt;30 kcal·kg -1 fat-free mass·day -1 ). Sex hormones (p &lt; .001), triiodothyronine (p &lt; .05), and bone mineral density (females, p &lt; .05) were significantly lower in amenorrheic (37%) and low testosterone (40%; 15.1 ± 3.0 nmol/L) athletes, and bone injuries were ∼4.5-fold more prevalent in amenorrheic (effect size = 0.85, large) and low testosterone (effect size = 0.52, moderate) groups compared with others. Categorization of females and males using Triad or RED-S tools revealed that higher risk groups had significantly lower triiodothyronine (female and male Triad and RED-S: p &lt; .05) and higher number of all-time fractures (male Triad: p &lt; .001; male RED-S and female Triad: p &lt; .01) as well as nonsignificant but markedly (up to 10-fold) higher number of training days lost to bone injuries during the preceding year. Based on the cross-sectional analysis, current reproductive function (questionnaires/blood hormone concentrations) appears to provide a more objective and accurate marker of optimal energy for health than the more error-prone and time-consuming dietary and training estimation of EA. This study also offers novel findings that athlete health is associated with EA indices.</t>
  </si>
  <si>
    <t xml:space="preserve">https://search.ebscohost.com/login.aspx?direct=true&amp;db=mdc&amp;AN=29252050&amp;site=ehost-live </t>
  </si>
  <si>
    <t>Macro-Kinematic Differences Between Sprint and Distance Cross-Country Skiing Competitions Using the Classical Technique.</t>
  </si>
  <si>
    <t>Marsland F; Anson J; Waddington G; Holmberg HC; Chapman DW</t>
  </si>
  <si>
    <t>10.3389/fphys.2018.00570</t>
  </si>
  <si>
    <t>We compare the macro-kinematics of six elite female cross-country skiers competing in 1.1-km Sprint and 10.5-km Distance classical technique events on consecutive days under similar weather and track conditions. The relative use of double pole (DP), kick-double pole (KDP), diagonal stride (DS), tucking (Tuck) and turning (Turn) sub-techniques, plus each technique's respective velocities, cycle lengths and cycle rates were monitored using a single micro-sensor unit worn by each skier during the Sprint qualification, semi-final and finals, and multiple laps of the Distance race. Over a 1.0-km section of track common to both Sprint and Distance events, the mean race velocity, cyclical sub-technique velocities, and cycle rates were higher during the Sprint race, while Tuck and Turn velocities were similar. Velocities with KDP and DS on the common terrain were higher in the Sprint (KDP +12%, DS +23%) due to faster cycle rates (KDP +8%, DS +11%) and longer cycle lengths (KDP +5%, DS +10%), while the DP velocity was higher (+8%) with faster cycle rate (+16%) despite a shorter cycle length (-9%). During the Sprint the percentage of total distance covered using DP was greater (+15%), with less use of Tuck (-19%). Across all events and rounds, DP was the most used sub-technique in terms of distance, followed by Tuck, DS, Turn and KDP. KDP was employed relatively little, and during the Sprint by only half the participants. Tuck was the fastest sub-technique followed by Turn, DP, KDP, and DS. These findings reveal differences in the macro-kinematic characteristics and strategies utilized during Sprint and Distance events, confirm the use of higher cycle rates in the Sprint, and increase our understanding of the performance demands of cross-country skiing competition.</t>
  </si>
  <si>
    <t xml:space="preserve">https://search.ebscohost.com/login.aspx?direct=true&amp;db=mdc&amp;AN=29867588&amp;site=ehost-live </t>
  </si>
  <si>
    <t>Manipulating graded exercise test variables affects the validity of the lactate threshold and [Formula: see text].</t>
  </si>
  <si>
    <t>Jamnick NA; Botella J; Pyne DB; Bishop DJ</t>
  </si>
  <si>
    <t>e0199794</t>
  </si>
  <si>
    <t>10.1371/journal.pone.0199794</t>
  </si>
  <si>
    <t>Anaerobic Threshold; Exercise Test methods; Adult; Exercise Test standards; Humans; Lactic Acid blood; Male</t>
  </si>
  <si>
    <t>Background: To determine the validity of the lactate threshold (LT) and maximal oxygen uptake ([Formula: see text]) determined during graded exercise test (GXT) of different durations and using different LT calculations. Trained male cyclists (n = 17) completed five GXTs of varying stage length (1, 3, 4, 7 and 10 min) to establish the LT, and a series of 30-min constant power bouts to establish the maximal lactate steady state (MLSS). [Formula: see text] was assessed during each GXT and a subsequent verification exhaustive bout (VEB), and 14 different LTs were calculated from four of the GXTs (3, 4, 7 and 10 min)-yielding a total 56 LTs. Agreement was assessed between the highest [Formula: see text] measured during each GXT ([Formula: see text]) as well as between each LT and MLSS. [Formula: see text] and LT data were analysed using mean difference (MD) and intraclass correlation (ICC). Results: The [Formula: see text] value from GXT1 was 61.0 ± 5.3 mL.kg-1.min-1 and the peak power 420 ± 55 W (mean ± SD). The power at the MLSS was 264 ± 39 W. [Formula: see text] from GXT3, 4, 7, 10 underestimated [Formula: see text] by ~1-5 mL.kg-1.min-1. Many of the traditional LT methods were not valid and a newly developed Modified Dmax method derived from GXT4 provided the most valid estimate of the MLSS (MD = 1.1 W; ICC = 0.96). Conclusion: The data highlight how GXT protocol design and data analysis influence the determination of both [Formula: see text] and LT. It is also apparent that [Formula: see text] and LT cannot be determined in a single GXT, even with the inclusion of a VEB. Competing Interests: The authors have declared that no competing interests exist.</t>
  </si>
  <si>
    <t xml:space="preserve">https://search.ebscohost.com/login.aspx?direct=true&amp;db=mdc&amp;AN=30059543&amp;site=ehost-live </t>
  </si>
  <si>
    <t>Maximal isometric handgrip strength: comparison between weight categories and classificatory table for adult judo athletes.</t>
  </si>
  <si>
    <t>Franchini E; Schwartz J; Takito MY</t>
  </si>
  <si>
    <t>10.12965/jer.1836396.198</t>
  </si>
  <si>
    <t>The aims of this study were to compare the maximal isometric handgrip strength of judo athletes from different weight categories and to create a classificatory table for this test. A total of 406 athletes had their maximal isometric handgrip strength measured, following standardized recommendations. Absolute and relative values were calculated for each hand and for the sum of both hands. Weight categories were compared through a one-way analysis of variance, followed by Tukey test. The effect size was determined by partial eta squared, and the relationship between variables was determined using Pearson correlation coefficient. There was a large effect of weight category in absolute handgrip strength for each hand and for the sum of both hands, with lower values for the lighter categories. Conversely, when the relative strength was considered higher values were found for the lighter categories ( P &lt;0.001). Very large and significant positive correlations ( P &lt;0.001) were found between right and left for absolute ( r =0.886) and relative ( r =0.883) handgrip values. Overall, there was an increase in absolute and a decrease in relative handgrip strength across weight categories. These differences found in grip strength in weight categories are probably linked to differences in muscle mass between them. There was a high correlation between each hand for absolute and relative values, which suggests that assessing only one hand may be enough, and therefore a faster way of evaluation. Finally, the normative classificatory table created may serve as a reference for different purposes. Competing Interests: CONFLICT OF INTEREST No potential conflict of interest relevant to this article was reported.</t>
  </si>
  <si>
    <t xml:space="preserve">https://search.ebscohost.com/login.aspx?direct=true&amp;db=mdc&amp;AN=30656156&amp;site=ehost-live </t>
  </si>
  <si>
    <t>Maximizing Cellular Adaptation to Endurance Exercise in Skeletal Muscle.</t>
  </si>
  <si>
    <t>Hawley JA; Lundby C; Cotter JD; Burke LM</t>
  </si>
  <si>
    <t>Cell metabolism</t>
  </si>
  <si>
    <t>10.1016/j.cmet.2018.04.014</t>
  </si>
  <si>
    <t>Cell Press</t>
  </si>
  <si>
    <t>Acclimatization physiology; Endurance Training; Glycogen metabolism; Heat-Shock Response physiology; Muscle Fibers, Skeletal metabolism; Muscle, Skeletal metabolism; Oxygen metabolism; Athletes; Homeostasis; Humans; Muscle Fibers, Skeletal cytology; Muscle, Skeletal cytology</t>
  </si>
  <si>
    <t>The application of molecular techniques to exercise biology has provided novel insight into the complexity and breadth of intracellular signaling networks involved in response to endurance-based exercise. Here we discuss several strategies that have high uptake by athletes and, on mechanistic grounds, have the potential to promote cellular adaptation to endurance training in skeletal muscle. Such approaches are based on the underlying premise that imposing a greater metabolic load and provoking extreme perturbations in cellular homeostasis will augment acute exercise responses that, when repeated over months and years, will amplify training adaptation. Copyright © 2018 Elsevier Inc. All rights reserved.</t>
  </si>
  <si>
    <t xml:space="preserve">https://search.ebscohost.com/login.aspx?direct=true&amp;db=mdc&amp;AN=29719234&amp;site=ehost-live </t>
  </si>
  <si>
    <t>Maximum Strength Development and Volume-Load during Concurrent High Intensity Intermittent Training Plus Strength or Strength-Only Training.</t>
  </si>
  <si>
    <t>Panissa VLG; Fukuda DH; de Oliveira FP; Parmezzani SS; Campos EZ; Rossi FE; Franchini E; Lira FS</t>
  </si>
  <si>
    <t>High-Intensity Interval Training methods; Muscle Strength; Muscle, Skeletal physiology; Resistance Training methods; Adult; Humans; Longitudinal Studies; Male; Young Adult</t>
  </si>
  <si>
    <t>The purpose of this study was to compare maximal strength gains during strength training (ST) and concurrent training (CT) consisting of high-intensity intermittent training plus strength training over the course of a 12-week intervention. A secondary purpose was to examine the relationship between strength training volume and strength gain in both groups. Nineteen recreationally active males were divided into CT (n = 11) and ST (n = 8) groups. The CT group performed repeated 1 min efforts at 100% of maximal aerobic speed interspersed by 1 min of passive recovery until accumulating a total running distance of 5km followed by a strength session (consisting of three sets of seven exercises with loads of 8-12 repetition maximum) twice weekly for a period of 12 weeks. The ST group performed only strength training sessions during the same 12-week period. Strength training total volume-load (Σ repetitions x load) for the upper- and lower-body was computed, while maximal strength (1RM) was evaluated at baseline, week 8, and week 12. Lower-body volume-load over 12 weeks was not different between groups. Absolute 1RM increased in both groups at week 8 and week 12, while 1RM relative to body mass increased in both groups at week 8, but only ST increased relative maximum strength between week 8 and week 12. There was a statistically significant correlation between strength training lower-body volume-load and maximum strength change between baseline and week 8 for the CT group (r = 0.656), while no significant correlations were found for the ST group. In summary, executing high-intensity intermittent exercise twice a week before strength training did not impair maximal strength after 8 weeks, however, only ST demonstrated an increase in relative strength after 12 weeks.</t>
  </si>
  <si>
    <t xml:space="preserve">https://search.ebscohost.com/login.aspx?direct=true&amp;db=mdc&amp;AN=30479531&amp;site=ehost-live </t>
  </si>
  <si>
    <t>Methodologies for Investigating Performance Changes With Supplement Use.</t>
  </si>
  <si>
    <t>Burke LM; Peeling P</t>
  </si>
  <si>
    <t>10.1123/ijsnem.2017-0325</t>
  </si>
  <si>
    <t>Athletic Performance; Dietary Supplements; Sports Nutritional Physiological Phenomena; Athletes; Humans; Performance-Enhancing Substances</t>
  </si>
  <si>
    <t>Many expert sporting bodies now support a pragmatic acceptance of the use of performance supplements which have passed a risk:benefit analysis of being safe, effective, and permitted for use, while also being appropriate to the athlete's age and maturation in their sport. However, gaining evidence of the performance benefits of these supplements is a process challenged by the scarcity of research in relation to the number of available products, and the limitations of the poor quality of some studies. While meta-analyses and systematic reviews can help to provide information about the general use of performance supplements, the controlled scientific trial provides the basis on which these reviews are undertaken, as well as an opportunity to address more specific questions about supplement applications. Guidelines for the design of studies include the choice of well-trained athletes who are familiarized with performance tasks that have been chosen on their basis of their known reliability and validity. Supplement protocols should be chosen to maximize the likely benefits, and researchers should also make efforts to control confounding variables, while keeping conditions similar to real-life practices. Performance changes should be interpreted in light of what is meaningful to the outcomes of sporting competition. Issues that have been poorly addressed to date include the use of several supplements in combination and the use of the same supplement over successive events, both within a single, and across multiple competition days. Strategies to isolate and explain the variability of benefits to individuals are also a topic for future investigation.</t>
  </si>
  <si>
    <t xml:space="preserve">https://search.ebscohost.com/login.aspx?direct=true&amp;db=mdc&amp;AN=29468949&amp;site=ehost-live </t>
  </si>
  <si>
    <t>Microvascular volume in symptomatic Achilles tendons is associated with VISA-A score.</t>
  </si>
  <si>
    <t>Praet SFE; Ong JH; Purdam C; Welvaert M; Lovell G; Dixon L; Gaida JE; Anglim J; Manzanero S; Vlahovich N; Hughes D; Waddington G</t>
  </si>
  <si>
    <t>10.1016/j.jsams.2018.05.013</t>
  </si>
  <si>
    <t>Achilles Tendon blood supply; Achilles Tendon diagnostic imaging; Microvessels diagnostic imaging; Tendinopathy diagnostic imaging; Ultrasonography; Adult; Cross-Sectional Studies; Female; Humans; Male; Middle Aged; Randomized Controlled Trials as Topic</t>
  </si>
  <si>
    <t>Objectives: The role of neovascularisation in tendinopathy is still poorly understood, potentially due to technical limitations of conventional power Doppler ultrasound. This study aimed to investigate the association between contrast-enhanced ultrasound (CEUS) microvascular volume (MV), Victorian Institute of Sports Assessment-Achilles (VISA-A) scores and intrinsic Achilles tendon tenderness, as well as two different Power Doppler modes. Design: Cross-sectional study. Methods: 20 individuals with uni- or bilateral Achilles tendinopathy completed a VISA-A questionnaire, and underwent microvascular volume measurements of the Achilles tendon mid-portion using both conventional, ultrasensitive (SMI™) power Doppler ultrasound and CEUS. Intrinsic tendon tenderness was assessed with sensation detection threshold to extracorporeal shock waves (ESW). Linear Mixed Model analysis was used to determine the association between microvascular volume (MV), VISA-A, and ESW-detection threshold for both symptomatic and asymptomatic Achilles tendons. Results: There was a significant association between VISA-A and MV (B=-5.3, 95%CI=[-8.5; -2.0], P=0.0004), and between MV and symptom duration (B=-1.7, 95%CI=[-3.2; -5.0], P=0.023). No significant associations were found between power Doppler ultrasound and CEUS-based MV or between CEUS-based MV and ESW-detection threshold. In comparison with conventional power Doppler ultrasound, SMI™ showed on average similar detection capacity for neovessels in the mid-portion of the Achilles tendon, whilst being superior for detecting neovessels within Kager's fat pad (t=3.46, 95%CI=[0.27; 1.03], P&lt;0.005). Conclusions: Our results indicate that CEUS-based MV of the Achilles tendon is moderately associated with Achilles tendon symptoms. In accordance, CEUS-detected MV could be a novel target for treatment as it seems to be more sensitive than PDU and is correlated with symptoms. Copyright © 2018 Sports Medicine Australia. Published by Elsevier Ltd. All rights reserved.</t>
  </si>
  <si>
    <t xml:space="preserve">https://search.ebscohost.com/login.aspx?direct=true&amp;db=mdc&amp;AN=29789266&amp;site=ehost-live </t>
  </si>
  <si>
    <t>Modified perceptual training in sport: A new classification framework.</t>
  </si>
  <si>
    <t>Hadlow SM; Panchuk D; Mann DL; Portus MR; Abernethy B</t>
  </si>
  <si>
    <t>10.1016/j.jsams.2018.01.011</t>
  </si>
  <si>
    <t>Athletic Performance psychology; Perception; Sports psychology; Athletes; Humans; Learning; Psychomotor Performance</t>
  </si>
  <si>
    <t>Objectives: To overview a framework that provides a theoretically-grounded approach to predicting the types of modified perceptual training tasks that will stimulate transfer of improved perceptual skills to sport performance environments. Modified perceptual training (MPT) collectively describes on- or off-field sports training tasks that are specifically designed to develop visual and perceptual-cognitive skill. Traditional training approaches in sport include sports vision training and perceptual-cognitive training, while recently, new technologies have enabled a broad range of additional MPT tools to become available to coaches and athletes. Design: Short literature review and opinion article. Methods: Literature in the fields of sports vision training and perceptual-cognitive training are summarised and contrasted. A selection of emerging MPT technologies are then overviewed. This leads to the identification of three interacting factors of MPT task design that may influence the task's capacity to transfer improved training performance to actual competition: (i) the targeted perceptual function, (ii) stimulus correspondence, and (iii) response correspondence, which are assimilated with key tenets of representative learning design. Results: These three theoretically-grounded differences are adopted to support and justify the structure of the Modified Perceptual Training Framework which sets out predictions for future research to test in order to clarify the transfer effect of MPT tools. Conclusions: The application of the Modified Perceptual Training Framework may assist in future testing, design and selection of beneficial training tools in sport and as such, is predicted to have significant impact in empirical and practical settings. Crown Copyright © 2018. Published by Elsevier Ltd. All rights reserved.</t>
  </si>
  <si>
    <t xml:space="preserve">https://search.ebscohost.com/login.aspx?direct=true&amp;db=mdc&amp;AN=29433921&amp;site=ehost-live </t>
  </si>
  <si>
    <t>Monitoring Athletes during Training Camps: Observations and Translatable Strategies from Elite Road Cyclists and Swimmers.</t>
  </si>
  <si>
    <t>Saw AE; Halson SL; Mujika I</t>
  </si>
  <si>
    <t>10.3390/sports6030063</t>
  </si>
  <si>
    <t>Monitoring is an essential yet unstandardized component of managing athletic preparation. The purpose of this paper is to provide insight into the typical measurements and responses observed from monitoring elite road cyclist and swimmers during training camps, and translate these observations to practical strategies for other practitioners to employ. Twenty-nine male professional cyclists, 12 male and 19 female international swimmers participated in up to three of the eight 4⁻19 day training camps, held early in the season or leading into major competitions, at sea-level or moderate altitude. Monitoring included body mass and composition, subjective sleep, urinary specific gravity (USG), resting heart rate (HR) and peripheral oxygen saturation (SpO₂) at altitude. Sum of seven skinfolds most likely decreased in the order of 3.1 ± 3.6 mm week-to-week, accompanied by a most likely trivial decrease in body mass of 0.4 ± 0.4 kg week-to-week. At altitude, sleep quality very likely trivially improved week-to-week (0.3 ± 0.3 AU), SpO₂ possibly increased week-to-week (0.6 ± 1.7%), whilst changes in resting HR were unclear (0 ± 4 bpm). Sleep duration and USG were stable. Comparing individual to group day-to-day change in monitored variables may prove effective to flag athletes potentially at risk of training maladaptation. Practitioners may replicate these methods to establish thresholds specific to their cohort and setting. This study provides further support for a multi-faceted approach to monitoring elite athletes in training camp environments.</t>
  </si>
  <si>
    <t xml:space="preserve">https://search.ebscohost.com/login.aspx?direct=true&amp;db=mdc&amp;AN=30036955&amp;site=ehost-live </t>
  </si>
  <si>
    <t>Monitoring the effect of football match congestion on hamstring strength and lower limb flexibility: Potential for secondary injury prevention?</t>
  </si>
  <si>
    <t>Wollin M; Thorborg K; Pizzari T</t>
  </si>
  <si>
    <t>10.1016/j.ptsp.2017.09.001</t>
  </si>
  <si>
    <t>Athletic Injuries prevention &amp; control; Hamstring Muscles physiology; Muscle Strength; Soccer; Adolescent; Humans; Lower Extremity physiology; Male; Pain Measurement; Range of Motion, Articular; Recovery of Function</t>
  </si>
  <si>
    <t>Objectives: To investigate the effect of competitive football match congestion on hamstring strength and lower limb flexibility. Design: Repeated measures. Setting: Elite male youth football. Participants: Fifteen male elite youth football players from the national football association centre of excellence were included (age = 15.81 ±0.65 years, height = 171.95 ±6.89 cm, weight = 65.93 ±7.53 kg). Main Outcome Measures: Hamstring strength and pain, ankle dorsiflexion, hip extension, knee extension and flexion range of motion. Results: Hamstring strength was highest at baseline and significantly reduced at 24 (p = 0.001, mean difference -0.19 Nm/Kg, CI 95 -0.28, -0.1) and 48 h post-match 1 (p = 0.002, mean difference -0.16 Nm/Kg, CI 95 -0.25, -0.07). Strength recovered by match day 2 before significantly reducing again 24 h post-match 2 (p = 0.012, mean difference -0.17 Nm/Kg, CI 95 -0.29, -0.04). Pain was lowest at baseline and increased in the post-match periods (p &lt; 0.05) with standardised effect sizes ranging from 0.07 to 0.42. Passive knee flexion range decreased post-match (p &lt; 0.01) with mean differences of 1.5°-2.7°. The other flexibility measures remained unaffected by match play. Conclusion: Isometric hamstring strength and pain can be considered for inclusion in-season to monitor player's post-match hamstring recovery characteristics during congested match fixtures. Crown Copyright © 2017. Published by Elsevier Ltd. All rights reserved.</t>
  </si>
  <si>
    <t xml:space="preserve">https://search.ebscohost.com/login.aspx?direct=true&amp;db=mdc&amp;AN=29156302&amp;site=ehost-live </t>
  </si>
  <si>
    <t>No Difference in Young Adult Athletes' Resting Energy Expenditure When Measured Under Inpatient or Outpatient Conditions.</t>
  </si>
  <si>
    <t>Bone JL; Burke LM</t>
  </si>
  <si>
    <t>10.1123/ijsnem.2016-0315</t>
  </si>
  <si>
    <t>Athletes; Basal Metabolism; Calorimetry, Indirect; Adult; Cross-Over Studies; Female; Humans; Inpatients; Male; Outpatients; Reproducibility of Results; Young Adult</t>
  </si>
  <si>
    <t>Low energy availability can place athletes at increased risk of injury and illness and can be detected by a lower metabolic rate. The lowest metabolic rate is captured at the bedside, after an overnight fast and termed inpatient resting energy expenditure (REE). Measurements done in a laboratory with a shorter overnight fast are termed outpatient REE. Although important to know what the lowest energy expenditure, a bedside measure and/or 12-hr fast is not always practical or logistically possible particularly when you take into account an athlete's training schedule. The aim of this investigation was to compare a bedside measure of resting metabolism with a laboratory measure in athletes following an 8-hr fast. Thirty-two athletes (24 females and eight males) underwent measures of resting metabolism using indirect calorimetry once at their bedside (inpatient) and once in a simulated laboratory setting (outpatient). Paired t test was used to compare the mean ± SD differences between the two protocols. Inpatient REE was 7,302 ± 1,272 kJ/day and outpatient REE was 7,216 ± 1,116 kJ/day (p = .448). Thirteen participants repeated the outpatient protocol and 17 repeated the inpatient protocol to assess the day-to-day variation. Reliability was assessed using the intraclass correlation coefficient and typical error. The inpatient-protocol variability was 96% with a typical error of 336.2 kJ/day. For the outpatient protocol, the intraclass correlation coefficient and typical error were 87% and 477.6 kJ/day, respectively. Results indicate no difference in REE when measured under inpatient and outpatient conditions; however, the inpatient protocol has greater reliability.</t>
  </si>
  <si>
    <t xml:space="preserve">https://search.ebscohost.com/login.aspx?direct=true&amp;db=mdc&amp;AN=29140154&amp;site=ehost-live </t>
  </si>
  <si>
    <t>Nonpharmacological Management of Persistent Pain in Elite Athletes: Rationale and Recommendations.</t>
  </si>
  <si>
    <t>Moseley GL; Baranoff J; Rio E; Stewart M; Derman W; Hainline B</t>
  </si>
  <si>
    <t>10.1097/JSM.0000000000000601</t>
  </si>
  <si>
    <t>Athletes psychology; Pain Management methods; Pain Management psychology; Athletic Performance; Humans; Pain diagnosis</t>
  </si>
  <si>
    <t>Persistent pain is common in elite athletes. The current review arose from a consensus initiative by the International Olympic Committee to advance the development of a standardized, scientific, and evidence-informed approach to management. We suggest that optimal management of persistent pain in elite athletes requires an understanding of contemporary pain science, including the rationale behind and implementation of a biopsychosocial approach to care. We argue that athletes and clinicians need to understand the biopsychosocial model because it applies to both pain and the impact of pain with special reference to the sport setting. Management relies on thorough and precise assessment that considers contributing factors across nociceptive, inflammatory, neuropathic, and centrally acting domains; these can include contextual and psychosocial factors. Pain management seeks to remove contributing factors wherever possible through targeted education; adjustment of mechanical loading, training, and performance schedules; psychological therapies; and management of inflammation.</t>
  </si>
  <si>
    <t xml:space="preserve">https://search.ebscohost.com/login.aspx?direct=true&amp;db=mdc&amp;AN=30024479&amp;site=ehost-live </t>
  </si>
  <si>
    <t>Organization of Dietary Control for Nutrition-Training Intervention Involving Periodized Carbohydrate Availability and Ketogenic Low-Carbohydrate High-Fat Diet.</t>
  </si>
  <si>
    <t>Mirtschin JG; Forbes SF; Cato LE; Heikura IA; Strobel N; Hall R; Burke LM</t>
  </si>
  <si>
    <t>10.1123/ijsnem.2017-0249</t>
  </si>
  <si>
    <t>Diet, Ketogenic; Sports Nutritional Physiological Phenomena; Athletes; Dietary Carbohydrates administration &amp; dosage; Energy Intake; Exercise; Humans; Menu Planning; Micronutrients administration &amp; dosage; Sports</t>
  </si>
  <si>
    <t>The authors describe the implementation of a 3-week dietary intervention in elite race walkers at the Australian Institute of Sport, with a focus on the resources and strategies needed to accomplish a complex study of this scale. Interventions involved: traditional guidelines of high carbohydrate (CHO) availability for all training sessions; a periodized CHO diet which integrated sessions with low and high CHO availability within the same total CHO intake; and a ketogenic low-CHO high-fat diet. Seven-day menus and recipes were constructed for a communal eating setting to meet nutritional goals as well as individualized food preferences and special needs. Menus also included nutrition support before, during, and after exercise. Daily monitoring, via observation and food checklists, showed that energy and macronutrient targets were achieved. Diets were matched for energy (∼14.8 MJ/d) and protein (∼2.1 g·kg -1 ·day -1 ) and achieved desired differences for fat and CHO, with high CHO availability and periodized CHO availability: CHO = 8.5 g·kg -1 ·day -1 , 60% energy, fat = 20% of energy and low-CHO high-fat diet: 0.5 g·kg -1 ·day -1 CHO, fat = 78% energy. There were no differences in micronutrient intake or density between the high CHO availability and periodized CHO availability diets; however, the micronutrient density of the low-CHO high-fat diet was significantly lower. Daily food costs per athlete were similar for each diet (∼AU$ 27 ± 10). Successful implementation and monitoring of dietary interventions in sports nutrition research of the scale of the present study require meticulous planning and the expertise of chefs and sports dietitians. Different approaches to sports nutrition support raise practical challenges around cost, micronutrient density, accommodation of special needs, and sustainability.</t>
  </si>
  <si>
    <t xml:space="preserve">https://search.ebscohost.com/login.aspx?direct=true&amp;db=mdc&amp;AN=29431534&amp;site=ehost-live </t>
  </si>
  <si>
    <t>Pacing in Swimming: A Systematic Review.</t>
  </si>
  <si>
    <t>McGibbon KE; Pyne DB; Shephard ME; Thompson KG</t>
  </si>
  <si>
    <t>10.1007/s40279-018-0901-9</t>
  </si>
  <si>
    <t>Athletic Performance physiology; Swimming; Task Performance and Analysis; Biomechanical Phenomena; Competitive Behavior; Humans; Reproducibility of Results</t>
  </si>
  <si>
    <t>Background: Pacing strategy, or how energy is distributed during exercise, can substantially impact athletic performance and is considered crucial for optimal performance in many sports. This is particularly true in swimming given the highly resistive properties of water and low mechanical efficiency of the swimming action. Objectives: The aim of this systematic review was to determine the pacing strategies utilised by competitive swimmers in competition and their reproducibility, and to examine the impact of different pacing strategies on kinematic, metabolic and performance variables. This will provide valuable and practical information to coaches and sports science practitioners. Data Sources: The databases Web of Science, Scopus, SPORTDiscus and PubMed were searched for published articles up to 1 August 2017. Study Selection: A total of 23 studies examining pool-based swimming competitions or experimental trials in English-language and peer-reviewed journals were included in this review. Results: In short- and middle-distance swimming events maintenance of swimming velocity is critical, whereas in long-distance events a low lap-to-lap variability and the ability to produce an end spurt in the final lap(s) are key. The most effective strategy in the individual medley (IM) is to conserve energy during the butterfly leg to optimise performance in subsequent legs. The pacing profiles of senior swimmers remain relatively stable irrespective of opponents, competition stage or type, and performance time. Conclusion: Implementing event-specific pacing strategies should benefit the performance of competitive swimmers. Given differences between swimmers, there is a need for greater individualisation when considering pacing strategy selection across distances and strokes.</t>
  </si>
  <si>
    <t xml:space="preserve">https://search.ebscohost.com/login.aspx?direct=true&amp;db=mdc&amp;AN=29560605&amp;site=ehost-live </t>
  </si>
  <si>
    <t>Perception-action coupling in complex game play: Exploring the quiet eye in contested basketball jump shots.</t>
  </si>
  <si>
    <t>Klostermann A; Panchuk D; Farrow D</t>
  </si>
  <si>
    <t>10.1080/02640414.2017.1355063</t>
  </si>
  <si>
    <t>Basketball physiology; Basketball psychology; Competitive Behavior physiology; Fixation, Ocular physiology; Motor Skills physiology; Movement physiology; Visual Perception physiology; Adolescent; Humans; Male</t>
  </si>
  <si>
    <t>The duration of the final fixation before movement initiation - a gaze strategy labelled quiet eye - has been found to explain differences in motor expertise and performance in precision tasks. To date, research only addressed this phenomenon in situations without adversarial constraints. In the present study, we compared the quiet-eye behaviour of intermediately-skilled and highly-skilled basketball players in defended vs. undefended game situations. We predicted differences in quiet-eye duration as a function of skill and performance particularly resulting from late quiet-eye offsets. Results indicated performance-enhancing effects of long quiet-eye durations in the defended but not in the undefended game situation. Furthermore, in line with our prediction, later quiet-eye offsets were associated with superior performance elucidating the phenomenon's relevance in online-demanding motor tasks. Further, earlier quiet-eye onsets were linked to successful performance supporting earlier suggestions that it is not only the duration but also the timing that matters. These findings not only extend the positive effects of the quiet eye in motor performance to dynamic game-play situations but also support the role of the quiet eye in response to programming and information processing respectively.</t>
  </si>
  <si>
    <t xml:space="preserve">https://search.ebscohost.com/login.aspx?direct=true&amp;db=mdc&amp;AN=28707506&amp;site=ehost-live </t>
  </si>
  <si>
    <t>Pitfalls of Conducting and Interpreting Estimates of Energy Availability in Free-Living Athletes.</t>
  </si>
  <si>
    <t>Burke LM; Lundy B; Fahrenholtz IL; Melin AK</t>
  </si>
  <si>
    <t>10.1123/ijsnem.2018-0142</t>
  </si>
  <si>
    <t>Energy Intake; Energy Metabolism; Exercise; Sports Nutritional Physiological Phenomena; Athletes; Body Composition; Diet; Humans; Nutritional Requirements</t>
  </si>
  <si>
    <t>The human body requires energy for numerous functions including, growth, thermogenesis, reproduction, cellular maintenance, and movement. In sports nutrition, energy availability (EA) is defined as the energy available to support these basic physiological functions and good health once the energy cost of exercise is deducted from energy intake (EI), relative to an athlete's fat-free mass (FFM). Low EA provides a unifying theory to link numerous disorders seen in both female and male athletes, described by the syndrome Relative Energy Deficiency in Sport, and related to restricted energy intake, excessive exercise or a combination of both. These outcomes are incurred in different dose-response patterns relative to the reduction in EA below a "healthy" level of ∼45 kcal·kg FFM -1 ·day -1 . Although EA estimates are being used to guide and monitor athletic practices, as well as support a diagnosis of Relative Energy Deficiency in Sport, problems associated with the measurement and interpretation of EA in the field should be explored. These include the lack of a universal protocol for the calculation of EA, the resources needed to achieve estimates of each of the components of the equation, and the residual errors in these estimates. The lack of a clear definition of the value for EA that is considered "low" reflects problems around its measurement, as well as differences between individuals and individual components of "normal"/"healthy" function. Finally, further investigation of nutrition and exercise behavior including within- and between-day energy spread and dietary characteristics is warranted since it may directly contribute to low EA or its secondary problems.</t>
  </si>
  <si>
    <t xml:space="preserve">https://search.ebscohost.com/login.aspx?direct=true&amp;db=mdc&amp;AN=30029584&amp;site=ehost-live </t>
  </si>
  <si>
    <t>Power Testing in Basketball: Current Practice and Future Recommendations.</t>
  </si>
  <si>
    <t>Wen N; Dalbo VJ; Burgos B; Pyne DB; Scanlan AT</t>
  </si>
  <si>
    <t>10.1519/JSC.0000000000002459</t>
  </si>
  <si>
    <t>Athletic Performance physiology; Basketball physiology; Exercise Test methods; Humans</t>
  </si>
  <si>
    <t>Wen, N, Dalbo, VJ, Burgos, B, Pyne, DB, and Scanlan, AT. Power testing in basketball: Current practice and future recommendations. J Strength Cond Res 32(9): 2686-2700, 2018-Numerous foundational movements performed during basketball are predicated on underlying power-related attributes, including speed, change-of-direction (COD), and jumping. Accordingly, fitness testing batteries for basketball have incorporated an assortment of linear speed tests, COD tests, and jump tests. However, because of the wide variety of testing options, it is difficult for basketball practitioners to select appropriate testing protocols for the assessment of power-related attributes. As a result, there is a need to review the relevant literature to identify game-specific, power-related attributes important in basketball and the most appropriate tests available to assess power-related attributes for basketball practitioners. Therefore, the aims of this review were to: (a) identify essential power-related attributes important in basketball; (b) discuss the suitability of common and novel power-related tests; and (c) provide recommendations for future research and best practice approaches for basketball coaching staff. In this review, we propose a series of novel tests that are more targeted and specific to basketball movements including: (a) 5- and 10-m linear sprints, (b) modified agility T-test, (c) change-of-direction deficit (CODD), (d) lateral bound, (e) Sargent jump, (f) one-step jump, and (g) isometric midthigh pull test. Improved testing of power-related attributes should enable basketball practitioners to develop targeted training plans for enhancing player performance.</t>
  </si>
  <si>
    <t xml:space="preserve">https://search.ebscohost.com/login.aspx?direct=true&amp;db=mdc&amp;AN=29401204&amp;site=ehost-live </t>
  </si>
  <si>
    <t>Presleep dietary protein-derived amino acids are incorporated in myofibrillar protein during postexercise overnight recovery.</t>
  </si>
  <si>
    <t>Trommelen J; Kouw IWK; Holwerda AM; Snijders T; Halson SL; Rollo I; Verdijk LB; van Loon LJC</t>
  </si>
  <si>
    <t>American journal of physiology. Endocrinology and metabolism</t>
  </si>
  <si>
    <t>E457</t>
  </si>
  <si>
    <t>10.1152/ajpendo.00273.2016</t>
  </si>
  <si>
    <t>Amino Acids pharmacokinetics; Dietary Proteins pharmacokinetics; Exercise physiology; Muscle Proteins metabolism; Sleep physiology; Adult; Basal Metabolism physiology; Circadian Rhythm physiology; Humans; Male; Postprandial Period; Recovery of Function; Resistance Training; Rest physiology; Time Factors; Young Adult</t>
  </si>
  <si>
    <t>The purpose of this study was to determine the impact of ingesting 30 g casein protein with and without 2 g free leucine before sleep on myofibrillar protein synthesis rates during postexercise overnight recovery. Thirty-six healthy young men performed a single bout of resistance-type exercise in the evening (1945) after a full day of dietary standardization. Thirty minutes before sleep (2330), subjects ingested 30 g intrinsically l-[1- 13 C]phenylalanine-labeled protein with (PRO+leu, n = 12) or without (PRO, n = 12) 2 g free leucine, or a noncaloric placebo (PLA, n = 12). Continuous intravenous l-[ ring- 2 H 5 ]phenylalanine, l-[1- 13 C]leucine, and l-[ ring- 2 H 2 ]tyrosine infusions were applied. Blood and muscle tissue samples were collected to assess whole body protein net balance, myofibrillar protein synthesis rates, and overnight incorporation of dietary protein-derived amino acids into myofibrillar protein. Protein ingestion before sleep improved overnight whole body protein net balance ( P &lt; 0.001). Myofibrillar protein synthesis rates did not differ significantly between treatments as assessed by l-[ ring- 2 H 5 ]phenylalanine (0.057 ± 0.002, 0.055 ± 0.002, and 0.055 ± 0.004%/h for PLA, PRO, and PRO+leu, respectively; means ± SE; P = 0.850) or l-[1- 13 C]leucine (0.080 ± 0.004, 0.073 ± 0.004, and 0.083 ± 0.006%/h, respectively; P = 0.328). Myofibrillar l-[1- 13 C]phenylalanine enrichments increased following protein ingestion but did not differ between the PRO and PRO+leu treatments. In conclusion, protein ingestion before sleep improves whole body protein net balance and provides amino acids that are incorporated into myofibrillar protein during sleep. However, the ingestion of 30 g casein protein with or without additional free leucine before sleep does not increase muscle protein synthesis rates during postexercise overnight recovery.</t>
  </si>
  <si>
    <t xml:space="preserve">https://search.ebscohost.com/login.aspx?direct=true&amp;db=mdc&amp;AN=28536184&amp;site=ehost-live </t>
  </si>
  <si>
    <t>Prevalence of illness, poor mental health and sleep quality and low energy availability prior to the 2016 Summer Olympic Games.</t>
  </si>
  <si>
    <t>Drew M; Vlahovich N; Hughes D; Appaneal R; Burke LM; Lundy B; Rogers M; Toomey M; Watts D; Lovell G; Praet S; Halson SL; Colbey C; Manzanero S; Welvaert M; West NP; Pyne DB; Waddington G</t>
  </si>
  <si>
    <t>10.1136/bjsports-2017-098208</t>
  </si>
  <si>
    <t>Athletes psychology; Fatigue epidemiology; Mental Health; Sleep; Adult; Anniversaries and Special Events; Anxiety; Cross-Sectional Studies; Female; Health Status; Humans; Male; Prevalence; Self Report; Stress, Psychological; Surveys and Questionnaires; Young Adult</t>
  </si>
  <si>
    <t>Objective: Establish the prevalence of illness symptoms, poor sleep quality, poor mental health symptoms, low energy availability and stress-recovery state in an Olympic cohort late in the 3 months prior to the Summer Olympic Games. Methods: Olympic athletes (n=317) from 11 sports were invited to complete questionnaires administered 3 months before the Rio 2016 Olympic Games. These questionnaires included the Depression, Anxiety and Stress Questionnaire, Perceived Stress Scale, Dispositional Resilience Scale, Recovery-Stress Questionnaire (REST-Q-52 item), Low Energy Availability in Females Questionnaire (LEAF-Q), Epworth Sleepiness Scale, Pittsburgh Sleep Quality Index and custom-made questionnaires on probiotic usage and travel. Multiple illness (case) definitions were applied. ORs and attributable fractions in the population were used. Factor analyses were used to explore the relationships between variables. Results: The response rate was of 42% (male, n=47, age 25.8±4.1 years; female, n=85, age 24.3±3.9 years). Low energy availability was associated with sustaining an illness in the previous month (upper respiratory, OR=3.8, 95% CI 1.2 to 12). The main factor relating to illness pertained to a combination of anxiety and stress-recovery states (as measured by the REST-Q-52 item). All participants reported at least one episode of illness in the last month (100% prevalence). Conclusions: All participants reported at least one illness symptom in the previous month. Low energy availability was a leading variable associated with illness in Olympic-class athletes. The estimates duration of symptoms ranged from 2 to 7 days. Factor analyses show the interdependence of various health domains and support multidisciplinary care. Competing Interests: Competing interests: None declared. © Article author(s) (or their employer(s) unless otherwise stated in the text of the article) 2018. All rights reserved. No commercial use is permitted unless otherwise expressly granted.</t>
  </si>
  <si>
    <t xml:space="preserve">https://search.ebscohost.com/login.aspx?direct=true&amp;db=mdc&amp;AN=29056598&amp;site=ehost-live </t>
  </si>
  <si>
    <t>Probing Representations of Gymnastics Movements: A Visual Priming Study.</t>
  </si>
  <si>
    <t>Calmels C; Elipot M; Naccache L</t>
  </si>
  <si>
    <t>Cognitive science</t>
  </si>
  <si>
    <t>10.1111/cogs.12625</t>
  </si>
  <si>
    <t>In this study, we designed a visual short-term priming paradigm to investigate the mechanisms underlying the priming of movements and to probe movement representations in motor experts and matched controls. We employed static visual stimuli that implied or not human whole-body movements, that is, gymnastics movements and static positions. Twelve elite female gymnasts and twelve matched controls performed a speeded two-choice response time task. The participants were presented with congruent and incongruent prime-target pairs and had to decide whether the target stimulus represented a gymnastics movement or a static position. First, a visual priming effect was observed in the two groups. Second, a stimulus-response rote association could not easily account for our results. Novel primes never presented as targets could also prime the targets. Third, by manipulating three levels of prime-target relations in moving congruent pairs, we demonstrated that the more similar prime-target pairs, the greater the facilitation in target. Lastly, gymnastics motor expertise impacted on priming effects. © 2018 Cognitive Science Society, Inc.</t>
  </si>
  <si>
    <t xml:space="preserve">https://search.ebscohost.com/login.aspx?direct=true&amp;db=mdc&amp;AN=29900571&amp;site=ehost-live </t>
  </si>
  <si>
    <t>Proposal to disregard athletics world records prior to 2005: a radical and misjudged initiative.</t>
  </si>
  <si>
    <t>Edwards AM; Jones AM; Pyne DB</t>
  </si>
  <si>
    <t>10.1136/bjsports-2017-098307</t>
  </si>
  <si>
    <t>Athletic Performance statistics &amp; numerical data; Data Collection standards; Doping in Sports; Sports statistics &amp; numerical data; Humans; Organizations</t>
  </si>
  <si>
    <t xml:space="preserve">https://search.ebscohost.com/login.aspx?direct=true&amp;db=mdc&amp;AN=29217531&amp;site=ehost-live </t>
  </si>
  <si>
    <t>Rating of perceived exertion is a stable and appropriate measure of workload in judo.</t>
  </si>
  <si>
    <t>Bromley SJ; Drew MK; McIntosh A; Talpey S</t>
  </si>
  <si>
    <t>10.1016/j.jsams.2018.02.013</t>
  </si>
  <si>
    <t>Martial Arts physiology; Physical Exertion; Workload; Adolescent; Adult; Athletes; Cross-Sectional Studies; Female; Heart Rate; Humans; Lactic Acid blood; Male; Young Adult</t>
  </si>
  <si>
    <t>Objectives: Heart rate (HR), blood lactate concentration [La] and/or rating of perceived exertion (RPE) have been utilised to monitor judo training load in technical and randori (competition training) sessions, but are yet to be investigated in mixed sessions containing both elements. Therefore the purpose of this study was to: (1) determine the stability of these variables, and (2) to assess the efficacy of RPE as a load variable for mixed judo sessions. Design: Cross-sectional study. Methods: Twenty-nine athletes attended two mixed training sessions at an international training camp. Bout and session characteristics, including RPE, physical and mental effort, heart rate (HR) and post-session [La] were recorded. A two-way random-effects intra-class correlation assessed variable stability. Multilevel mixed-effects ordered logistic regression investigated relationships between RPE and other variables for bouts and sessions. Results: Average and minimum HR across sessions correlated highly (ICC=0.95 and 0.94, respectively). Good correlations existed between [La], session-RPE and mental effort, and fair correlation of max HR and physical effort. No relationships existed between [La]/HR and session-RPE. A unit increase in bout-RPE resulted in a 2.09 unit increase in physical, or a 1.36 unit increase in mental, effort holding all other bout variables constant. Gender and competitive level did not influence statistical models. Conclusions: Results provide further evidence that RPE can be used across a range of competitive levels and genders to monitor workload of mixed sessions and individual randori in judo. Physical effort may play a larger role than mental effort when athletes reflect on exertion during training. Copyright © 2018. Published by Elsevier Ltd.</t>
  </si>
  <si>
    <t xml:space="preserve">https://search.ebscohost.com/login.aspx?direct=true&amp;db=mdc&amp;AN=29551273&amp;site=ehost-live </t>
  </si>
  <si>
    <t>Recruitment and Participation of Recreational Runners in a Large Epidemiological and Genetic Research Study: Retrospective Data Analysis.</t>
  </si>
  <si>
    <t>Manzanero S; Kozlovskaia M; Vlahovich N; Hughes DC</t>
  </si>
  <si>
    <t>JMIR research protocols</t>
  </si>
  <si>
    <t>e141</t>
  </si>
  <si>
    <t>10.2196/resprot.8243</t>
  </si>
  <si>
    <t>JMIR Publications</t>
  </si>
  <si>
    <t>Background: With the increasing capacity for remote collection of both data and samples for medical research, a thorough assessment is needed to determine the association of population characteristics and recruitment methodologies with response rates. Objective: The aim of this research was to assess population representativeness in a two-stage study of health and injury in recreational runners, which consisted of an epidemiological arm and genetic analysis. Methods: The cost and success of various classical and internet-based methods were analyzed, and demographic representativeness was assessed for recruitment to the epidemiological survey, reported willingness to participate in the genetic arm of the study, actual participation, sample return, and approval for biobank storage. Results: A total of 4965 valid responses were received, of which 1664 were deemed eligible for genetic analysis. Younger age showed a negative association with initial recruitment rate, expressed willingness to participate in genetic analysis, and actual participation. Additionally, female sex was associated with higher initial recruitment rates, and ethnic origin impacted willingness to participate in the genetic analysis (all P&lt;.001). Conclusions: The sharp decline in retention through the different stages of the study in young respondents suggests the necessity to develop specific recruitment and retention strategies when investigating a young, physically active population. ©Silvia Manzanero, Maria Kozlovskaia, Nicole Vlahovich, David C Hughes. Originally published in JMIR Research Protocols (http://www.researchprotocols.org), 23.05.2018.</t>
  </si>
  <si>
    <t xml:space="preserve">https://search.ebscohost.com/login.aspx?direct=true&amp;db=mdc&amp;AN=29792293&amp;site=ehost-live </t>
  </si>
  <si>
    <t>Reduced attentional focus and the influence on expert anticipatory perception.</t>
  </si>
  <si>
    <t>Gorman AD; Abernethy B; Farrow D</t>
  </si>
  <si>
    <t>Attention, perception &amp; psychophysics</t>
  </si>
  <si>
    <t>10.3758/s13414-017-1429-z</t>
  </si>
  <si>
    <t>Anticipation, Psychological physiology; Attention physiology; Basketball psychology; Mental Recall physiology; Professional Competence; Adolescent; Humans; Male; Pattern Recognition, Visual physiology; Psychophysics; Task Performance and Analysis; Young Adult</t>
  </si>
  <si>
    <t>The anticipatory memory encodings of expert and novice basketball players were examined under conditions of both full (attended condition) and reduced (unattended condition) attention (see also Gorman, Abernethy, &amp; Farrow in Attention, Perception, &amp; Psychophysics, 75, 835-844, 2013a). Participants completed a typical pattern recall task using dynamic playing sequences from basketball, and their responses were compared to both the original target pattern as well as to the series of patterns that occurred immediately after and immediately before the target image. The latter had not previously been employed in a pattern recall task when examining the anticipatory encoding of pattern information. Results revealed that the overall extent of the forward displacement for both the attended and unattended patterns was generally significantly greater for the experts, with the expert advantage tending to be most prominent for the attacking patterns. The novel addition of both forward and backward scenes may provide a more precise measure of the anticipatory effect, suggesting that future research in this domain should use a similar methodological design.</t>
  </si>
  <si>
    <t xml:space="preserve">https://search.ebscohost.com/login.aspx?direct=true&amp;db=mdc&amp;AN=29039046&amp;site=ehost-live  </t>
  </si>
  <si>
    <t>Relative Energy Deficiency in Sport in Male Athletes: A Commentary on Its Presentation Among Selected Groups of Male Athletes.</t>
  </si>
  <si>
    <t>Burke LM; Close GL; Lundy B; Mooses M; Morton JP; Tenforde AS</t>
  </si>
  <si>
    <t>10.1123/ijsnem.2018-0182</t>
  </si>
  <si>
    <t>Energy Intake; Energy Metabolism; Malnutrition diagnosis; Nutritional Requirements; Sports Nutritional Physiological Phenomena; Athletes; Body Weight; Humans; Male; Malnutrition prevention &amp; control; Malnutrition therapy; Risk Factors; Sports</t>
  </si>
  <si>
    <t>Low energy availability (LEA) is a key element of the Female Athlete Triad. Causes of LEA include failure to match high exercise energy expenditure (unintentional) or pathological behaviors of disordered eating (compulsive) and overzealous weight control programs (misguided but intentional). Recognition of such scenarios in male athletes contributed to the pronouncement of the more inclusive Relative Energy Deficiency in Sport (RED-S) syndrome. This commentary describes the insights and experience of the current group of authors around the apparently heightened risk of LEA in some populations of male athletes: road cyclists, rowers (lightweight and open weight), athletes in combat sports, distance runners, and jockeys. The frequency, duration, and magnitude of the LEA state appear to vary between populations. Common risk factors include cyclical management of challenging body mass and composition targets (including "making weight") and the high energy cost of some training programs or events that is not easily matched by energy intake. However, additional factors such as food insecurity and lack of finances may also contribute to impaired nutrition in some populations. Collectively, these insights substantiate the concept of RED-S in male athletes and suggest that a specific understanding of a sport, subpopulation, or culture may identify a complex series of factors that can contribute to LEA and the type and severity of its outcomes. This commentary provides a perspective on the range of risk factors that should be addressed in future surveys of RED-S in athletic populations and targeted for specific investigation and modification.</t>
  </si>
  <si>
    <t xml:space="preserve">https://search.ebscohost.com/login.aspx?direct=true&amp;db=mdc&amp;AN=30040508&amp;site=ehost-live </t>
  </si>
  <si>
    <t>Relative Energy Deficiency in Sport: The Tip of an Iceberg.</t>
  </si>
  <si>
    <t>Mountjoy ML; Burke LM; Stellingwerff T; Sundgot-Borgen J</t>
  </si>
  <si>
    <t>10.1123/ijsnem.2018-0149</t>
  </si>
  <si>
    <t>Energy Metabolism; Malnutrition physiopathology; Metabolic Diseases prevention &amp; control; Sports; Sports Nutritional Physiological Phenomena; Athletes; Female; Humans; Male</t>
  </si>
  <si>
    <t xml:space="preserve">https://search.ebscohost.com/login.aspx?direct=true&amp;db=mdc&amp;AN=29972091&amp;site=ehost-live </t>
  </si>
  <si>
    <t>Reliability and validity of a modified 3-minute all-out swimming test in elite swimmers.</t>
  </si>
  <si>
    <t>Mitchell LJG; Pyne DB; Saunders PU; Rattray B</t>
  </si>
  <si>
    <t>10.1080/17461391.2017.1413138</t>
  </si>
  <si>
    <t>Athletic Performance; Exercise Test; Swimming physiology; Adolescent; Female; Humans; Male; Reproducibility of Results; Young Adult</t>
  </si>
  <si>
    <t>Critical speed (CS) testing is useful in monitoring training in swimmers, however, completing a series of time trials (TTs) regularly is time-consuming. The 3-minute test may be a solution with positive initial findings. This investigation examined whether a modified 3-minute test (12 × 25 m) could assess CS and supra-CS distance capacity (D') in swimmers. A series of 12 × 25 m intervals were completed unpaced at maximal effort, interspersed with 5 s rest periods. The model speed = a e b t + c was fitted to the data and integrated to calculate D'. The slowest two of the last four efforts were averaged to calculate CS. To assess reliability, 15 highly trained swimmers (9 females, 6 males) completed the 12 × 25 m twice within 72 h. Four measures were deemed reliable: peak velocity (0.01 m s -1 ; 0.5%, typical error and % coefficient of variation), CS (0.02 m s -1 ; 1.2%), D' (1.22 m; 5.7%) and drop off % (0.70% points; 4.5%). To assess criterion validity, 21 swimmers (9 from reliability, 12 other) completed two competition races within 2 weeks of a 12 × 25 m in the same stroke. Traditional CS and D' measures were calculated from competition performances (TT method). TT CS and 12 × 25 m CS were highly correlated (adj. R 2 = 0.92, p &lt; .001). D' values were moderately correlated (adj. R 2 = 0.60, p &lt; .01). Two TTs may have been too few to estimate D' accurately. The 12 × 25 m all-out swimming test is a reliable method for assessing CS and D' in swimmers, however, the validity of D' requires further investigation.</t>
  </si>
  <si>
    <t xml:space="preserve">https://search.ebscohost.com/login.aspx?direct=true&amp;db=mdc&amp;AN=29251174&amp;site=ehost-live </t>
  </si>
  <si>
    <t>Repeat Effort Performance Is Reduced 24 Hours After Acute Dehydration in Mixed Martial Arts Athletes.</t>
  </si>
  <si>
    <t>Barley OR; Iredale F; Chapman DW; Hopper A; Abbiss CR</t>
  </si>
  <si>
    <t>10.1519/JSC.0000000000002249</t>
  </si>
  <si>
    <t>Athletic Performance physiology; Dehydration physiopathology; Martial Arts physiology; Adolescent; Adult; Cross-Over Studies; Humans; Male; Time Factors; Young Adult</t>
  </si>
  <si>
    <t>Barley, OR, Iredale, F, Chapman, DW, Hopper, A, and Abbiss, C. Repeat effort performance is reduced 24 hours after acute dehydration in mixed martial arts athletes. J Strength Cond Res 32(9): 2555-2561, 2018-This study sought to determine the influence of acute dehydration on physical performance and physiology in mixed martial arts (MMA). Mixed martial arts athletes (n = 14; age: 23 ± 4 years) completed in a randomized counterbalanced order a dehydration protocol, (DHY: 3-hour cycling at 60 W in 40° C to induce 5% dehydration) or thermoneutral control (25° C: CONT) exercise, followed by ad libitum fluid/food intake. Performance testing (a repeat sled push test, medicine ball chest throw, and vertical jump) was completed 3 hours and 24 hours after the intervention, whereas urine and blood samples were collected before, 20 minutes, 3 hours, and 24 hours after the intervention. Body mass was reduced (4.8 ± 0.8%) after DHY (p &lt; 0.001) and remained lower than CONT at 3 hours and 24 hours after DHY (p = 0.003 and p = 0.024, respectively). Compared with CONT, average sled push times were slower 3 hours and 24 hours after DHY (19 ± 15%; p = 0.001; g = 1.229 and 14 ± 15%; p = 0.012; g = 0.671, respectively). When compared with the CONT, handgrip was weaker 3 hours after DHY (53 ± 8 and 51 ± 8 kg; p = 0.044, g = 0.243, respectively) and medicine ball chest throw distances were shorter 24 hours after DHY (474 ± 52 and 449 ± 44 cm; p = 0.016, g = 0.253, respectively). No significant differences were observed in vertical jump (p = 0.467). Urine specific gravity was higher than CONT 20 minutes (p = 0.035) and 24 hours (p = 0.035) after DHY. Acute dehydration of 4.8% body mass results in reduced physical performance 3 and 24 hours after DHY. There is need for caution when athletes use dehydration for weight loss 24 hours before competition.</t>
  </si>
  <si>
    <t xml:space="preserve">https://search.ebscohost.com/login.aspx?direct=true&amp;db=mdc&amp;AN=28930879&amp;site=ehost-live </t>
  </si>
  <si>
    <t>Self-Reported Periodization of Nutrition in Elite Female and Male Runners and Race Walkers.</t>
  </si>
  <si>
    <t>Heikura IA; Stellingwerff T; Burke LM</t>
  </si>
  <si>
    <t>10.3389/fphys.2018.01732</t>
  </si>
  <si>
    <t>Athletes should achieve event-specific physiological requirements through careful periodization of training, underpinned by individualized and targeted nutrition strategies. However, evidence of whether, and how, elite endurance athletes periodize nutrition is scarce. Accordingly, elite international female ( n = 67) and male ( n = 37) middle/long-distance athletes (IAAF score: 1129 ± 54, corresponds to 13:22.49 [males] and 15:17.93 [females] in the 5000 m) completed an online survey (February-May 2018) examining self-reported practices of dietary periodization for micro (within/between-days), meso (weeks/months) and macro (across the year) contexts. Data are shown as the percentage of all athletes practicing a given strategy followed by the % of athletes reporting various beliefs or practices within this strategy. Differences according to sex, event (middle-distance [800 m/1500 m] vs. track-distance [3000 m-10000 m] vs. road-distance [marathon/race walks]), caliber (high [major championship qualifier] vs. lower), and training volume (low/moderate/high male and female tertiles) were analyzed using Chi-square test or Kruskal-Wallis Test and indicated statistically different when p ≤ 0.05. Most athletes reported eating more on hard training days (92%) and focusing on nutrition before (84%; carbohydrate intake [63%] and timing [58%]) and after (95%; protein goals [59%], timing [55%], carbohydrate goals [50%]) key sessions. Road-distance were the most (62 and 57%), and middle-distance the least (30 and 30%) likely to train fasted ( p = 0.037) or restrict carbohydrates periodically ( p = 0.050), respectively. Carbohydrate intake during training (58% of total) was more common in males (79%; p = 0.004) and road-distance (90%; p &lt; 0.001) than females (53%) or middle/track-distance (48 and 37%). Most athletes (83%) reported following a specific diet before and during race day, with half of the athletes focusing on carbohydrates. Nearly all (97%) road-distance athletes reported following a during-race nutrition plan (carbohydrates/fluids:89%). Only 32% reported taking advice from a dietitian/nutritionist. Based on our analysis: (1) Road-distance athletes periodize carbohydrate availability while track/middle-distance avoid low carbohydrate availability; (2) Middle-distance runners emphasize physique goals to guide their nutrition strategies; (3) Females seem to be more cautious of increasing energy/carbohydrate intake; (4) Among all athletes, nutrition strategies are chosen primarily to improve performance, followed by reasons related to physique, adaptation and health outcomes. Overall, these athletes appear to possess good knowledge of nutrition for supporting training and competition performance.</t>
  </si>
  <si>
    <t xml:space="preserve">https://search.ebscohost.com/login.aspx?direct=true&amp;db=mdc&amp;AN=30559680&amp;site=ehost-live </t>
  </si>
  <si>
    <t>Sleep quantity and quality during consecutive day heat training with the inclusion of cold-water immersion recovery.</t>
  </si>
  <si>
    <t>Skein M; Wingfield G; Gale R; Washington TL; Minett GM</t>
  </si>
  <si>
    <t>Journal of thermal biology</t>
  </si>
  <si>
    <t>10.1016/j.jtherbio.2018.03.012</t>
  </si>
  <si>
    <t>Cold Temperature; Exercise; Hot Temperature; Immersion; Sleep; Actigraphy; Adult; Humans; Male; Thermotolerance; Young Adult</t>
  </si>
  <si>
    <t>Exercise in the heat is a common occurrence among athletes and often is intentional in order to gain heat acclimation benefits, however, little is known about how such training may affect sleep. Therefore, this study investigated five days of training in the heat of varying intensity and duration and inclusion of cold-water immersion (CWI) recovery on sleep quantity and quality. Thirty recreationally-trained male participants completed five days of heat training (HT) and were randomised into three interventions including (i) 90 min cycling at 40% power at maximal aerobic capacity (P max ) with 15 min passive recovery (90HT); (ii) 90 min cycling at 40% P max with 15 min CWI recovery (90CWI); or (iii) 30 min cycling alternating between 40% and 70% P max , with 15 min passive recovery (30HT). Sleep quality and quantity were assessed using Actigraphy and sleep diaries during five baseline nights (BASE) and five nights of HT which included subjective sleep quality and objective assessments of sleep quantity and quality. Total time asleep and perceived sleep quality were reduced, while awake duration and wake after sleep onset (WASO) were increased (p = 0.001-0.01) during HT compared to BASE. Latency was shorter for 30HT compared to 90HT during HT (p = 0.02), however, no differences between interventions for all other sleep variables (p &gt; 0.05). The reduction in total sleep time due to increases in average wake duration during HT may be due to the unaccustomed increased in training frequency. Of note, reducing training in the heat duration per day improved sleep latency and sleep quality with no effect on total sleep time, while the addition of CWI has minimal effect on sleep quality or quantity. Copyright © 2018 Elsevier Ltd. All rights reserved.</t>
  </si>
  <si>
    <t xml:space="preserve">https://search.ebscohost.com/login.aspx?direct=true&amp;db=mdc&amp;AN=29801652&amp;site=ehost-live </t>
  </si>
  <si>
    <t>Swifter, higher, stronger: What's on the menu?</t>
  </si>
  <si>
    <t>Burke LM; Hawley JA</t>
  </si>
  <si>
    <t>Science (New York, N.Y.)</t>
  </si>
  <si>
    <t>10.1126/science.aau2093</t>
  </si>
  <si>
    <t>American Association for the Advancement of Science</t>
  </si>
  <si>
    <t>Athletes; Athletic Performance; Diet; Dietary Carbohydrates metabolism; Humans; Meals</t>
  </si>
  <si>
    <t>The exploits of elite athletes delight, frustrate, and confound us as they strive to reach their physiological, psychological, and biomechanical limits. We dissect nutritional approaches to optimal performance, showcasing the contribution of modern sports science to gold medals and world titles. Despite an enduring belief in a single, superior "athletic diet," diversity in sports nutrition practices among successful athletes arises from the specificity of the metabolic demands of different sports and the periodization of training and competition goals. Pragmatic implementation of nutrition strategies in real-world scenarios and the prioritization of important strategies when nutrition themes are in conflict add to this variation. Lastly, differences in athlete practices both promote and reflect areas of controversy and disagreement among sports nutrition experts. Copyright © 2018 The Authors, some rights reserved; exclusive licensee American Association for the Advancement of Science. No claim to original U.S. Government Works.</t>
  </si>
  <si>
    <t xml:space="preserve">https://search.ebscohost.com/login.aspx?direct=true&amp;db=mdc&amp;AN=30442803&amp;site=ehost-live </t>
  </si>
  <si>
    <t>Taekwondo Fighting in Training Does Not Simulate the Affective and Cognitive Demands of Competition: Implications for Behavior and Transfer.</t>
  </si>
  <si>
    <t>Maloney MA; Renshaw I; Headrick J; Martin DT; Farrow D</t>
  </si>
  <si>
    <t>10.3389/fpsyg.2018.00025</t>
  </si>
  <si>
    <t>Enhancing practice design is critical to facilitate transfer of learning. Considerable research has focused on the role of perceptual information in practice simulation, yet has neglected how affect and cognition are shaped by practice environments and whether this influences the fidelity of behavior (Headrick et al., 2015). This study filled this gap by examining the fidelity of individual (cognition, affect, and actions) and interpersonal behavior of 10 highly skilled Australian Taekwondo athletes fighting in training compared to competition. Interpersonal behavior was assessed by tracking location coordinates to analyze distance-time coordination tendencies of the fighter-fighter system. Individual actions were assessed through notational analysis and approximate entropy calculations of coordinate data to quantify the (un)predictability of movement displacement. Affect and cognition were assessed with mixed-methods that included perceptual scales measuring anxiety, arousal, and mental effort, and post-fight video-facilitated confrontational interviews to explore how affect and cognitions might differ. Quantitative differences were assessed with mixed models and dependent t -tests. Results reveal that individual and interpersonal behavior differed between training and competition. In training, individuals attacked less ( d = 0.81, p &lt; 0.05), initiated attacks from further away ( d = -0.20, p &lt; 0.05) and displayed more predictable movement trajectories ( d = 0.84, p &lt; 0.05). In training, fighters had lower anxiety ( d = -1.26, p &lt; 0.05), arousal ( d = -1.07, p &lt; 0.05), and mental effort ( d = -0.77, p &lt; 0.05). These results were accompanied by changes in interpersonal behavior, with larger interpersonal distances generated by the fighter-fighter system in training ( d = 0.80, p &lt; 0.05). Qualitative data revealed the emergence of cognitions and affect specific to the training environment, such as reductions in pressure, arousal, and mental challenge. Findings highlight the specificity of performer-environment interactions. Fighting in training affords reduced affective and cognitive demands and a decrease in action fidelity compared to competition. In addition to sampling information, representative practice needs to consider modeling the cognitions and affect of competition to enhance transfer.</t>
  </si>
  <si>
    <t xml:space="preserve">https://search.ebscohost.com/login.aspx?direct=true&amp;db=mdc&amp;AN=29445348&amp;site=ehost-live </t>
  </si>
  <si>
    <t>The athlete's hematological response to hypoxia: A meta-analysis on the influence of altitude exposure on key biomarkers of erythropoiesis.</t>
  </si>
  <si>
    <t>Lobigs LM; Sharpe K; Garvican-Lewis LA; Gore CJ; Peeling P; Dawson B; Schumacher YO</t>
  </si>
  <si>
    <t>American journal of hematology</t>
  </si>
  <si>
    <t>10.1002/ajh.24941</t>
  </si>
  <si>
    <t>Athletes; Biomarkers blood; Cell Hypoxia immunology; Erythropoiesis immunology; Altitude; Female; Humans; Male</t>
  </si>
  <si>
    <t>Altitude training is associated with changes in blood markers, which can confound results of the Athlete?s Biological Passport (ABP). This meta-analysis aims to describe the fluctuations during- and post-altitude in key ABP variables; hemoglobin concentration ([Hb]), square-root transformed reticulocyte percentage (sqrt(retic%)) and the OFF-score. Individual de-identified raw data were provided from 17 studies. Separate linear mixed effects analyses were performed for delta values from baseline for [Hb], sqrt(retic%) and OFF-score, by altitude phase (during and post). Mixed models were fitted with the hierarchical structure: study and subject within study as random effects. Delta values as response variables and altitude dose (in kilometer hours; km.hr = altitude (m) / 1000 x hours), sex, age, protocol and baseline values as fixed effects. Allowances were made for potential autocorrelation. Within two days at natural altitude [Hb] rapidly increased. Subsequent delta [Hb] values increased with altitude dose, reaching a plateau of 0.94 g/dL [95%CI (0.69, 1.20)] at ~1000 km.hr. Delta sqrt(retic%) and OFF-score were the first to identify an erythrocyte response, with respective increases and decreases observed within 100 to 200 km.hr. Post-altitude, [Hb] remained elevated for two weeks. Delta sqrt(retic%) declined below baseline, the magnitude of change was dependent on altitude dose. Baseline values were a significant covariate (p&lt;0.05). The response to altitude is complex resulting in a wide range of individual responses, influenced primarily by altitude dose and baseline values. Improved knowledge of the plausible hematological variations during- and post-altitude provides fundamental information for both the ABP expert and sports physician. © 2017 Wiley Periodicals, Inc.</t>
  </si>
  <si>
    <t xml:space="preserve">https://search.ebscohost.com/login.aspx?direct=true&amp;db=mdc&amp;AN=29027252&amp;site=ehost-live </t>
  </si>
  <si>
    <t>The Effect of Water Loading on Acute Weight Loss Following Fluid Restriction in Combat Sports Athletes.</t>
  </si>
  <si>
    <t>Reale R; Slater G; Cox GR; Dunican IC; Burke LM</t>
  </si>
  <si>
    <t>10.1123/ijsnem.2017-0183</t>
  </si>
  <si>
    <t>Body Water; Drinking; Weight Loss; Adult; Athletes; Blood Chemical Analysis; Body Composition; Body Weight; Diet; Electrolytes; Fluid Therapy; Humans; Male; Martial Arts; Urinalysis; Vasopressins; Water; Wrestling; Young Adult</t>
  </si>
  <si>
    <t>Novel methods of acute weight loss practiced by combat sport athletes include "water loading," the consumption of large fluid volumes for several days prior to restriction. We examined claims that this technique increases total body water losses, while also assessing the risk of hyponatremia. Male athletes were separated into control (n = 10) and water loading (n = 11) groups and fed a standardized energy-matched diet for 6 days. Days 1-3 fluid intake was 40 and 100 ml/kg for control and water loading groups, respectively, with both groups consuming 15 ml/kg on Day 4 and following the same rehydration protocol on Days 5 and 6. We tracked body mass (BM), urine sodium, urine specific gravity and volume, training-related sweat losses and blood concentrations of renal hormones, and urea and electrolytes throughout. Physical performance was assessed preintervention and postintervention. Following fluid restriction, there were substantial differences between groups in the ratio of fluid input/output (39%, p &lt; .01, effect size = 1.2) and BM loss (0.6% BM, p = .02, effect size = 0.82). Changes in urine specific gravity, urea and electrolytes, and renal hormones occurred over time (p &lt; .05), with an interaction of time and intervention on blood sodium, potassium, chloride, urea, creatinine, urine specific gravity, and vasopressin (p &lt; .05). Measurements of urea and electrolyte remained within reference ranges, and no differences in physical performance were detected over time or between groups. Water loading appears to be a safe and effective method of acute BM loss under the conditions of this study. Vasopressin-regulated changes in aquaporin channels may potentially partially explain the mechanism of increased body water loss with water loading.</t>
  </si>
  <si>
    <t xml:space="preserve">https://search.ebscohost.com/login.aspx?direct=true&amp;db=mdc&amp;AN=29182412&amp;site=ehost-live </t>
  </si>
  <si>
    <t>The effects of football match congestion in an international tournament on hip adductor squeeze strength and pain in elite youth players.</t>
  </si>
  <si>
    <t>Wollin M; Pizzari T; Spagnolo K; Welvaert M; Thorborg K</t>
  </si>
  <si>
    <t>10.1080/02640414.2017.1363452</t>
  </si>
  <si>
    <t>Competitive Behavior physiology; Cumulative Trauma Disorders physiopathology; Groin injuries; Hip physiology; Muscle Strength physiology; Pain physiopathology; Soccer injuries; Adolescent; Cumulative Trauma Disorders prevention &amp; control; Humans; Male; Muscle Strength Dynamometer; Soccer physiology; Time Factors</t>
  </si>
  <si>
    <t>The purpose of this study was to investigate the effect of a congested international tournament match schedule on adductor strength and pain in elite youth football players. Twenty-two male players (age: 15.53 ± 0.48 years, height: 174.87 ± 7.59 cm, weight: 67.45 ± 7.40 kg) were included. The 5-second adductor squeeze strength was captured daily using a hand-held dynamometer during a 7-game international tournament. Pain during the squeeze test was recorded using numerical pain ratings (0-10) to quantify groin pain. Sessional rate of perceived exertion (sRPE) was collected during the tournament. Adductor strength changed significantly during the tournament in relation to time (F(14,294.94) = 1.89, p = 0.027) and cumulative sRPE (F(1,314) = 5.59, p = 0.019). Cumulative sRPE displayed a negative relationship with strength (B = -0.008, SE = 0.0032, 95%CI = -0.014,-0.002). The results indicate that for every 100 match sRPE arbitrary units the squeeze peak force reduced by 0.8N. Sixteen (72.7%) players demonstrated clinically meaningful strength reductions (&gt;15%) during the tournament. Match congestion impacts on hip adductor squeeze strength in male youth football players. A negative relationship between match sRPE and adductor strength exists. Player monitoring involving the 5-second adductor squeeze test can be captured effectively and is suitable to include as part of secondary injury prevention during or immediately after a congested tournament.</t>
  </si>
  <si>
    <t xml:space="preserve">https://search.ebscohost.com/login.aspx?direct=true&amp;db=mdc&amp;AN=28770661&amp;site=ehost-live </t>
  </si>
  <si>
    <t>The effects of intensified training on resting metabolic rate (RMR), body composition and performance in trained cyclists.</t>
  </si>
  <si>
    <t>Woods AL; Rice AJ; Garvican-Lewis LA; Wallett AM; Lundy B; Rogers MA; Welvaert M; Halson S; McKune A; Thompson KG</t>
  </si>
  <si>
    <t>e0191644</t>
  </si>
  <si>
    <t>10.1371/journal.pone.0191644</t>
  </si>
  <si>
    <t>Basal Metabolism; Bicycling; Body Composition; Adult; Appetite; Australia; Energy Intake; Heart Rate; Humans; Linear Models; Male</t>
  </si>
  <si>
    <t>Background: Recent research has demonstrated decreases in resting metabolic rate (RMR), body composition and performance following a period of intensified training in elite athletes, however the underlying mechanisms of change remain unclear. Therefore, the aim of the present study was to investigate how an intensified training period, designed to elicit overreaching, affects RMR, body composition, and performance in trained endurance athletes, and to elucidate underlying mechanisms. Method: Thirteen (n = 13) trained male cyclists completed a six-week training program consisting of a "Baseline" week (100% of regular training load), a "Build" week (~120% of Baseline load), two "Loading" weeks (~140, 150% of Baseline load, respectively) and two "Recovery" weeks (~80% of Baseline load). Training comprised of a combination of laboratory based interval sessions and on-road cycling. RMR, body composition, energy intake, appetite, heart rate variability (HRV), cycling performance, biochemical markers and mood responses were assessed at multiple time points throughout the six-week period. Data were analysed using a linear mixed modeling approach. Results: The intensified training period elicited significant decreases in RMR (F(5,123.36) = 12.0947, p = &lt;0.001), body mass (F(2,19.242) = 4.3362, p = 0.03), fat mass (F(2,20.35) = 56.2494, p = &lt;0.001) and HRV (F(2,22.608) = 6.5212, p = 0.005); all of which improved following a period of recovery. A state of overreaching was induced, as identified by a reduction in anaerobic performance (F(5,121.87) = 8.2622, p = &lt;0.001), aerobic performance (F(5,118.26) = 2.766, p = 0.02) and increase in total mood disturbance (F(5, 110.61) = 8.1159, p = &lt;0.001). Conclusion: Intensified training periods elicit greater energy demands in trained cyclists, which, if not sufficiently compensated with increased dietary intake, appears to provoke a cascade of metabolic, hormonal and neural responses in an attempt to restore homeostasis and conserve energy. The proactive monitoring of energy intake, power output, mood state, body mass and HRV during intensified training periods may alleviate fatigue and attenuate the observed decrease in RMR, providing more optimal conditions for a positive training adaptation.</t>
  </si>
  <si>
    <t xml:space="preserve">https://search.ebscohost.com/login.aspx?direct=true&amp;db=mdc&amp;AN=29444097&amp;site=ehost-live </t>
  </si>
  <si>
    <t>The Effects of Sleep Extension on Sleep, Performance, Immunity and Physical Stress in Rugby Players.</t>
  </si>
  <si>
    <t>Swinbourne R; Miller J; Smart D; Dulson DK; Gill N</t>
  </si>
  <si>
    <t>10.3390/sports6020042</t>
  </si>
  <si>
    <t>(1) Background: The purpose of the present study was to examine the efficacy of sleep extension in professional rugby players. The aims were to: (i) characterise sleep quantity in elite rugby players and determine changes in immune function and stress hormone secretion during a pre-season training programme; (ii) evaluate the efficacy of a sleep extension intervention in improving sleep, markers of physical stress, immune function and performance. (2) Methods: Twenty five highly trained athletes from a professional rugby team (age (mean ± SD) 25 ± 2.7 years; height 1.87 ± 0.07 m; weight 105 ± 12.1 kg) participated in a six week pre-post control-trial intervention study. Variables of sleep, immune function, sympathetic nervous activity, physiological stress and reaction times were measured. (3) Results: Sleep extension resulted in a moderate improvement in sleep quality scores ([mean; ± 90% confidence limits] &amp;minus;24.8%; ± 54.1%) and small to moderate increases in total sleep time (6.3%; ± 6.3%) and time in bed (7.3%; ± 3.6%). In addition, a small decrease in cortisol (&amp;minus;18.7%; ± 26.4%) and mean reaction times (&amp;minus;4.3%; ± 3.1%) was observed following the intervention, compared to the control. (4) Conclusions: Professional rugby players are at risk of poor sleep during pre-season training, with concomitant rises in physical stress. Implementing a sleep extension programme among professional athletes is recommended to improve sleep, with beneficial changes in stress hormone expression and reaction time performance.</t>
  </si>
  <si>
    <t xml:space="preserve">https://search.ebscohost.com/login.aspx?direct=true&amp;db=mdc&amp;AN=29910346&amp;site=ehost-live </t>
  </si>
  <si>
    <t>The influence of age-policy changes on the relative age effect across the Australian Rules football talent pathway.</t>
  </si>
  <si>
    <t>Haycraft JAZ; Kovalchik S; Pyne DB; Larkin P; Robertson S</t>
  </si>
  <si>
    <t>10.1016/j.jsams.2018.03.008</t>
  </si>
  <si>
    <t>Age Factors; Aptitude; Athletic Performance; Football; Policy; Adolescent; Australia; Cross-Sectional Studies; Humans; Male; Retrospective Studies; Young Adult</t>
  </si>
  <si>
    <t>Objectives: To identify the influence of age-policy changes on the relative age effect (RAE) across the Australian Football League (AFL) talent pathway. Design: Retrospective cross-sectional analysis of junior AFL players attending the National Draft (National), State, and State Under 16s (U16) combines between 1999-2016. Methods: Birth-date data was obtained for players attending the AFL State U16 (n=663, age: 15.9±0.4years), State (n=803, age: 19.1±1.7years), National (n=1111, age: 18.3±0.8years) combines. Corresponding aged-matched Australian general population birth rate data was also collected. Results: A chi-squared analysis comparing birth month distributions found all combine groups differed significantly from the general population (Under 16s: χ 2 =62.61, State: χ 2 =38.83, National: χ 2 =129.13, p&lt;0.001). Specifically, Under 16s had greater birth frequencies for months January to March (≥2%, p&lt;0.05), with more State players born in January (4.9%, p&lt;0.05). Age-policy changes at the National level reduced birth distribution bias for some months, however the RAE remained for March, June and July (3.9%, 6.1%, 4.3%, p&lt;0.05). State U16s and National players had 2-9% lower birth frequencies for November-December births compared general population. Conclusions: Selection bias exists towards older players is present at the AFL's State U16, and is maintained at State and National level combines. Age-policy changes are only partially successful at addressing the RAE at the National level, with alternative strategies also recommended in order to address the RAE across the AFL talent pathways. Crown Copyright © 2018. Published by Elsevier Ltd. All rights reserved.</t>
  </si>
  <si>
    <t xml:space="preserve">https://search.ebscohost.com/login.aspx?direct=true&amp;db=mdc&amp;AN=29622491&amp;site=ehost-live </t>
  </si>
  <si>
    <t>The Influence of Post-Exercise Cold-Water Immersion on Adaptive Responses to Exercise: A Review of the Literature.</t>
  </si>
  <si>
    <t>Broatch JR; Petersen A; Bishop DJ</t>
  </si>
  <si>
    <t>10.1007/s40279-018-0910-8</t>
  </si>
  <si>
    <t>Adaptation, Physiological physiology; Cold Temperature; Exercise physiology; Fatigue prevention &amp; control; Immersion; Muscle, Skeletal physiology; Water; Humans; Physical Endurance physiology; Recovery of Function physiology; Resistance Training methods</t>
  </si>
  <si>
    <t>Post-exercise cold-water immersion (CWI) is used extensively in exercise training as a means to minimise fatigue and expedite recovery between sessions. However, debate exists around its merit in long-term training regimens. While an improvement in recovery following a single session of exercise may improve subsequent training quality and stimulus, reports have emerged suggesting CWI may attenuate long-term adaptations to exercise training. Recent developments in the understanding of the molecular mechanisms governing the adaptive response to exercise in human skeletal muscle have provided potential mechanistic insight into the effects of CWI on training adaptations. Preliminary evidence suggests that CWI may blunt resistance signalling pathways following a single exercise session, as well as attenuate key long-term resistance training adaptations such as strength and muscle mass. Conversely, CWI may augment endurance signalling pathways and the expression of genes key to mitochondrial biogenesis following a single endurance exercise session, but have little to no effect on the content of proteins key to mitochondrial biogenesis following long-term endurance training. This review explores current evidence regarding the underlying molecular mechanisms by which CWI may alter cellular signalling and the long-term adaptive response to exercise in human skeletal muscle.</t>
  </si>
  <si>
    <t xml:space="preserve">https://search.ebscohost.com/login.aspx?direct=true&amp;db=mdc&amp;AN=29627884&amp;site=ehost-live </t>
  </si>
  <si>
    <t>The influence of sleep hygiene education on sleep in professional rugby league athletes.</t>
  </si>
  <si>
    <t>Caia J; Scott TJ; Halson SL; Kelly VG</t>
  </si>
  <si>
    <t>Sleep health</t>
  </si>
  <si>
    <t>10.1016/j.sleh.2018.05.002</t>
  </si>
  <si>
    <t>Elsevier Inc</t>
  </si>
  <si>
    <t>Athletes psychology; Health Education; Sleep; Sleep Hygiene; Adult; Athletes statistics &amp; numerical data; Competitive Behavior; Football; Humans; Program Evaluation; Seasons; Young Adult</t>
  </si>
  <si>
    <t>Objective: To examine the usefulness of sleep hygiene education on the sleep of professional rugby league athletes during a 10-week period of the competitive season. Design: Case study. Participants: Twenty-four professional rugby league athletes. Measurements: Initially, participants were monitored for a 2-week period using wrist activity monitors allowing baseline estimation of sleep. Following this, 12 athletes attended two 30-minute sleep hygiene education seminars delivered over successive weeks, whereas the remaining 12 athletes received no education. Sleep was monitored in all athletes across the 2-week education period and for a 2-week period 1 month following the end of education. Split-plot analysis of variance and paired t tests were used to examine differences in sleep across the duration of the investigation. Results: An initial sleep hygiene education seminar resulted in an earlier bedtime (effect size [ES] = 0.53 ± 0.48), more time in bed (ES = 0.53 ± 0.49), and increased sleep duration (ES = 0.47 ± 0.44). A second sleep hygiene education seminar resulted in more time in bed (ES = 0.84 ± 0.50) but a reduction in sleep efficiency (ES = 1.15 ± 0.48). One month following sleep hygiene education, sleep behavior was comparable to that observed at baseline. Conclusion: This study shows that sleep hygiene education can lead to positive changes in sleep behavior. However, changes in sleep from education may not be sustained following the initial intervention. Copyright © 2018 National Sleep Foundation. Published by Elsevier Inc. All rights reserved.</t>
  </si>
  <si>
    <t xml:space="preserve">https://search.ebscohost.com/login.aspx?direct=true&amp;db=mdc&amp;AN=30031530&amp;site=ehost-live </t>
  </si>
  <si>
    <t>The relationship between talent identification testing parameters and performance in elite junior swimmers.</t>
  </si>
  <si>
    <t>Mitchell LJG; Rattray B; Saunders PU; Pyne DB</t>
  </si>
  <si>
    <t>10.1016/j.jsams.2018.05.006</t>
  </si>
  <si>
    <t>Anthropometry; Aptitude; Athletic Performance; Swimming; Adolescent; Cross-Sectional Studies; Female; Humans; Male</t>
  </si>
  <si>
    <t>Objectives: In elite age-group swimming it is unclear to what degree common assessments of anthropometric, jump performance and front-crawl critical speed (CS) correlate with competition performance. Design: Cross-sectional field study. Methods: Forty eight elite national-level junior swimmers (22 males, age 16.5±1.2 y, 26 females, age 15.5±1.1 y; mean±SD) completed anthropometry tests, loaded and unloaded countermovement jumps and a series of front-crawl time-trials to determine CS and supra-CS distance capacity (D'). Years from peak height velocity (PHV) predicted from anthropometric data was used as a maturity indicator. Race performances within 3 months of testing were standardised to compare across distances and strokes. Multiple linear regression models were formulated using these data. Results: Loaded jump height, mass, D', PHV and humerus breadth best predicted 100m performance in males (R 2 Adj =0.88, p&lt;0.001), while loaded jump height, chest depth and sitting height predicted female 100m performances (R 2 Adj =0.74, p=0.002). Loaded and unloaded jump height, mass, CS and PHV (R 2 Adj =0.73, p=0.003) and CS and chest depth (R 2 Adj =0.33, p=0.03) predicted 200m performance in males and females respectively. Conclusions: Common assessments of power and aerobic capacity in elite junior swimmers explain more variance in competition performance for male than female swimmers, as well as for 100m rather than 200m events. These findings highlight the need to empirically assess testing regimens and suggest new tests in this population may be required. Copyright © 2018 Sports Medicine Australia. All rights reserved.</t>
  </si>
  <si>
    <t xml:space="preserve">https://search.ebscohost.com/login.aspx?direct=true&amp;db=mdc&amp;AN=29804652&amp;site=ehost-live </t>
  </si>
  <si>
    <t>The repeated bout effect can occur without mechanical and neuromuscular changes after a bout of eccentric exercise.</t>
  </si>
  <si>
    <t>Pincheira PA; Hoffman BW; Cresswell AG; Carroll TJ; Brown NAT; Lichtwark GA</t>
  </si>
  <si>
    <t>10.1111/sms.13222</t>
  </si>
  <si>
    <t>Adaptation, Physiological; Exercise physiology; Muscle Contraction; Muscle, Skeletal physiology; Adult; Biomechanical Phenomena; Electromyography; Female; Humans; Male; Myalgia; Torque; Ultrasonography; Young Adult</t>
  </si>
  <si>
    <t>Changes in muscle fascicle mechanics have been postulated to underpin the repeated bout effect (RBE) observed following exercise-induced muscle damage (EIMD). However, in the medial gastrocnemius (MG), mixed evidence exists on whether fascicle stretch amplitude influences the level of EIMD, thus questioning whether changes in fascicle mechanics underpin the RBE. An alternative hypothesis is that neural adaptations contribute to the RBE in this muscle. The aim of this study was to investigate the neuromechanical adaptations during and after repeated bouts of a highly controlled muscle lengthening exercise that aimed to maximize EIMD in MG. In all, 20 subjects performed two bouts of 500 active lengthening contractions (70% of maximal activation) of the triceps surae, separated by 7 days. Ultrasound constructed fascicle length-torque (L-T) curves of MG, surface electromyography (EMG), maximum torque production, and muscle soreness were assessed before, 2 hours and 2 days after each exercise bout. The drop in maximum torque (4%) and the increase in muscle soreness (24%) following the repeated bout were significantly less than following the initial bout (8% and 59%, respectively), indicating a RBE. However, neither shift in the L-T curve nor changes in EMG parameters were present. Furthermore, muscle properties during the exercise were not related to the EIMD or RBE. Our results show that there are no global changes in gastrocnemius mechanical behavior or neural activation that could explain the observed RBE in this muscle. We suggest that adaptations in the non-contractile elements of the muscle are likely to explain the RBE in the triceps surae. © 2018 John Wiley &amp; Sons A/S. Published by John Wiley &amp; Sons Ltd.</t>
  </si>
  <si>
    <t xml:space="preserve">https://search.ebscohost.com/login.aspx?direct=true&amp;db=mdc&amp;AN=29790207&amp;site=ehost-live </t>
  </si>
  <si>
    <t>The validity and intra-tester reliability of markerless motion capture to analyse kinematics of the BMX Supercross gate start.</t>
  </si>
  <si>
    <t>Grigg J; Haakonssen E; Rathbone E; Orr R; Keogh JWL</t>
  </si>
  <si>
    <t>10.1080/14763141.2017.1353129</t>
  </si>
  <si>
    <t>Bicycling physiology; Time and Motion Studies; Biomechanical Phenomena; Female; Humans; Joints physiology; Male; Movement; Range of Motion, Articular; Reproducibility of Results; Video Recording; Young Adult</t>
  </si>
  <si>
    <t>The aim of this study was to quantify the validity and intra-tester reliability of a novel method of kinematic measurement. The measurement target was the joint angles of an athlete performing a BMX Supercross (SX) gate start action through the first 1.2 s of movement in situ on a BMX SX ramp using a standard gate start procedure. The method employed GoPro® Hero 4 Silver (GoPro Inc., USA) cameras capturing data at 120 fps 720 p on a 'normal' lens setting. Kinovea 0.8.15 (Kinovea.org, France) was used for analysis. Tracking data was exported and angles computed in Matlab (Mathworks®, USA). The gold standard 3D method for joint angle measurement could not safely be employed in this environment, so a rigid angle was used. Validity was measured to be within 2°. Intra-tester reliability was measured by the same tester performing the analysis twice with an average of 55 days between analyses. Intra-tester reliability was high, with an absolute error &lt;6° and &lt;9 frames (0.075 s) across all angles and time points for key positions, respectively. The methodology is valid within 2° and reliable within 6° for the calculation of joint angles in the first ~1.25 s.</t>
  </si>
  <si>
    <t xml:space="preserve">https://search.ebscohost.com/login.aspx?direct=true&amp;db=mdc&amp;AN=29129121&amp;site=ehost-live </t>
  </si>
  <si>
    <t>The validity and reliability of the sphygmomanometer for hip strength assessment in Australian football players.</t>
  </si>
  <si>
    <t>Toohey LA; de Noronha M; Taylor C; Thomas J</t>
  </si>
  <si>
    <t>Physiotherapy theory and practice</t>
  </si>
  <si>
    <t>10.1080/09593985.2017.1374492</t>
  </si>
  <si>
    <t>Hip physiology; Muscle Strength; Physical Therapy Modalities instrumentation; Adult; Football physiology; Humans; Male; Muscle Strength Dynamometer; Reproducibility of Results; Sphygmomanometers; Young Adult</t>
  </si>
  <si>
    <t>Objectives: To investigate the intra-rater and inter-rater reliability of the sphygmomanometer for the assessment of the adductor squeeze test and isometric hip abduction strength and to investigate the concurrent validity of the sphygmomanometer for the assessment of hip muscular strength. Method: Thirty-two healthy adult male community Australian football players (age 23.9 ± 4.5 years) were assessed by two blinded raters that measured the strength of the adductor squeeze test and isometric hip abduction, using a commercially available sphygmomanometer. Concurrent validity was calculated using handheld dynamometry as the reference standard. Results: Moderate to high intra-rater reliability (ICC = 0.61 to 0.92) and high inter-rater reliability (ICC = 0.77 to 0.91) were found. High concurrent validity (Pearson's r = 0.77 to 0.91) was established. Sixteen of the participants reached the maximal reading of the sphygmomanometer, demonstrating a ceiling effect. Conclusions: A sphygmomanometer is a cost-efficient device that appears to be both reliable and valid for the assessment of hip strength, offering clinicians an alternate and easily accessible option to obtain objective strength data. A ceiling effect may limit the application of the sphygmomanometer as a strength measurement device in stronger individuals.</t>
  </si>
  <si>
    <t xml:space="preserve">https://search.ebscohost.com/login.aspx?direct=true&amp;db=mdc&amp;AN=28891759&amp;site=ehost-live </t>
  </si>
  <si>
    <t>Three-dimensional assessment of squats and drop jumps using the Microsoft Xbox One Kinect: Reliability and validity.</t>
  </si>
  <si>
    <t>Mentiplay BF; Hasanki K; Perraton LG; Pua YH; Charlton PC; Clark RA</t>
  </si>
  <si>
    <t>10.1080/02640414.2018.1445439</t>
  </si>
  <si>
    <t>Plyometric Exercise; Time and Motion Studies; Video Games; Anterior Cruciate Ligament Injuries physiopathology; Biomechanical Phenomena; Female; Hip physiology; Humans; Knee physiology; Male; Prospective Studies; Reproducibility of Results; Risk Factors; Torso physiology; Young Adult</t>
  </si>
  <si>
    <t>The Microsoft Xbox One Kinect™ (Kinect V2) contains a depth camera that can be used to manually identify anatomical landmark positions in three-dimensions independent of the standard skeletal tracking, and therefore has potential for low-cost, time-efficient three-dimensional movement analysis (3DMA). This study examined inter-session reliability and concurrent validity of the Kinect V2 for the assessment of coronal and sagittal plane kinematics for the trunk, hip and knee during single leg squats (SLS) and drop vertical jumps (DVJ). Thirty young, healthy participants (age = 23 ± 5yrs, male/female = 15/15) performed a SLS and DVJ protocol that was recorded concurrently by the Kinect V2 and 3DMA during two sessions, one week apart. The Kinect V2 demonstrated good to excellent reliability for all SLS and DVJ variables (ICC ≥ 0.73). Concurrent validity ranged from poor to excellent (ICC = 0.02 to 0.98) during the SLS task, although trunk, hip and knee flexion and two-dimensional measures of knee abduction and frontal plane projection angle all demonstrated good to excellent validity (ICC ≥ 0.80). Concurrent validity for the DVJ task was typically worse, with only two variables exceeding ICC = 0.75 (trunk and hip flexion). These findings indicate that the Kinect V2 may have potential for large-scale screening for ACL injury risk, however future prospective research is required.</t>
  </si>
  <si>
    <t xml:space="preserve">https://search.ebscohost.com/login.aspx?direct=true&amp;db=mdc&amp;AN=29493398&amp;site=ehost-live </t>
  </si>
  <si>
    <t>Toward a Common Understanding of Diet-Exercise Strategies to Manipulate Fuel Availability for Training and Competition Preparation in Endurance Sport.</t>
  </si>
  <si>
    <t>Burke LM; Hawley JA; Jeukendrup A; Morton JP; Stellingwerff T; Maughan RJ</t>
  </si>
  <si>
    <t>10.1123/ijsnem.2018-0289</t>
  </si>
  <si>
    <t>Athletic Performance physiology; Diet; Dietary Carbohydrates administration &amp; dosage; Dietary Fats administration &amp; dosage; Physical Endurance physiology; Sports Nutritional Physiological Phenomena; Diet, Carbohydrate-Restricted; Diet, High-Fat; Energy Metabolism; Humans; Sports physiology</t>
  </si>
  <si>
    <t>From the breakthrough studies of dietary carbohydrate and exercise capacity in the 1960s through to the more recent studies of cellular signaling and the adaptive response to exercise in muscle, it has become apparent that manipulations of dietary fat and carbohydrate within training phases, or in the immediate preparation for competition, can profoundly alter the availability and utilization of these major fuels and, subsequently, the performance of endurance sport (events &gt;30 min up to ∼24 hr). A variety of terms have emerged to describe new or nuanced versions of such exercise-diet strategies (e.g., train low, train high, low-carbohydrate high-fat diet, periodized carbohydrate diet). However, the nonuniform meanings of these terms have caused confusion and miscommunication, both in the popular press and among the scientific community. Sports scientists will continue to hold different views on optimal protocols of fuel support for training and competition in different endurance events. However, to promote collaboration and shared discussions, a commonly accepted and consistent terminology will help to strengthen hypotheses and experimental/experiential data around various strategies. We propose a series of definitions and explanations as a starting point for a more unified dialogue around acute and chronic manipulations of fat and carbohydrate in the athlete's diet, noting philosophies of approaches rather than a single/definitive macronutrient prescription. We also summarize some of the key questions that need to be tackled to help produce greater insight into this exciting area of sports nutrition research and practice.</t>
  </si>
  <si>
    <t xml:space="preserve">https://search.ebscohost.com/login.aspx?direct=true&amp;db=mdc&amp;AN=30249148&amp;site=ehost-live </t>
  </si>
  <si>
    <t>Training methods and analysis of races of a top level Paralympic swimming athlete.</t>
  </si>
  <si>
    <t>Puce L; Marinelli L; Pierantozzi E; Mori L; Pallecchi I; Bonifazi M; Bove M; Franchini E; Trompetto C</t>
  </si>
  <si>
    <t>10.12965/jer.1836254.127</t>
  </si>
  <si>
    <t>Training methods for Paralympic swimmers must take into account different pathologies, competitions classes, athlete's individual circumstances and peculiar physical adaptation mechanisms, hence general guidelines cannot be found in literature. In this study we present a training program, implemented for the physical preparation of a top level Paralympic swimmer. The athlete under study, affected by infantile cerebral palsy within a clinical picture of a spastic tetraparesis, by the end of 2016 was holder of Italian, European, world and Paralympic titles in the 400-m freestyle competition, S6 class. The training macrocycle was structured in a 3-fold periodization (three mesocycles), in view of the preparation to three international competitions. The 4-month training mesocycles prior to each competition differed substantially in terms of mileage load, intensity and recovery times. The first mesocycle was characterized by a sizeable low-intensity mileage load, the second one was shifted to lower mileage load, carried out at middle-to-high intensity levels, the third one entailed increased effort intensity, counterbalanced by lower mileage load. In all cases, recovery times were balanced to obtain optimized performance through physical adaptation to training stimuli, keeping into account the physiopatological response. Tapering phases were adjusted to maximize performance at competition. As an assessment of the effectiveness of the training method, correspondence between chronometric and technical parameters in the three competitions and the respective mesocycle training programs was found. The results of the present study may support the development of training guidelines for athletes affected by upper motor neuron lesions. Competing Interests: CONFLICT OF INTEREST No potential conflict of interest relevant to this article was reported.</t>
  </si>
  <si>
    <t xml:space="preserve">https://search.ebscohost.com/login.aspx?direct=true&amp;db=mdc&amp;AN=30276182&amp;site=ehost-live </t>
  </si>
  <si>
    <t>Training Quantification and Periodization during Live High Train High at 2100 M in Elite Runners: An Observational Cohort Case Study.</t>
  </si>
  <si>
    <t>Sharma AP; Saunders PU; Garvican-Lewis LA; Périard JD; Clark B; Gore CJ; Raysmith BP; Stanley J; Robertson EY; Thompson KG</t>
  </si>
  <si>
    <t>Altitude; Athletic Performance physiology; Periodicity; Physical Conditioning, Human methods; Running physiology; Adaptation, Physiological; Adult; Athletes; Cohort Studies; Female; Hemoglobins analysis; Humans; Male; Oxygen Consumption; Young Adult</t>
  </si>
  <si>
    <t>The questionable efficacy of Live High Train High altitude training (LHTH) is compounded by minimal training quantification in many studies. We sought to quantify the training load (TL) periodization in a cohort of elite runners completing LHTH immediately prior to competition. Eight elite runners (6 males, 2 females) with a V̇O 2peak of 70 ± 4 mL·kg -1 ·min -1 were monitored during 4 weeks of sea-level training, then 3-4 weeks LHTH in preparation for sea-level races following descent to sea-level. TL was calculated using the session rating of perceived exertion (sRPE) method, whereby duration of each training session was multiplied by its sRPE, then summated to give weekly TL. Performance was assessed in competition at sea-level before, and within 8 days of completing LHTH, with runners competing in 800 m (n = 1, 1500 m/mile (n = 6) and half-marathon (n = 1). Haemoglobin mass (Hb mass ) via CO rebreathing and running economy (RE) were assessed pre and post LHTH. Weekly TL during the first 2 weeks at altitude increased by 75% from preceding sea-level training (p = 0.0004, d = 1.65). During the final week at altitude, TL was reduced by 43% compared to the previous weeks (p = 0.002; d = 1.85). The ratio of weekly TL to weekly training volume increased by 17% at altitude (p = 0.009; d = 0.91) compared to prior sea-level training. Hb mass increased by 5% from pre- to post-LHTH (p = 0.006, d = 0.20). Seven athletes achieved lifetime personal best performances within 8 days post-altitude (overall improvement 1.1 ± 0.7%, p = 0.2, d = 0.05). S pecific periodization of training, including large increases in training load upon arrival to altitude (due to increased training volume and greater stress of training in hypoxia) and tapering, were observed during LHTH in elite runners prior to personal best performances. Periodization should be individualized and align with timing of competition post-altitude.</t>
  </si>
  <si>
    <t xml:space="preserve">https://search.ebscohost.com/login.aspx?direct=true&amp;db=mdc&amp;AN=30479529&amp;site=ehost-live </t>
  </si>
  <si>
    <t>Upper Respiratory Symptoms, Gut Health and Mucosal Immunity in Athletes.</t>
  </si>
  <si>
    <t>Colbey C; Cox AJ; Pyne DB; Zhang P; Cripps AW; West NP</t>
  </si>
  <si>
    <t>Suppl 1</t>
  </si>
  <si>
    <t>10.1007/s40279-017-0846-4</t>
  </si>
  <si>
    <t>Athletes; Immunity, Mucosal; Proteomics; Respiratory Tract Infections prevention &amp; control; Dietary Supplements; Exercise physiology; Humans; Probiotics; Sports Nutritional Physiological Phenomena</t>
  </si>
  <si>
    <t>Upper respiratory symptoms remain the most common illness in athletes. Upper respiratory symptoms during heavy training and competition may impair performance. Preventing illness is the primary reason for the use of supplements, such as probiotics and prebiotics, for maintaining or promoting gut health and immune function. While exercise-induced perturbations in the immune system may increase susceptibility to illness and infection, growing evidence indicates that upper respiratory symptoms are related to a breakdown in the homeostatic regulation of the mucosal immune system of the airways. Balancing protection of the respiratory tract with normal physiological functioning requires dynamic orchestration between a wide array of immune parameters. The intestinal microbiota regulates extra-intestinal immunity via the common mucosal immune system and new evidence implicates the microbiota of the nose, mouth and respiratory tract in upper respiratory symptoms. Omics' approaches now facilitate comprehensive profiling at the molecular and proteomic levels to reveal new pathways and molecules of immune regulation. New targets may provide for personalised nutritional and training interventions to maintain athlete health.</t>
  </si>
  <si>
    <t xml:space="preserve">https://search.ebscohost.com/login.aspx?direct=true&amp;db=mdc&amp;AN=29363055&amp;site=ehost-live </t>
  </si>
  <si>
    <t>Use of a tibial accelerometer to measure ground reaction force in running: A reliability and validity comparison with force plates.</t>
  </si>
  <si>
    <t>Raper DP; Witchalls J; Philips EJ; Knight E; Drew MK; Waddington G</t>
  </si>
  <si>
    <t>10.1016/j.jsams.2017.06.010</t>
  </si>
  <si>
    <t>Accelerometry instrumentation; Running physiology; Adult; Athletes; Biomechanical Phenomena; Exercise Test; Female; Humans; Male; Reproducibility of Results; Tibia; Young Adult</t>
  </si>
  <si>
    <t>Objectives: The use of microsensor technologies to conduct research and implement interventions in sports and exercise medicine has increased recently. The objective of this paper was to determine the validity and reliability of the ViPerform as a measure of load compared to vertical ground reaction force (GRF) as measured by force plates. Design: Absolute reliability assessment, with concurrent validity. Methods: 10 professional triathletes ran 10 trials over force plates with the ViPerform mounted on the mid portion of the medial tibia. Calculated vertical ground reaction force data from the ViPerform was matched to the same stride on the force plate. Bland-Altman (BA) plot of comparative measure of agreement was used to assess the relationship between the calculated load from the accelerometer and the force plates. Reliability was calculated by intra-class correlation coefficients (ICC) with 95% confidence intervals. Results: BA plot indicates minimal agreement between the measures derived from the force plate and ViPerform, with variation at an individual participant plot level. Reliability was excellent (ICC=0.877; 95% CI=0.825-0.917) in calculating the same vertical GRF in a repeated trial. Standard error of measure (SEM) equalled 99.83 units (95% CI=82.10-119.09), which, in turn, gave a minimum detectable change (MDC) value of 276.72 units (95% CI=227.32-330.07). Conclusions: The ViPerform does not calculate absolute values of vertical GRF similar to those measured by a force plate. It does provide a valid and reliable calculation of an athlete's lower limb load at constant velocity. Copyright © 2017 Sports Medicine Australia. Published by Elsevier Ltd. All rights reserved.</t>
  </si>
  <si>
    <t xml:space="preserve">https://search.ebscohost.com/login.aspx?direct=true&amp;db=mdc&amp;AN=28663135&amp;site=ehost-live </t>
  </si>
  <si>
    <t>Validation of a blood marker for plasma volume in endurance athletes during a live-high train-low altitude training camp.</t>
  </si>
  <si>
    <t>Lobigs LM; Garvican-Lewis LA; Vuong VL; Tee N; Gore CJ; Peeling P; Dawson B; Schumacher YO</t>
  </si>
  <si>
    <t>10.1002/dta.2370</t>
  </si>
  <si>
    <t>Altitude is a confounding factor within the Athlete Biological Passport (ABP) due, in part, to the plasma volume (PV) response to hypoxia. Here, a newly developed PV blood test is applied to assess the possible efficacy of reducing the influence of PV on the volumetric ABP markers; haemoglobin concentration ([Hb]) and the OFF-score. Endurance athletes (n=34) completed a 21-night simulated live-high train-low (LHTL) protocol (14 h.d -1 at 3000 m). Bloods were collected twice pre-altitude; at days 3, 8, and 15 at altitude; and 1, 7, 21, and 42 days post-altitude. A full blood count was performed on the whole blood sample. Serum was analysed for transferrin, albumin, calcium, creatinine, total protein, and low-density lipoprotein. The PV blood test (consisting of the serum markers, [Hb] and platelets) was applied to the ABP adaptive model and new reference predictions were calculated for [Hb] and the OFF-score, thereby reducing the PV variance component. The PV correction refined the ABP reference predictions. The number of atypical passport findings (ATPFs) for [Hb] was reduced from 7 of 5 subjects to 6 of 3 subjects. The OFF-score ATPFs increased with the PV correction (from 9 to 13, 99% specificity); most likely the result of more specific reference limit predictions combined with the altitude-induced increase in red cell production. Importantly, all abnormal biomarker values were identified by a low confidence value. Although the multifaceted, individual physiological response to altitude confounded some results, the PV model appears capable of reducing the impact of PV fluctuations on [Hb]. Copyright © 2018 John Wiley &amp; Sons, Ltd.</t>
  </si>
  <si>
    <t xml:space="preserve">https://search.ebscohost.com/login.aspx?direct=true&amp;db=mdc&amp;AN=29457371&amp;site=ehost-live </t>
  </si>
  <si>
    <t>Watch Where You're Going? Interferer Velocity and Visual Behavior Predicts Avoidance Strategy During Pedestrian Encounters.</t>
  </si>
  <si>
    <t>Croft JL; Panchuk D</t>
  </si>
  <si>
    <t>Journal of motor behavior</t>
  </si>
  <si>
    <t>10.1080/00222895.2017.1363695</t>
  </si>
  <si>
    <t>Accidents psychology; Biomechanical Phenomena; Pedestrians; Adult; Algorithms; Eye Movements; Humans; Male; Middle Aged; Psychomotor Performance; Visual Perception; Walking; Young Adult</t>
  </si>
  <si>
    <t>Pedestrians can avoid collisions with other pedestrians by modifying some combination of their velocity and their path. The authors investigated how path constraints (constrained or unconstrained), interferer velocity (slow or fast), and vision (looking or not looking; time spent looking at the interferer) influenced collision avoidance to an oblivious interferer walking on a perpendicular path. Ten participants walked 6 m to either a point or line target on either a constrained or unconstrained path while wearing an eye-tracking device and avoiding an oblivious interferer that walked at 2 speeds. Looking behavior and interferer velocity were reliable predictors of determining whether a pedestrian would pass in front of or behind the interferer, while path constraints were less reliable. These findings highlight the degeneracy in human movement systems and suggest that, in complex environments, behavior may not always be optimized for efficiency.</t>
  </si>
  <si>
    <t xml:space="preserve">https://search.ebscohost.com/login.aspx?direct=true&amp;db=mdc&amp;AN=28925812&amp;site=ehost-live </t>
  </si>
  <si>
    <t>12 days of altitude exposure at 1800 m does not increase resting metabolic rate in elite rowers.</t>
  </si>
  <si>
    <t>Woods AL; Garvican-Lewis LA; Rice A; Thompson KG</t>
  </si>
  <si>
    <t>10.1139/apnm-2016-0693</t>
  </si>
  <si>
    <t>Altitude; Basal Metabolism; Body Composition; Adult; Athletes; Australia; Body Mass Index; Energy Intake; Female; Humans; Male; Resistance Training; Young Adult</t>
  </si>
  <si>
    <t>Four elite rowers completed a 12-day altitude training camp living at 1800 m, and training at 1800 m and 915 m, to assess changes in resting metabolic rate (RMR). RMR and body composition were assessed pre- and postcamp. Downward trends in RMR and body composition were observed postaltitude: absolute RMR (percent change: -5.2%), relative RMR (-4.6%), body mass (-1.2%), and fat mass (-4.1%). These variations are likely related to the hypoxic stimulus and an imbalance between training load and energy intake.</t>
  </si>
  <si>
    <t>https://search.ebscohost.com/login.aspx?direct=true&amp;db=mdc&amp;AN=28278387&amp;site=ehost-live</t>
  </si>
  <si>
    <t>A multifactorial evaluation of illness risk factors in athletes preparing for the Summer Olympic Games.</t>
  </si>
  <si>
    <t>Drew MK; Vlahovich N; Hughes D; Appaneal R; Peterson K; Burke L; Lundy B; Toomey M; Watts D; Lovell G; Praet S; Halson S; Colbey C; Manzanero S; Welvaert M; West N; Pyne DB; Waddington G</t>
  </si>
  <si>
    <t>10.1016/j.jsams.2017.02.010</t>
  </si>
  <si>
    <t>Athletes psychology; Health Status Indicators; Sports Medicine statistics &amp; numerical data; Adult; Case-Control Studies; Cross-Sectional Studies; Depression epidemiology; Female; Humans; Male; Neuropsychological Tests; Risk Factors; Sex Factors; Stress, Psychological epidemiology; Surveys and Questionnaires; Young Adult</t>
  </si>
  <si>
    <t>Objectives: Illness can disrupt training and competition performance of athletes. Few studies have quantified the relative contribution of the known medical, behavioural and lifestyle risk factors. Design: Cross-sectional. Methods: Olympic athletes from 11 sports (n=221) were invited to complete questionnaires administered nine months before the Rio 2016 Olympic Games. These included the Depression, Anxiety and Stress Questionnaire (DASS-21), Perceived Stress Scale (PSS), Dispositional Resilience Scale (DRS), Recovery-Stress Questionnaire (REST-Q-52 item), Low Energy in Females Questionnaire (LEAF-Q), a modified Personal and Household Hygiene questionnaire, Epworth Sleepiness Scale, Pittsburgh Sleep Quality Index, and custom-made questionnaires on probiotic usage and travel. An illness (case) was defined as an event which limited training or competition for greater hours in the prior month. Odds ratios and attributable fractions in the population (AFP) were utilised for categorical variables with independent t-tests or Wilcoxon rank-sum for continuous variables. Results: Eighty-one athletes responded (male, n=26; female, n=55). There were 16 illness cases and 65 controls. Female athletes were at higher odds of illness (OR=9.4, 95%CI 1.3-410, p=0.01, AFP=0.84). Low energy availability (LEAF-Q score ≥8: OR=7.4, 95%CI 0.78-352, p=0.04, AFP=0.76), depression symptoms (DASS-21: depression score &gt;4, OR=8.4, 95%CI 1.1-59, p&lt;0.01; AFP=0.39) and higher perceived stress (PSS: 10-item, p=0.04) were significantly associated with illness. Conclusions: Female sex, low energy availability, and mental health are associated with sports incapacity (time loss) due to illness. Low energy availability had high attributable fractions in the population and stands out as a primary association with illness. Crown Copyright © 2017. Published by Elsevier Ltd. All rights reserved.</t>
  </si>
  <si>
    <t>https://search.ebscohost.com/login.aspx?direct=true&amp;db=mdc&amp;AN=28385561&amp;site=ehost-live</t>
  </si>
  <si>
    <t>A simple method for quantifying jump loads in volleyball athletes.</t>
  </si>
  <si>
    <t>Charlton PC; Kenneally-Dabrowski C; Sheppard J; Spratford W</t>
  </si>
  <si>
    <t>10.1016/j.jsams.2016.07.007</t>
  </si>
  <si>
    <t>Volleyball physiology; Adolescent; Healthy Volunteers; Humans; Male; Task Performance and Analysis</t>
  </si>
  <si>
    <t>Objectives: Evaluate the validity of a commercially available wearable device, the Vert, for measuring vertical displacement and jump count in volleyball athletes. Propose a potential method of quantifying external load during training and match play within this population. Design: Validation study. Methods: The ability of the Vert device to measure vertical displacement in male, junior elite volleyball athletes was assessed against reference standard laboratory motion analysis. The ability of the Vert device to count jumps during training and match-play was assessed via comparison with retrospective video analysis to determine precision and recall. A method of quantifying external load, known as the load index (LdIx) algorithm was proposed using the product of the jump count and average kinetic energy. Results: Correlation between two separate Vert devices and three-dimensional trajectory data were good to excellent for all jump types performed (r=0.83-0.97), with a mean bias of between 3.57-4.28cm. When matched against jumps identified through video analysis, the Vert demonstrated excellent precision (0.995-1.000) evidenced by a low number of false positives. The number of false negatives identified with the Vert was higher resulting in lower recall values (0.814-0.930). Conclusions: The Vert is a commercially available tool that has potential for measuring vertical displacement and jump count in elite junior volleyball athletes without the need for time-consuming analysis and bespoke software. Subsequently, allowing the collected data to better quantify load using the proposed algorithm (LdIx). Copyright © 2016 Sports Medicine Australia. Published by Elsevier Ltd. All rights reserved.</t>
  </si>
  <si>
    <t>https://search.ebscohost.com/login.aspx?direct=true&amp;db=mdc&amp;AN=27566896&amp;site=ehost-live</t>
  </si>
  <si>
    <t>Amazing Athletes With Ordinary Habits: Why Is Changing Behavior So Difficult?</t>
  </si>
  <si>
    <t>Halson SL; Lastella M</t>
  </si>
  <si>
    <t>10.1123/ijspp.2017-0632</t>
  </si>
  <si>
    <t>Athletes psychology; Habits; Health Behavior; Athletic Performance; Humans; Sleep</t>
  </si>
  <si>
    <t>https://search.ebscohost.com/login.aspx?direct=true&amp;db=mdc&amp;AN=29282990&amp;site=ehost-live</t>
  </si>
  <si>
    <t>Asymptomatic players with a patellar tendon abnormality do not adapt their landing mechanics when fatigued.</t>
  </si>
  <si>
    <t>Edwards S; Steele JR; McGhee DE; Purdam CR; Cook JL</t>
  </si>
  <si>
    <t>10.1080/02640414.2016.1189085</t>
  </si>
  <si>
    <t>Lower Extremity physiology; Lower Extremity physiopathology; Muscle Fatigue physiology; Patellar Ligament pathology; Patellar Ligament physiopathology; Plyometric Exercise; Adult; Asymptomatic Diseases; Biomechanical Phenomena; Cross-Sectional Studies; Humans; Movement physiology; Risk Factors; Tendinopathy physiopathology</t>
  </si>
  <si>
    <t>This study aimed to explore how asymptomatic athletes with a patellar tendon abnormality (PTA), who are at high risk of developing patellar tendinopathy, alter their landing technique and net patellar tendon loads generated in response to fatigue. Seven asymptomatic players with a PTA performed five successful vertical stop-jump trials before and after a fatigue protocol. Fatigue protocol involved participants repeatedly performing sets of 30 submaximal jump exercises on a sledge apparatus followed by 30 s rest until the task failure criteria were reached. Three-dimensional ground reaction forces, lower limb kinematics and net peak patellar tendon force were recorded during the stop-jump task. No significant between-fatigue condition differences in net patellar tendon loading, or most secondary outcome variables were observed. Only some fatigue changes were seen during the vertical landing phase. Asymptomatic PTA participants did not modify their landing technique or net patellar tendon loading during a stop-jump task in response to fatigue. The lack of between-fatigue condition differences displayed by the asymptomatic PTA participants during both landing phases suggest that these individuals may not be capable of sufficient movement variability in their landing strategies to adapt to fatigue.</t>
  </si>
  <si>
    <t>https://search.ebscohost.com/login.aspx?direct=true&amp;db=mdc&amp;AN=27241475&amp;site=ehost-live</t>
  </si>
  <si>
    <t>Australian football players experiencing groin pain exhibit reduced subscale scores of Activities of Daily Living and Sport and Recreation on the HAGOS questionnaire: A case-control study.</t>
  </si>
  <si>
    <t>Drew MK; Lovell G; Palsson TS; Chiarelli PE; Osmotherly PG</t>
  </si>
  <si>
    <t>10.1016/j.ptsp.2017.04.004</t>
  </si>
  <si>
    <t>Abdominal Pain diagnosis; Groin physiopathology; Soccer; Surveys and Questionnaires; Activities of Daily Living; Adult; Athletic Injuries diagnosis; Australia; Case-Control Studies; Humans; Male; Pain Measurement; Predictive Value of Tests; Quality of Life; Reproducibility of Results; Young Adult</t>
  </si>
  <si>
    <t>Objectives: To report normative responses to the HAGOS questionnaire for Australian football players and to determine whether any of the HAGOS questionnaire sub scales can differentiate players with and without groin pain. Design: Case-control. Setting: Clinical setting. Participants: Professional (n = 66) and semi-professional (n = 9) Australian football (AF) players with current groin pain (n = 16) and controls (n = 57) without current groin pain. Main Outcome Measure: The HAGOS subscales were compared between players with and without groin pain using the Wilcoxon rank-sum test with effect sizes (ES) calculated. Floor and ceiling effects were examined. A post-hoc factor analysis was undertaken. Results: Participants with current groin pain showed lower Physical Function of Daily Living (PFDL) and Physical Function in Sport and Recreation (PFSR) subscale scores (p &lt; 0.05, ES: 0.77 and 0.90 respectively). Any groin pain (current and/or historical) lowered the Pain and Quality of Life (QOL) subscale scores (p &lt; 0.05, ES: 0.38 and 0.72 respectively). Factor analysis showed 8 significant factors with one main factor identified representing items describing forceful activities (Eigenvalue = 18.02, Proportion = 0.49). Conclusions: The HAGOS can distinguish AF players with current groin pain in the PFDL and PFSR subscales but not in the other four subscales. Any current or historical groin pain lowers scores on the QOL and Pain sub scales. Level of Evidence: Aetiology, Individual Case-Control Study, Level 3b. Copyright © 2017. Published by Elsevier Ltd.</t>
  </si>
  <si>
    <t>https://search.ebscohost.com/login.aspx?direct=true&amp;db=mdc&amp;AN=28549243&amp;site=ehost-live</t>
  </si>
  <si>
    <t>Australian Institute of Sport and Australian Medical Association position statement on concussion in sport.</t>
  </si>
  <si>
    <t>Elkington LJ; Hughes DC</t>
  </si>
  <si>
    <t>10.5694/mja16.00741</t>
  </si>
  <si>
    <t>Athletic Injuries complications; Brain Concussion diagnosis; Brain Concussion therapy; Adolescent; Australia; Brain Concussion etiology; Child; Clinical Decision-Making; Health Education; Humans; Neurologic Examination; Sports Medicine</t>
  </si>
  <si>
    <t>Sport-related concussion is a growing health concern in Australia. Public concern is focused on the incidence and potential long term consequences of concussion. Children may be more prone to concussion and take longer to recover. The Australian Institute of Sport and the Australian Medical Association have collaborated to present the most contemporary evidence-based information in a format appropriate for all stakeholders. This position statement aims to ensure that participant safety and welfare is paramount when dealing with concussion in sport.First aid principles apply in the management of the athlete with suspected concussion, including protection of the cervical spine. Tools exist for use by members of the community, allowing identification of key symptoms and signs that raise the suspicion of concussion. Medical professionals should use the Sport Concussion Assessment Tool 3, in conjunction with clinical assessment for the diagnosis of concussion. Clinical assessment includes mechanism of injury, symptoms and signs, cognitive functioning, and neurological assessment including balance testing. In any situation where concussion is suspected, the athlete must be immediately removed from sport and not be allowed to return to activity until they have been assessed by a medical practitioner. "If in doubt, sit them out."A diagnosis of concussion requires immediate physical and cognitive rest, followed by a structured, graduated return to physical activity. Children require a longer period of recovery from concussion. Algorithms are provided for use by medical and non-medically trained stakeholders in the recognition and management of concussion.</t>
  </si>
  <si>
    <t>https://search.ebscohost.com/login.aspx?direct=true&amp;db=mdc&amp;AN=28076736&amp;site=ehost-live</t>
  </si>
  <si>
    <t>Behavioural treatment strategies improve adherence to lifestyle intervention programmes in adults with obesity: a systematic review and meta-analysis.</t>
  </si>
  <si>
    <t>Burgess E; Hassmén P; Welvaert M; Pumpa KL</t>
  </si>
  <si>
    <t>Clinical obesity</t>
  </si>
  <si>
    <t>10.1111/cob.12180</t>
  </si>
  <si>
    <t>Cognitive Behavioral Therapy methods; Life Style; Obesity therapy; Patient Compliance; Weight Reduction Programs methods; Adult; Exercise; Female; Humans; Male; Obesity psychology; Treatment Outcome; Weight Loss</t>
  </si>
  <si>
    <t>Poor adherence to lifestyle intervention remains a key factor hindering treatment effectiveness and health outcomes for adults with obesity. The aim of this systematic review and meta-analysis is to determine if behavioural treatment strategies (e.g. goal setting, motivational interviewing, relapse prevention, cognitive restructuring etc.) improve adherence to lifestyle intervention programmes in adults with obesity. Randomized controlled trials that investigated the use of behavioural treatment strategies in obesity management were identified by systematically reviewing the literature within Medline, PsycINFO, CINAHL, SPORTDiscus and Web of Science from their inception to August 2016. This meta-analysis shows that behavioural treatment interventions have a significant positive effect on session attendance (percentage) and physical activity (total min/week) in adults with obesity (M = 17.63 (95% confidence interval (CI) = 10.77, 24.50), z =5.0337, P &lt; 0.0001 and M = 105.98 (95% CI = 58.64, 153.32), z =4.3878, P &lt; 0.0001, respectively). This meta-analysis of randomized controlled trials provides evidence that behavioural treatment strategies improve adherence to lifestyle intervention programmes in adults with obesity. These strategies should be routinely incorporated into lifestyle intervention, obesity management and weight loss programmes with the aim of improving engagement and adherence. If adherence were improved, treatment effectiveness, health outcomes and the ultimate burden of chronic disease could also be improved. © 2017 World Obesity Federation.</t>
  </si>
  <si>
    <t>https://search.ebscohost.com/login.aspx?direct=true&amp;db=mdc&amp;AN=28199047&amp;site=ehost-live</t>
  </si>
  <si>
    <t>Biomedical Risk Factors of Achilles Tendinopathy in Physically Active People: a Systematic Review.</t>
  </si>
  <si>
    <t>Kozlovskaia M; Vlahovich N; Ashton KJ; Hughes DC</t>
  </si>
  <si>
    <t>10.1186/s40798-017-0087-y</t>
  </si>
  <si>
    <t>Background: Achilles tendinopathy is the most prevalent tendon disorder in people engaged in running and jumping sports. Aetiology of Achilles tendinopathy is complex and requires comprehensive research of contributing risk factors. There is relatively little research focussing on potential biomedical risk factors for Achilles tendinopathy. The purpose of this systematic review is to identify studies and summarise current knowledge of biomedical risk factors of Achilles tendinopathy in physically active people. Methods: Research databases were searched for relevant articles followed by assessment in accordance with PRISMA statement and standards of Cochrane collaboration. Levels of evidence and quality assessment designation were implemented in accordance with OCEBM levels of evidence and Newcastle-Ottawa Quality Assessment Scale, respectively. Results: A systematic review of the literature identified 22 suitable articles. All included studies had moderate level of evidence (2b) with the Newcastle-Ottawa score varying between 6 and 9. The majority (17) investigated genetic polymorphisms involved in tendon structure and homeostasis and apoptosis and inflammation pathways. Overweight as a risk factor of Achilles tendinopathy was described in five included studies that investigated non-genetic factors. COL5A1 genetic variants were the most extensively studied, particularly in association with genetic variants in the genes involved in regulation of cell-matrix interaction in tendon and matrix homeostasis. It is important to investigate connections and pathways whose interactions might be disrupted and therefore alter collagen structure and lead to the development of pathology. Polymorphisms in genes involved in apoptosis and inflammation, and Achilles tendinopathy did not show strong association and, however, should be considered for further investigation. Conclusions: This systematic review suggests that biomedical risk factors are an important consideration in the future study of propensity to the development of Achilles tendinopathy. The presence of certain medical comorbidities and genetic markers should be considered when contemplating the aetiology of Achilles tendinopathy. Further elucidation of biomedical risk factors will aid in the understanding of tendon pathology and patient risk, thereby informing prevention and management strategies for Achilles tendinopathy. Trial Registration: PROSPERO CRD42016036558.</t>
  </si>
  <si>
    <t>https://search.ebscohost.com/login.aspx?direct=true&amp;db=mdc&amp;AN=28523640&amp;site=ehost-live</t>
  </si>
  <si>
    <t>Body Mass and Weekly Training Distance Influence the Pain and Injuries Experienced by Runners Using Minimalist Shoes: A Randomized Controlled Trial.</t>
  </si>
  <si>
    <t>Fuller JT; Thewlis D; Buckley JD; Brown NA; Hamill J; Tsiros MD</t>
  </si>
  <si>
    <t>10.1177/0363546516682497</t>
  </si>
  <si>
    <t>Body Weight; Pain etiology; Physical Conditioning, Human; Running injuries; Shoes adverse effects; Shoes classification; Adolescent; Adult; Humans; Male; Pain physiopathology; South Australia; Young Adult</t>
  </si>
  <si>
    <t>Background: Minimalist shoes have been popularized as a safe alternative to conventional running shoes. However, a paucity of research is available investigating the longer-term safety of minimalist shoes. Purpose: To compare running-related pain and injury between minimalist and conventional shoes in trained runners and to investigate interactions between shoe type, body mass, and weekly training distance. Study Design: Randomized clinical trial; Level of evidence, 2. Methods: Sixty-one trained, habitual rearfoot footfall runners (mean ± SD: body mass, 74.6 ± 9.3 kg; weekly training distance, 25 ± 14 km) were randomly allocated to either minimalist or conventional shoes. Runners gradually increased the time spent running in their allocated shoes over 26 weeks. Running-related pain intensity was measured weekly by use of 100-mm visual analog scales. Time to first running-related injury was also assessed. Results: Interactions were found between shoe type and weekly training distance for weekly running-related pain; greater pain was experienced with minimalist shoes ( P &lt; .05), and clinically meaningful increases (&gt;10 mm) were noted when the weekly training distance was more than 35 km/wk. Eleven of 30 runners sustained an injury in conventional shoes compared with 16 of 31 runners in minimalist shoes (hazard ratio, 1.64; 95% confidence interval, 0.63-4.27; P = .31). A shoe × body mass interaction was found for time to first running-related injury ( P = .01). For runners using minimalist shoes, relative to runners using conventional shoes, the risk of sustaining an injury became more likely with increasing body mass above 71.4 kg, and the risk was moderately increased (hazard ratio, 2.00; 95% confidence interval, 1.10-3.66; P = .02) for runners using minimalist shoes who had a body mass of 85.7 kg. Conclusions: Runners should limit weekly training distance in minimalist shoes to avoid running-related pain. Heavier runners are at greater risk of injury when running in minimalist shoes. Registration: Australian New Zealand Clinical Trials Registry (ACTRN12613000642785).</t>
  </si>
  <si>
    <t>https://search.ebscohost.com/login.aspx?direct=true&amp;db=mdc&amp;AN=28129518&amp;site=ehost-live</t>
  </si>
  <si>
    <t>Choices enhance punching performance of competitive kickboxers.</t>
  </si>
  <si>
    <t>Halperin I; Chapman DW; Martin DT; Lewthwaite R; Wulf G</t>
  </si>
  <si>
    <t>Psychological research</t>
  </si>
  <si>
    <t>10.1007/s00426-016-0790-1</t>
  </si>
  <si>
    <t>Athletes psychology; Athletic Performance physiology; Athletic Performance psychology; Boxing physiology; Boxing psychology; Choice Behavior physiology; Motor Activity physiology; Adult; Humans; Male</t>
  </si>
  <si>
    <t>While self-controlled practice has been shown to enhance motor learning with various populations and novel tasks, it remains unclear if such effects would be found with athletes completing familiar tasks. Study 1 used a single case-study design with a world-champion kickboxer. We investigated whether giving the athlete a choice over the order of punches would affect punching velocity and impact force. Separated by 1 min of rest, the athlete completed 2 rounds of 12 single, maximal effort punches (lead straight, rear straight, lead hook and rear hook) delivered to a punching integrator in a counterbalanced order over six testing days. In one round the punches were delivered in a predetermined order while in the second round the order was self-selected by the athlete. In the choice condition, the world champion punched with greater velocities (6-11 %) and impact forces (5-10 %). In Study 2, the same testing procedures were repeated with 13 amateur male kickboxers over 2 testing days. Similar to Study 1, the athletes punched with significantly greater velocities (6 %, p &lt; 0.05) and normalised impact forces (2 %, p &lt; 0.05) in the choice condition. These findings complement research on autonomy support in motor learning by demonstrating immediate advantages in force production and velocity with experienced athletes.</t>
  </si>
  <si>
    <t>https://search.ebscohost.com/login.aspx?direct=true&amp;db=mdc&amp;AN=27465395&amp;site=ehost-live</t>
  </si>
  <si>
    <t>Developing a multi-component immune model for evaluating the risk of respiratory illness in athletes.</t>
  </si>
  <si>
    <t>Gleeson M; Pyne DB; Elkington LJ; Hall ST; Attia JR; Oldmeadow C; Wood LG; Callister R</t>
  </si>
  <si>
    <t>Athletes; Cytokines genetics; Inflammation genetics; Respiratory Tract Infections immunology; Adult; C-Reactive Protein analysis; Cytokines blood; DNA, Viral isolation &amp; purification; Genetic Predisposition to Disease; Genotype; Herpesvirus 4, Human isolation &amp; purification; Humans; Immunoglobulin A analysis; Inflammation immunology; Male; Oxygen Consumption; Risk Factors; Saliva immunology; Young Adult</t>
  </si>
  <si>
    <t>Clinical and laboratory identification of the underlying risk of respiratory illness in athletes has proved problematic. The aim of this study was to determine whether clinical data, combined with immune responses to standardised exercise protocols and genetic cytokine polymorphism status, could identify the risk of respiratory illness (symptoms) in a cohort of highly-trained athletes. Male endurance athletes (n=16; VO2max 66.5 ± 5.1 mL.kg-1.min-1) underwent a clinical evaluation of known risk factors by a physician and comprehensive laboratory analysis of immune responses both at rest and after two cycling ergometer tests: 60 min at 65% VO2max (LONG); and 6 x 3 min intervals at 90% VO2max (INTENSE). Blood tests were performed to determine Epstein Barr virus (EBV) status and DNA was genotyped for a panel of cytokine gene polymorphisms. Saliva was collected for measurement of IgA and detection of EBV DNA. Athletes were then followed for 9 months for self-reported episodes of respiratory illness, with confirmation of the underlying cause by a sports physician. There were no associations with risk of respiratory illness identified for any parameter assessed in the clinical evaluations. The laboratory parameters associated with an increased risk of respiratory illnesses in highly-trained athletes were cytokine gene polymorphisms for the high expression of IL-6 and IFN-ɣ; expression of EBV-DNA in saliva; and low levels of salivary IgA concentration. A genetic risk score was developed for the cumulative number of minor alleles for the cytokines evaluated. Athletes prone to recurrent respiratory illness were more likely to have immune disturbances that allow viral reactivation, and a genetic predisposition to pro-inflammatory cytokine responses to intense exercise. Copyright © 2016 International Society of Exercise and Immunology. All rights reserved.</t>
  </si>
  <si>
    <t>https://search.ebscohost.com/login.aspx?direct=true&amp;db=mdc&amp;AN=28230530&amp;site=ehost-live</t>
  </si>
  <si>
    <t>Development of a Skill Acquisition Periodisation Framework for High-Performance Sport.</t>
  </si>
  <si>
    <t>Farrow D; Robertson S</t>
  </si>
  <si>
    <t>10.1007/s40279-016-0646-2</t>
  </si>
  <si>
    <t>Exercise physiology; Motor Skills physiology; Sports physiology; Athletic Performance; Humans; Task Performance and Analysis</t>
  </si>
  <si>
    <t>Unlike physical training, skill acquisition does not currently utilise periodisation to plan, monitor and evaluate programs. Development of a skill acquisition periodisation framework would allow for systematic investigation into the acute and longitudinal effectiveness of such interventions. Using the physical training literature as a reference point, a skill-training periodisation framework was developed for use in high-performance sport. Previous research undertaken in skill acquisition was used to provide support for the framework. The specificity, progression, overload, reversibility and tedium (SPORT) acronym was adopted. Each principle was then re-conceptualised so that it related to relevant skill acquisition principles. Methods for the measurement and analysis of each principle are provided and future directions for the longitudinal assessment of skill acquisition are discussed. The skill acquisition periodisation framework proposed in this study represents an opportunity for the principles relating to skill acquisition training to be measured in a systematic and holistic manner. This can also allow for a more sophisticated evaluation of the efficacy of longitudinal training programmes and interventions designed for sustained skill enhancement.</t>
  </si>
  <si>
    <t>https://search.ebscohost.com/login.aspx?direct=true&amp;db=mdc&amp;AN=27873190&amp;site=ehost-live</t>
  </si>
  <si>
    <t>Discovering frequently recurring movement sequences in team-sport athlete spatiotemporal data.</t>
  </si>
  <si>
    <t>Sweeting AJ; Aughey RJ; Cormack SJ; Morgan S</t>
  </si>
  <si>
    <t>10.1080/02640414.2016.1273536</t>
  </si>
  <si>
    <t>Athletic Performance physiology; Competitive Behavior physiology; Movement physiology; Acceleration; Accelerometry; Data Mining; Female; Humans; Time and Motion Studies; Young Adult</t>
  </si>
  <si>
    <t>Athlete external load is typically analysed from predetermined movement thresholds. The combination of movement sequences and differences in these movements between playing positions is also currently unknown. This study developed a method to discover the frequently recurring movement sequences across playing position during matches. The external load of 12 international female netball athletes was collected by a local positioning system during four national-level matches. Velocity, acceleration and angular velocity were calculated from positional (X, Y) data, clustered via one-dimensional k-means and assigned a unique alphabetic label. Combinations of velocity, acceleration and angular velocity movement were compared using the Levenshtein distance and similarities computed by the longest common substring problem. The contribution of each movement sequence, according to playing position and relative to the wider data set, was then calculated via the Minkowski distance. A total of 10 frequently recurring combinations of movement were discovered, regardless of playing position. Only the wing attack, goal attack and goal defence playing positions are closely related. We developed a technique to discover the movement sequences, according to playing position, performed by elite netballers. This methodology can be extended to discover the frequently recurring movements within other team sports and across levels of competition.</t>
  </si>
  <si>
    <t>https://search.ebscohost.com/login.aspx?direct=true&amp;db=mdc&amp;AN=28282752&amp;site=ehost-live</t>
  </si>
  <si>
    <t>Do players and staff sleep more during the pre- or competitive season of elite rugby league?</t>
  </si>
  <si>
    <t>10.1080/17461391.2017.1335348</t>
  </si>
  <si>
    <t>Athletes; Football; Seasons; Sleep; Actigraphy; Adult; Australia; Humans; Male; Time Factors; Young Adult</t>
  </si>
  <si>
    <t>This study establishes the sleep behaviour of players and staff during the pre- and competitive seasons of elite rugby league. For seven days during both the pre- and competitive seasons, seven rugby league players and nine full-time staff from one professional Australian rugby league club had their sleep monitored via wrist actigraphy and self-report sleep diaries. Two-way repeated measures analysis of variance determined differences between the pre- and competitive season in players and staff, with effect sizes (ES) used to interpret the practical magnitude of differences. Findings show an earlier bed time and wake time for players (-34 min, ES = 1.5; ±0.5 and -39 min, 2.1; ±0.5 respectively) and staff (-29 min, ES = 0.8; ±0.3 and -35 min, ES = 1.7; ±0.4 respectively) during pre-season when compared to the competitive season. Despite this, no differences were seen when considering the amount of time in bed, sleep duration or sleep efficiency obtained between the pre- and competitive seasons. Our results suggest that early morning training sessions scheduled during pre-season advances wake time in elite rugby league. However, both players and staff can aim to avoid reductions in sleep duration and sleep efficiency with subsequent adjustment of night time sleep patterns. This may be particularly pertinent for staff, who wake earlier than players during both the pre- and competitive seasons.</t>
  </si>
  <si>
    <t>https://search.ebscohost.com/login.aspx?direct=true&amp;db=mdc&amp;AN=28585467&amp;site=ehost-live</t>
  </si>
  <si>
    <t>Effectiveness of a 16 week gymnastics curriculum at developing movement competence in children.</t>
  </si>
  <si>
    <t>Rudd JR; Barnett LM; Farrow D; Berry J; Borkoles E; Polman R</t>
  </si>
  <si>
    <t>10.1016/j.jsams.2016.06.013</t>
  </si>
  <si>
    <t>Gymnastics; Motor Activity; Motor Skills; Non-Randomized Controlled Trials as Topic; Physical Education and Training; Case-Control Studies; Child; Curriculum; Female; Humans; Male</t>
  </si>
  <si>
    <t>Objectives: Internationally, children's movement competence levels are low. This study's aim was to evaluate the effectiveness of a 16 week gymnastics curriculum on stability, locomotive and object control skills and general body coordination. It was hypothesised that the gymnastics intervention group would demonstrate significant improvements beyond a PE comparison group. Design: This study used a non-randomised control design. The intervention and comparison groups were drawn from three primary schools. The study followed the transparent reporting of evaluations with nonrandomized designs (TREND) statement for reporting. Methods: A total of 333 children (51% girls, 41% intervention) with a mean age of 8.1 years (SD=1.1) participated. Intervention children (16 weeks×2h of gymnastics) were compared to children who received (16×2h) standard PE curriculum. Children's movement competence was assessed using the Test of Gross Motor Development-2, Stability Skills Assessment and the Körper-Koordinationstest für Kinder. Multilevel linear mixed models, accounting for variation at the class level and adjusted for age and sex, were used to assess intervention relative to comparison differences in all aspects of movement competence. Results: Stability and object control skills showed a significant (p&lt;0.05) intervention×time interaction effect. No difference was found in locomotor skills or general coordination. Conclusions: Gymnastics is effective at developing stability skills and object control skills without hindering the development of locomotor skills or general coordination. Accelerated learning of stability skills may support the development of more complex movement skills. Copyright © 2016 Sports Medicine Australia. Published by Elsevier Ltd. All rights reserved.</t>
  </si>
  <si>
    <t>https://search.ebscohost.com/login.aspx?direct=true&amp;db=mdc&amp;AN=27526635&amp;site=ehost-live</t>
  </si>
  <si>
    <t>Effects of Altering Trunk Position during Landings on Patellar Tendon Force and Pain.</t>
  </si>
  <si>
    <t>Scattone Silva R; Purdam CR; Fearon AM; Spratford WA; Kenneally-Dabrowski C; Preston P; Serrão FV; Gaida JE</t>
  </si>
  <si>
    <t>10.1249/MSS.0000000000001369</t>
  </si>
  <si>
    <t>Arthralgia physiopathology; Knee Joint physiopathology; Lower Extremity physiopathology; Patellar Ligament physiopathology; Plyometric Exercise; Torso physiology; Adolescent; Adult; Basketball injuries; Basketball physiology; Biomechanical Phenomena; Humans; Knee Joint physiology; Lower Extremity physiology; Male; Movement; Patellar Ligament physiology; Posture physiology; Tendinopathy physiopathology; Volleyball injuries; Volleyball physiology; Young Adult</t>
  </si>
  <si>
    <t>Purpose: This study aimed to verify the immediate effects of altering sagittal plane trunk position during jump landings on lower limb biomechanics, patellar tendon force, and pain of athletes with and without patellar tendinopathy. Methods: Twenty-one elite male athletes were categorized into three groups: athletes with patellar tendinopathy (TG; n = 7), asymptomatic athletes with patellar tendon abnormalities (n = 7), and asymptomatic athletes without tendon abnormalities (CG; n = 7). A biomechanical evaluation was conducted while the athletes performed drop landings from a bench in a self-selected trunk position (SS). Afterward, the athletes were randomly assigned to land with either a flexed trunk position (FLX) or an extended trunk position (EXT). Variables of interest for this study included sagittal plane peak kinematics, kinetics, patellar tendon force, and pain during the landing tasks. Results: Peak patellar tendon force, knee extensor moment, and knee pain decreased in the FLX landing compared with the SS landing, regardless of group. In addition, peak patellar tendon force, knee extensor moment, and vertical ground reaction force were smaller in the FLX landing compared with the EXT landing. The TG had smaller peak ankle dorsiflexion compared with the CG during jump landings, regardless of trunk position. Conclusions: Landing with greater trunk flexion decreased patellar tendon force in elite jumping athletes. An immediate decrease in knee pain was also observed in symptomatic athletes with a more flexed trunk position during landing. Increasing trunk flexion during landing might be an important strategy to reduce tendon overload in jumping athletes.</t>
  </si>
  <si>
    <t>https://search.ebscohost.com/login.aspx?direct=true&amp;db=mdc&amp;AN=28704344&amp;site=ehost-live</t>
  </si>
  <si>
    <t>Elite sprint swimming performance is enhanced by completion of additional warm-up activities.</t>
  </si>
  <si>
    <t>McGowan CJ; Pyne DB; Thompson KG; Raglin JS; Osborne M; Rattray B</t>
  </si>
  <si>
    <t>10.1080/02640414.2016.1223329</t>
  </si>
  <si>
    <t>Athletic Performance physiology; Swimming physiology; Warm-Up Exercise physiology; Body Temperature physiology; Clothing; Cross-Over Studies; Female; Heart Rate; Hot Temperature; Humans; Lactic Acid blood; Male; Oxygen Consumption; Perception; Physical Exertion physiology; Spectroscopy, Near-Infrared; Time Factors; Young Adult</t>
  </si>
  <si>
    <t>This study investigated the effect of completing additional warm-up strategies in the transition phase between the pool warm up and the start of a race on elite sprint swimming performance. Twenty-five elite swimmers (12 men, 20 ± 3 years; 13 women, 20 ± 2 years, performance standard ~807 FINA2014 points) completed a standardised pool warm up followed by a 30-min transition phase and a 100-m freestyle time trial. During the transition phase, swimmers wore a tracksuit jacket with integrated heating elements and performed a dry land-based exercise routine (Combo), or a conventional tracksuit and remained seated (Control). Start (1.5% ± 1.0%, P = 0.02; mean ± 90% confidence limits) and 100-m time trial (0.8% ± 0.4%, P &lt; 0.01) performances were improved in Combo. Core temperature declined less (-0.2°C ± 0.1°C versus -0.5°C ± 0.1°C, P = 0.02) during the transition phase and total local (trapezius) haemoglobin concentration was greater before the time trial in Combo (81 µM ± 25 µM versus 30 µM ± 18 µM, P &lt; 0.01; mean ± standard deviation) than in Control. Combining swimmers traditional pool warm up with passive heating via heated jackets and completion of dry land-based exercises in the transition phase improves elite sprint swimming performance by ~0.8%.</t>
  </si>
  <si>
    <t>https://search.ebscohost.com/login.aspx?direct=true&amp;db=mdc&amp;AN=27631544&amp;site=ehost-live</t>
  </si>
  <si>
    <t>Ethics of genetic testing and research in sport: a position statement from the Australian Institute of Sport.</t>
  </si>
  <si>
    <t>Vlahovich N; Fricker PA; Brown MA; Hughes D</t>
  </si>
  <si>
    <t>10.1136/bjsports-2016-096661</t>
  </si>
  <si>
    <t>Ethics, Research; Genetic Testing ethics; Sports ethics; Academies and Institutes; Aptitude; Athletes; Athletic Injuries genetics; Athletic Performance; Australia; Direct-To-Consumer Screening and Testing; Genomics ethics; Guidelines as Topic; Humans</t>
  </si>
  <si>
    <t>As Australia's peak high-performance sport agency, the Australian Institute of Sport (AIS) has developed this position statement to address the implications of recent advances in the field of genetics and the ramifications for the health and well-being of athletes. Genetic testing has proven of value in the practice of clinical medicine. There are, however, currently no scientific grounds for the use of genetic testing for athletic performance improvement, sport selection or talent identification. Athletes and coaches should be discouraged from using direct-to-consumer genetic testing because of its lack of validation and replicability and the lack of involvement of a medical practitioner in the process. The transfer of genetic material or genetic modification of cells for performance enhancement is gene doping and should not be used on athletes. There are, however, valid roles for genetic research and the AIS supports genetic research which aims to enhance understanding of athlete susceptibility to injury or illness. Genetic research is only to be conducted after careful consideration of a range of ethical concerns which include the provision of adequate informed consent. The AIS is committed to providing leadership in delivering an ethical framework that protects the well-being of athletes and the integrity of sport, in the rapidly changing world of genomic science. Competing Interests: Conflicts of Interest: None declared. Published by the BMJ Publishing Group Limited. For permission to use (where not already granted under a licence) please go to http://www.bmj.com/company/products-services/rights-and-licensing/.</t>
  </si>
  <si>
    <t>https://search.ebscohost.com/login.aspx?direct=true&amp;db=mdc&amp;AN=27899345&amp;site=ehost-live</t>
  </si>
  <si>
    <t>Exercise Interventions for the Prevention and Treatment of Groin Pain and Injury in Athletes: A Critical and Systematic Review.</t>
  </si>
  <si>
    <t>Charlton PC; Drew MK; Mentiplay BF; Grimaldi A; Clark RA</t>
  </si>
  <si>
    <t>10.1007/s40279-017-0742-y</t>
  </si>
  <si>
    <t>Athletic Injuries therapy; Exercise Therapy methods; Groin injuries; Musculoskeletal Pain therapy; Pain Management methods; Adolescent; Athletes; Female; Humans; Infant, Newborn; Male; Musculoskeletal Pain etiology; Pain Measurement; Treatment Outcome</t>
  </si>
  <si>
    <t>Background: Groin injury is a common musculoskeletal complaint for athletes competing in a variety of sports. The extent to which exercise interventions incorporating external load are an appropriate option for the treatment and prevention of groin injury in athletes is not yet clear. Objectives: The aim of this review was to describe and evaluate exercise therapy interventions and outcomes for the treatment and prevention of groin injury with specific attention to application of external load. Data Sources: The databases Medline, PubMed, SPORTDiscus, Web of Science, and Cochrane were searched on 18 April 2016. Study Eligibility Criteria: This review was registered as PROSPERO CRD42016037752 and a systematic search was conducted with the following inclusion criteria: any study design evaluating exercise interventions for the prevention or treatment of groin pain in athletes. Data Analysis: Two independent authors screened search results, performed data extraction, assessed risk of bias using the modified Downs and Black appraisal tool and determined strength and level of evidence. Reporting standards for exercise interventions were assessed using the Consensus for Exercise Reporting Template (CERT). Results: A total of 1320 titles were identified with 14 studies satisfying the inclusion criteria, four (29%) of which demonstrated low risk of bias. Ten (71%) studies utilised external load as a component of the exercise intervention. Reporting standards for exercise intervention scores ranged from 0 to 63%. Conclusion: There is limited evidence from level 2 and 3 studies indicating exercise therapy may reduce the incidence and hazard risk of sustaining a groin injury in athletes. There is strong evidence from level 4 studies indicating exercise therapy is beneficial as a treatment for groin injury in athletes in terms of symptom remission, return to sport and recurrence outcomes. However, there are limited studies with low risk of bias, and exercise interventions for the treatment of groin injury are poorly described.</t>
  </si>
  <si>
    <t>https://search.ebscohost.com/login.aspx?direct=true&amp;db=mdc&amp;AN=28497284&amp;site=ehost-live</t>
  </si>
  <si>
    <t>Experimental pain in the groin may refer into the lower abdomen: Implications to clinical assessments.</t>
  </si>
  <si>
    <t>Drew MK; Palsson TS; Hirata RP; Izumi M; Lovell G; Welvaert M; Chiarelli P; Osmotherly PG; Graven-Nielsen T</t>
  </si>
  <si>
    <t>10.1016/j.jsams.2017.04.007</t>
  </si>
  <si>
    <t>Abdominal Pain physiopathology; Pain Threshold physiology; Pain, Referred physiopathology; Quadriceps Muscle physiopathology; Abdominal Pain chemically induced; Adult; Case-Control Studies; Cross-Over Studies; Electromyography; Groin; Humans; Male; Musculoskeletal Pain chemically induced; Musculoskeletal Pain diagnosis; Musculoskeletal Pain physiopathology; Pain Measurement; Pain Threshold drug effects; Pain, Referred chemically induced; Quadriceps Muscle drug effects; Saline Solution, Hypertonic pharmacology; Surveys and Questionnaires; Tendons drug effects; Tendons physiopathology; Visual Analog Scale; Young Adult</t>
  </si>
  <si>
    <t>Objectives: To investigate the effects of experimental adductor pain on the pain referral pattern, mechanical sensitivity and muscle activity during common clinical tests. Design: Repeated-measures design. Methods: In two separate sessions, 15 healthy males received a hypertonic (painful) and isotonic (control) saline injection to either the adductor longus (AL) tendon to produce experimental groin pain or into the rectus femoris (RF) tendon as a painful control. Pain intensity was recorded on a visual analogue scale (VAS) with pain distribution indicated on body maps. Pressure pain thresholds (PPT) were assessed bilaterally in the groin area. Electromyography (EMG) of relevant muscles was recorded during six provocation tests. PPT and EMG assessment were measured before, during and after experimental pain. Results: Hypertonic saline induced higher VAS scores than isotonic saline (p&lt;0.001), and a local pain distribution in 80% of participants. A proximal pain referral to the lower abdominal region in 33% (AL) and 7% (RF) of participants. Experimental pain (AL and RF) did not significantly alter PPT values or the EMG amplitude in groin or trunk muscles during provocation tests when forces were matched with baseline. Conclusions: This study demonstrates that AL tendon pain was distributed locally in the majority of participants but may refer to the lower abdomen. Experimental adductor pain did not significantly alter the mechanical sensitivity or muscle activity patterns. Copyright © 2017 Sports Medicine Australia. Published by Elsevier Ltd. All rights reserved.</t>
  </si>
  <si>
    <t>https://search.ebscohost.com/login.aspx?direct=true&amp;db=mdc&amp;AN=28526226&amp;site=ehost-live</t>
  </si>
  <si>
    <t>Exploring the applicability of the contextual interference effect in sports practice.</t>
  </si>
  <si>
    <t>Farrow D; Buszard T</t>
  </si>
  <si>
    <t>Progress in brain research</t>
  </si>
  <si>
    <t>10.1016/bs.pbr.2017.07.002</t>
  </si>
  <si>
    <t>Attention physiology; Motor Skills physiology; Practice, Psychological; Sports psychology; Athletic Performance; Humans; Sports physiology</t>
  </si>
  <si>
    <t>This review will consider three key issues considered critical when determining the efficacy of the contextual interference effect when applied to sports practice. First, the issue of complexity is considered in relation to the amount of interference actually needed in the applied sports setting to create effective learning. Second, the traditional underpinning mechanism/s of contextual interference are discussed in relation to recent neurophysiological perspectives on their viability. A counter-position to these dominant theories is also presented drawing on an implicit learning framework. The final issue considers the typical measures of learning used within the contextual interference literature and scrutinizes them relative to the needs of bridging the apparent theory-practice divide. The concluding section then presents a model to measure the degree of contextual interference within the applied setting, which in turn offers both future research directions as well as guidelines for practitioners. © 2017 Elsevier B.V. All rights reserved.</t>
  </si>
  <si>
    <t>https://search.ebscohost.com/login.aspx?direct=true&amp;db=mdc&amp;AN=29031473&amp;site=ehost-live</t>
  </si>
  <si>
    <t>Factors influencing the post-exercise hepcidin-25 response in elite athletes.</t>
  </si>
  <si>
    <t>Peeling P; McKay AKA; Pyne DB; Guelfi KJ; McCormick RH; Laarakkers CM; Swinkels DW; Garvican-Lewis LA; Ross MLR; Sharma AP; Leckey JJ; Burke LM</t>
  </si>
  <si>
    <t>10.1007/s00421-017-3611-3</t>
  </si>
  <si>
    <t>Exercise; Hepcidins blood; Iron blood; Adult; Athletes; Humans; Interleukin-6 blood; Male</t>
  </si>
  <si>
    <t>Purpose: The extent to which hepcidin regulation after acute bouts of exercise is influenced by baseline (resting) concentrations of key iron parameters remains uncertain. This investigation explored the influence of selected iron parameters and 25-km race walk time on 3-h post-exercise hepcidin-25 levels in international-level race walkers. Methods: Twenty-four male race walkers completed a graded exercise test and a 25-km race-walk trial. Throughout the 25-km race-walk, venous blood samples were collected pre-exercise, immediately post-exercise, and at 3-h post-exercise. Blood was analysed for serum ferritin, serum iron, Interleukin-6 (IL-6), and hepcidin-25 concentration. Results: IL-6 and hepcidin-25 increased (7.6- and 7.5-fold, respectively) in response to the 25-km race-walk trial (both p &lt; 0.01). Significant individual relationships were evident between 3-h post-exercise hepcidin-25, baseline serum ferritin and serum iron (r &gt; 0.62; p &lt; 0.05). Multiple regression analysis showed that these two iron parameters, in addition to post-exercise IL-6 concentration and 25-km race-walk time, accounted for ~77% of the variance in 3-h post-exercise hepcidin-25 (p &lt; 0.01). A median split by the cohort's baseline serum ferritin concentration (LOW: 58.0 vs. HIGH: 101.8 µg/L; p &lt; 0.01) showed a significant between group difference in the 3-h post-exercise hepcidin-25 (LOW: 6.0 ± 3.6 vs. 11.3 ± 5.4 nM; p = 0.01), despite no differences in baseline serum iron, post-exercise IL-6, or 25-km race-walk time (all p &gt; 0.05). Conclusion: Despite exercise activating numerous hepcidin regulators, baseline iron status appears to play a dominant role in the regulation of hepcidin-25 in elite-level athletes subsequent to endurance exercise.</t>
  </si>
  <si>
    <t>https://search.ebscohost.com/login.aspx?direct=true&amp;db=mdc&amp;AN=28409396&amp;site=ehost-live</t>
  </si>
  <si>
    <t>Fluid, energy and nutrient recovery via ad libitum intake of different fluids and food.</t>
  </si>
  <si>
    <t>Campagnolo N; Iudakhina E; Irwin C; Schubert M; Cox GR; Leveritt M; Desbrow B</t>
  </si>
  <si>
    <t>Physiology &amp; behavior</t>
  </si>
  <si>
    <t>10.1016/j.physbeh.2017.01.009</t>
  </si>
  <si>
    <t>Beverages; Dehydration therapy; Drinking physiology; Eating physiology; Energy Intake physiology; Fluid Therapy methods; Food; Adolescent; Adult; Dehydration etiology; Female; Humans; Male; Sports; Thirst physiology; Young Adult</t>
  </si>
  <si>
    <t>Introduction: This study compared the effects of ad libitum consumption of different beverages and foods on fluid retention and nutrient intake following exercise. Methods: Ten endurance trained males (mean±SD; Age=25.3±4.9years, VO 2 max=63.0±7.2mL·kg·min -1 ) performed four trials employing a counterbalanced, crossover design. Following 60min of exercise (matched for energy expenditure and fluid loss) participants consumed either water (W1 and W2), a sports drink (Powerade® (P)) or a milk-based liquid meal supplement (Sustagen Sport® (SS)) over a four hour recovery period. Additionally, participants had access to snack foods on two occasions within the first 2h of recovery on all trials. All beverages and food were consumed ad libitum. Total nutrient intake, urine volume, USG, body weight as well as subjective measures of gastrointestinal tolerance and thirst were obtained hourly. Plasma osmolality was measured pre, post, 1 and 4h after exercise. Results: Total fluid volume ingested from food and beverages in W1 (2.28±0.42L) and P (2.82±0.80L) trials were significantly greater than SS (1.94±0.54L). Total urine output was not different between trials (W1=644±202mL, W2=602±352mL, P=879±751mL, SS=466±129mL). No significant differences in net body weight change was observed between trials (W1=0.01±0.28kg, W2=0.08±0.30kg, P=-0.02±0.24kg, SS=-0.05±0.24kg). Total energy intake was higher on P (10,179±1484kJ) and SS (10,577±2210kJ) compared to both water trials (W1=7826±888kJ, W2=7578±1112kJ). Conclusion: With the co-ingestion of food, fluid restoration following exercise is tightly regulated and not influenced by the choice of either water, a carbohydrate-electrolyte (sports drink) or a milk-based beverage. Copyright © 2017 Elsevier Inc. All rights reserved.</t>
  </si>
  <si>
    <t>https://search.ebscohost.com/login.aspx?direct=true&amp;db=mdc&amp;AN=28104353&amp;site=ehost-live</t>
  </si>
  <si>
    <t>Full course macro-kinematic analysis of a 10 km classical cross-country skiing competition.</t>
  </si>
  <si>
    <t>Marsland F; Mackintosh C; Holmberg HC; Anson J; Waddington G; Lyons K; Chapman D</t>
  </si>
  <si>
    <t>e0182262</t>
  </si>
  <si>
    <t>10.1371/journal.pone.0182262</t>
  </si>
  <si>
    <t>Athletes; Athletic Performance; Skiing physiology; Adult; Algorithms; Australia; Biomechanical Phenomena; Humans; Male; Muscle, Skeletal physiology; Young Adult</t>
  </si>
  <si>
    <t>In this study micro-sensors were employed to analyse macro-kinematic parameters during a classical cross-country skiing competition (10 km, 2-lap). Data were collected from eight male participants during the Australian championship competition wearing a single micro-sensor unit (MinimaxX™, S4) positioned on their upper back. Algorithms and visual classification were used to identify skiing sub-techniques and calculate velocities, cycle lengths (CL) and cycle rates (CR) over the entire course. Double poling (DP) was the predominant cyclical sub-technique utilised (43 ± 5% of total distance), followed by diagonal stride (DS, 16 ± 4%) and kick double poling (KDP, 5 ± 4%), with the non-propulsive Tuck technique accounting for 24 ± 4% of the course. Large within-athlete variances in CL and CR occurred, particularly for DS (CV% = 25 ± 2% and CV% = 15 ± 2%, respectively). For all sub-techniques the mean CR on both laps and for the slower and faster skiers were similar, while there was a trend for the mean velocities in all sub-techniques by the faster athletes to be higher. Overall velocity and mean DP-CL were significantly higher on Lap 1, with no significant change in KDP-CL or DS-CL between laps. Distinct individual velocity thresholds for transitions between sub-techniques were observed. Clearly, valuable insights into cross-country skiing performance can be gained through continuous macro-kinematic monitoring during competition.</t>
  </si>
  <si>
    <t>https://search.ebscohost.com/login.aspx?direct=true&amp;db=mdc&amp;AN=28763504&amp;site=ehost-live</t>
  </si>
  <si>
    <t>Game movement demands and physical profiles of junior, senior and elite male and female rugby sevens players.</t>
  </si>
  <si>
    <t>Clarke AC; Anson JM; Pyne DB</t>
  </si>
  <si>
    <t>10.1080/02640414.2016.1186281</t>
  </si>
  <si>
    <t>Football physiology; Running physiology; Adolescent; Anthropometry; Cross-Sectional Studies; Female; Humans; Male; Motor Skills physiology; Movement; Muscle Strength physiology</t>
  </si>
  <si>
    <t>To inform recruitment, selection, training and testing of male and female rugby sevens players game running movement patterns and physical characteristics were quantified across junior, senior, and elite playing levels. Anthropometric and physical testing (40 m sprint, vertical jump, Yo-Yo IR1) occurred prior to players' national championships or international tournaments (n = 110 players), while game movements were obtained via GPS (n = 499 game files). The game movements of male players were similar across playing levels except for number of impacts &gt;10 g which were 2 to 4-fold higher in elite (25.0 ± 11.2 impacts · game - 1 ; mean ± SD), than junior (6.3 ± 3.5) and senior (11.8 ± 6.6) players. In men, there were fewer substantial correlations between on- and off-field measures which may reflect similar physical attributes across playing levels, and that other (strength, technical or tactical) factors may better differentiate these players. In females, elite players had more favourable on- and off-field performance measures than juniors and seniors, with moderate to strong correlations between on- and off-field variables. Female players should benefit from additional fitness training, while male players need to balance fitness with other technical and tactical factors.</t>
  </si>
  <si>
    <t>https://search.ebscohost.com/login.aspx?direct=true&amp;db=mdc&amp;AN=27214399&amp;site=ehost-live</t>
  </si>
  <si>
    <t>Genetic testing for exercise prescription and injury prevention: AIS-Athlome consortium-FIMS joint statement.</t>
  </si>
  <si>
    <t>Vlahovich N; Hughes DC; Griffiths LR; Wang G; Pitsiladis YP; Pigozzi F; Bachl N; Eynon N</t>
  </si>
  <si>
    <t>BMC genomics</t>
  </si>
  <si>
    <t>Suppl 8</t>
  </si>
  <si>
    <t>10.1186/s12864-017-4185-5</t>
  </si>
  <si>
    <t>Exercise; Genetic Testing; Wounds and Injuries genetics; Wounds and Injuries prevention &amp; control; Bone and Bones injuries; Clustered Regularly Interspaced Short Palindromic Repeats genetics; Evidence-Based Medicine; Humans; Muscles injuries</t>
  </si>
  <si>
    <t>Background: There has been considerable growth in basic knowledge and understanding of how genes are influencing response to exercise training and predisposition to injuries and chronic diseases. On the basis of this knowledge, clinical genetic tests may in the future allow the personalisation and optimisation of physical activity, thus providing an avenue for increased efficiency of exercise prescription for health and disease. Results: This review provides an overview of the current status of genetic testing for the purposes of exercise prescription and injury prevention. As such there are a variety of potential uses for genetic testing, including identification of risks associated with participation in sport and understanding individual response to particular types of exercise. However, there are many challenges remaining before genetic testing has evidence-based practical applications; including adoption of international standards for genomics research, as well as resistance against the agendas driven by direct-to-consumer genetic testing companies. Here we propose a way forward to develop an evidence-based approach to support genetic testing for exercise prescription and injury prevention. Conclusion: Based on current knowledge, there is no current clinical application for genetic testing in the area of exercise prescription and injury prevention, however the necessary steps are outlined for the development of evidence-based clinical applications involving genetic testing.</t>
  </si>
  <si>
    <t>https://search.ebscohost.com/login.aspx?direct=true&amp;db=mdc&amp;AN=29143596&amp;site=ehost-live</t>
  </si>
  <si>
    <t>Greater Effect of East versus West Travel on Jet Lag, Sleep, and Team Sport Performance.</t>
  </si>
  <si>
    <t>Fowler PM; Knez W; Crowcroft S; Mendham AE; Miller J; Sargent C; Halson S; Duffield R</t>
  </si>
  <si>
    <t>10.1249/MSS.0000000000001374</t>
  </si>
  <si>
    <t>Athletic Performance psychology; Jet Lag Syndrome epidemiology; Australia epidemiology; Humans; Jet Lag Syndrome psychology; Male; Motivation; Perception; Physical Exertion; Qatar epidemiology; Travel; United Arab Emirates epidemiology; Young Adult</t>
  </si>
  <si>
    <t>Purpose: This study aimed to determine the recovery timeline of sleep, subjective jet lag and fatigue, and team sport physical performance after east and west long-haul travel. Methods: Ten physically trained men underwent testing at 0900 h and 1700 h local time on four consecutive days 2 wk before outbound travel (BASE), and the first 4 d after 21 h of outbound (WEST) and return (EAST) air travel across eight time zones between Australia and Qatar. Data collection included performance (countermovement jump, 20-m sprint, and Yo-Yo intermittent recovery level 1 [YYIR1] test) and perceptual (jet lag, motivation, perceived exertion, and physical feeling) measures. In addition, sleep was measured via wrist activity monitors and self-report diaries throughout the aforementioned data collection periods. Results: Compared with the corresponding day at BASE, the reduction in YYIR1 distance after EAST was significantly different from the increase in WEST on day 1 after travel (P &lt; 0.001). On day 2, significantly slower 20-m sprint times were detected in EAST compared with WEST (P = 0.03), with large effect sizes (ES) also indicating a greater reduction in YYIR1 distance in EAST compared with WEST (d = 1.06). Mean sleep onset and offset were significantly later and mean time in bed and sleep duration were significantly reduced across the 4 d in EAST compared with BASE and WEST (P &lt; 0.05). Lastly, mean jet lag, fatigue, and motivation ratings across the 4 d were significantly worse in EAST compared with BASE and WEST (P &lt; 0.05) and WEST compared with BASE (P &lt; 0.05). Conclusions: Long-haul transmeridian travel can impede team sport physical performance. Specifically, east travel has a greater detrimental effect on sleep, subjective jet lag, fatigue, and motivation. Consequently, maximal and intermittent sprint performance is also reduced after east travel, particularly within 72 h after arrival.</t>
  </si>
  <si>
    <t>https://search.ebscohost.com/login.aspx?direct=true&amp;db=mdc&amp;AN=28719491&amp;site=ehost-live</t>
  </si>
  <si>
    <t>Human behaviours associated with dominance in elite amateur boxing bouts: A comparison of winners and losers under the Ten Point Must System.</t>
  </si>
  <si>
    <t>Dunn EC; Humberstone CE; Iredale KF; Martin DT; Blazevich AJ</t>
  </si>
  <si>
    <t>e0188675</t>
  </si>
  <si>
    <t>10.1371/journal.pone.0188675</t>
  </si>
  <si>
    <t>Boxing; Competitive Behavior; Adult; Humans; Male; Young Adult</t>
  </si>
  <si>
    <t>Humans commonly ascertain physical dominance through non-lethal fighting by participating in combat sports. However, the behaviours that achieve fight dominance are not fully understood. Amateur boxing competition, which is judged using the subjective "Ten Point Must-System", provides insight into fight dominance behaviours. Notational analysis was performed on 26 elite male competitors in a national boxing championship. Behavioural (guard-drop time; movement style [stepping/bouncing time]; clinch-time; interaction-time) and technical (total punches; punches landed [%Hit]; air punches [%Air]; defence) measures were recorded. Participants reported effort required (0-100%) and perceived effect of fatigue on their own performance (5-point Likert scale) following bouts. Differences between winners and losers, and changes across the duration of the bout were examined. Winners punched more accurately than losers (greater %Hit [33% vs. 23%] and lower %Air [17% vs. 27%]) but total punches, defence and interaction-time were similar. From rounds 1-2, clinch-time and guard drops increased whilst bouncing decreased. Perceived effect of fatigue increased throughout the bout while perceived effort increased only from rounds 2-3. %Hit and movement index together in regression analysis correctly classified 85% of bout outcomes, indicating that judges (subjectively) chose winning (dominant) boxers according to punch accuracy and style, rather than assertiveness (more punches thrown). Boxers appear to use tactical strategies throughout the bout to pace their effort and minimise fatigue (increased guard drops, reduced bouncing), but these did not influence perceived dominance or bout outcome. These results show that judges use several performance indicators not including the total number of successful punches thrown to assess fight dominance and superiority between fighters. These results provide valuable information as to how experienced fight observers subjectively rate superiority and dominance during one-on-one human fighting.</t>
  </si>
  <si>
    <t>https://search.ebscohost.com/login.aspx?direct=true&amp;db=mdc&amp;AN=29287064&amp;site=ehost-live</t>
  </si>
  <si>
    <t>Humeral torsion and shoulder rotation range of motion parameters in elite swimmers.</t>
  </si>
  <si>
    <t>Holt K; Boettcher C; Halaki M; Ginn KA</t>
  </si>
  <si>
    <t>10.1016/j.jsams.2016.10.002</t>
  </si>
  <si>
    <t>Humerus physiology; Range of Motion, Articular physiology; Shoulder Joint physiology; Swimming physiology; Adolescent; Analysis of Variance; Cohort Studies; Female; Humans; Male; Regression Analysis; Rotation; Shoulder Pain; Young Adult</t>
  </si>
  <si>
    <t>Objectives: Optimal shoulder rotation range of motion (ROM) for swimming is unknown. The primary aim of this study was to examine shoulder rotation ROM in elite swimmers, including the influence of humeral torsion on rotation ROM, in order to establish optimal shoulder rotation parameters for swimming. In addition, we examined the relationship between rotation ROM and shoulder pain. Design: Descriptive cohort study. Methods: Seventy elite Australian swimmers provided shoulder pain history data prior to measurement of humeral torsion and passive and active shoulder rotation ROM. Repeated measure analyses of variance were used to investigate within and between participant differences for all variables. Associations between humeral torsion and rotation ROM were investigated using Pearson's correlation coefficient. Multiple regression analysis was utilised to examine the associations between rotation ROM and shoulder pain. Results: Average humeral torsion angles of 27±10° (dominant side) and 31±10° (non-dominant side) were demonstrated in this elite swimming cohort. In general, increased humeral torsion was positively associated with increased internal rotation (IR) and decreased external rotation (ER) ROM. There were significant differences in both IR and ER ROM measured passively and actively (F 2,136 ≥93.1, p&lt;0.001) with passive ROM greater than active ROM (p&lt;0.001) and active IR ROM measured in supine greater than measured in prone (p&lt;0.001). There were no associations between any rotation ROM variables and current or history of shoulder pain (r 2 =0.058; p=0.46). Conclusions: Humeral torsion angle and passive shoulder IR ROM were similar while passive ER ROM was greater in elite swimmers compared to reported normal population values. Copyright © 2016 Sports Medicine Australia. Published by Elsevier Ltd. All rights reserved.</t>
  </si>
  <si>
    <t>https://search.ebscohost.com/login.aspx?direct=true&amp;db=mdc&amp;AN=27840035&amp;site=ehost-live</t>
  </si>
  <si>
    <t>Individualised dietary strategies for Olympic combat sports: Acute weight loss, recovery and competition nutrition.</t>
  </si>
  <si>
    <t>Reale R; Slater G; Burke LM</t>
  </si>
  <si>
    <t>10.1080/17461391.2017.1297489</t>
  </si>
  <si>
    <t>Body Weight; Boxing physiology; Diet; Martial Arts physiology; Sports Nutritional Physiological Phenomena; Weight Loss; Athletes; Humans</t>
  </si>
  <si>
    <t>Olympic combat sports separate athletes into weight divisions, in an attempt to reduce size, strength, range and/or leverage disparities between competitors. Official weigh-ins are conducted anywhere from 3 and up to 24 h prior to competition ensuring athletes meet weight requirements (i.e. have 'made weight'). Fighters commonly aim to compete in weight divisions lower than their day-to-day weight, achieved via chronic and acute manipulations of body mass (BM). Although these manipulations may impair health and absolute performance, their strategic use can improve competitive success. Key considerations are the acute manipulations around weigh-in, which differ in importance, magnitude and methods depending on the requirements of the individual combat sport and the weigh-in regulations. In particular, the time available for recovery following weigh-in/before competition will determine what degree of acute BM loss can be implemented and reversed. Increased exercise and restricted food and fluid intake are undertaken to decrease body water and gut contents reducing BM. When taken to the extreme, severe weight-making practices can be hazardous, and efforts have been made to reduce their prevalence. Indeed some have called for the abolition of these practices altogether. In lieu of adequate strategies to achieve this, and the pragmatic recognition of the likely continuation of these practices as long as regulations allow, this review summarises guidelines for athletes and coaches for manipulating BM and optimising post weigh-in recovery, to achieve better health and performance outcomes across the different Olympic combat sports.</t>
  </si>
  <si>
    <t>https://search.ebscohost.com/login.aspx?direct=true&amp;db=mdc&amp;AN=28316263&amp;site=ehost-live</t>
  </si>
  <si>
    <t>Injuries impair the chance of successful performance by sportspeople: a systematic review.</t>
  </si>
  <si>
    <t>Drew MK; Raysmith BP; Charlton PC</t>
  </si>
  <si>
    <t>10.1136/bjsports-2016-096731</t>
  </si>
  <si>
    <t>Achievement; Athletic Injuries physiopathology; Athletic Performance; Athletes; Bias; Humans</t>
  </si>
  <si>
    <t>Background: Cost-benefit analyses have been proposed for determining acceptable risk of injury regarding training and competition participation. Currently, there is no best evidence synthesis of the literature evaluating the relationship between injury/illness and chance of success or failure. Objective: To evaluate the relationship between injury and/or illness and success and/or failure in athletic populations (individual and team sports). Methods: This review was prospectively registered (PROSPERO CRD42016036729) and a systematic electronic search was conducted in May 2016. Inclusion criterion was any study design describing the association between injury and/or illness and success or failure in athletic performance. Two independent authors screened search results, performed data extraction and assessed methodological quality and strength of evidence using a modified Downs and Black appraisal tool and a modified van Tulder method, respectively. Results: Of 10 546 titles identified, 14 satisfied the inclusion criteria and 7 had low risk of bias. Outcome measures associated with success and/or failure included: (1) availability of team members, (2) injury incidence, (3) injury burden, (4) squad utilisation and (5, 6) precompetition and in-competition injury. There was strong evidence that (1) increased availability of team members/athletes decreased the risk of failure and (2) precompetition and in-competition injuries were associated with increased risk of failure. Conclusions: Injuries have a detrimental impact on team and individual athletic success. Increased player availability improves chances of success. Conversely, injuries sustained both prior to and during competition may increase risk of failure. Injury prevention should therefore be a priority for maximising athletic performance. Competing Interests: Competing interests: None declared. © Article author(s) (or their employer(s) unless otherwise stated in the text of the article) 2017. All rights reserved. No commercial use is permitted unless otherwise expressly granted.</t>
  </si>
  <si>
    <t>https://search.ebscohost.com/login.aspx?direct=true&amp;db=mdc&amp;AN=28446456&amp;site=ehost-live</t>
  </si>
  <si>
    <t>Intra-individual variability in the sleep of senior and junior rugby league athletes during the competitive season.</t>
  </si>
  <si>
    <t>Caia J; Halson SL; Scott TJ; Kelly VG</t>
  </si>
  <si>
    <t>10.1080/07420528.2017.1358736</t>
  </si>
  <si>
    <t>Athletes; Circadian Rhythm physiology; Exercise physiology; Sleep physiology; Actigraphy methods; Adult; Football; Humans; Male; Seasons</t>
  </si>
  <si>
    <t>This study examined the sleep intra-individual variability (IIV) of rugby league athletes across senior and junior levels during one week of the competitive season. Forty-five rugby league athletes across elite senior, sub-elite senior and elite junior levels each wore actigraphy monitors for seven days during the competitive season, and completed a subjective sleep diary each morning upon waking. Linear mixed models were used to assess differences in sleep measures between playing levels. Intra-individual standard deviations for each sleep measure were calculated for each athlete to determine their respective IIV, allowing differences in IIV between groups to be assessed. Elite junior athletes went to bed later (ES = 0.94 ± 0.50, p &lt; 0.05) and woke later than elite senior athletes (ES = 0.94 ± 0.40, p &lt; 0.05), while also displaying greater IIV when considering time in bed (ES = 1.14 ± 0.60, p &lt; 0.05) and sleep duration (ES = 1.53 ± 0.64, p &lt; 0.05) compared with elite senior athletes. Similarly, IIV was more pronounced in elite junior players for time in bed (ES = 0.88 ± 0.60, p &lt; 0.05) and sleep duration (ES = 1.03 ± 0.64, p &lt; 0.05) compared with sub-elite senior athletes. Despite this, elite junior athletes still obtained sufficient sleep duration, efficiency and quality. The outcomes of this investigation show a distinct difference in the habitual sleep-wake patterns of senior and junior rugby league athletes, and show how sleep IIV differs between playing levels in rugby league.</t>
  </si>
  <si>
    <t>https://search.ebscohost.com/login.aspx?direct=true&amp;db=mdc&amp;AN=28910543&amp;site=ehost-live</t>
  </si>
  <si>
    <t>Is subsequent lower limb injury associated with previous injury? A systematic review and meta-analysis.</t>
  </si>
  <si>
    <t>Toohey LA; Drew MK; Cook JL; Finch CF; Gaida JE</t>
  </si>
  <si>
    <t>10.1136/bjsports-2017-097500</t>
  </si>
  <si>
    <t>Athletic Injuries complications; Leg Injuries etiology; Anterior Cruciate Ligament Injuries complications; Humans; Soft Tissue Injuries complications</t>
  </si>
  <si>
    <t>Background: Previous injury is a strong risk factor for recurrent lower limb injury in athletic populations, yet the association between previous injury and a subsequent injury different in nature or location is rarely considered. Objective: To systematically review data on the risk of sustaining a subsequent lower limb injury different in nature or location following a previous injury. Methods: Eight medical databases were searched. Studies were eligible if they reported lower limb injury occurrence following any injury of a different anatomical site and/or of a different nature, assessed injury risk, contained athletic human participants and were written in English. Two reviewers independently applied the eligibility criteria and performed the risk of bias assessment. Meta-analysis was conducted using a random effects model. Results: Twelve studies satisfied the eligibility criteria. Previous history of an ACL injury was associated with an increased risk of subsequent hamstring injury (three studies, RR=2.25, 95% CI 1.34 to 3.76), but a history of chronic groin injury was not associated with subsequent hamstring injury (three studies, RR=1.14, 95% CI 0.29 to 4.51). Previous lower limb muscular injury was associated with an increased risk of sustaining a lower limb muscular injury at a different site. A history of concussion and a variety of joint injuries were associated with an increased subsequent lower limb injury risk. Conclusions: The fact that previous injury of any type may increase the risk for a range of lower limb subsequent injuries must be considered in the development of future tertiary prevention programmes. Systematic Review Registration Number: CRD42016039904 (PROSPERO). Competing Interests: Competing interests: None declared. © Article author(s) (or their employer(s) unless otherwise stated in the text of the article) 2017. All rights reserved. No commercial use is permitted unless otherwise expressly granted.</t>
  </si>
  <si>
    <t>https://search.ebscohost.com/login.aspx?direct=true&amp;db=mdc&amp;AN=28784622&amp;site=ehost-live</t>
  </si>
  <si>
    <t>Ketone Diester Ingestion Impairs Time-Trial Performance in Professional Cyclists.</t>
  </si>
  <si>
    <t>Leckey JJ; Ross ML; Quod M; Hawley JA; Burke LM</t>
  </si>
  <si>
    <t>10.3389/fphys.2017.00806</t>
  </si>
  <si>
    <t>We investigated the effect of pre- "race" ingestion of a 1,3-butanediol acetoacetate diester on blood ketone concentration, substrate metabolism and performance of a cycling time trial (TT) in professional cyclists. In a randomized cross-over design, 10 elite male cyclists completed a ~31 km laboratory-based TT on a cycling ergometer programmed to simulate the 2017 World Road Cycling Championships course. Cyclists consumed a standardized meal [2 g/kg body mass (BM) carbohydrate (CHO)] the evening prior to a trial day and a CHO breakfast (2 g/kg BM CHO) with 200 mg caffeine on the morning of a trial day. Cyclists were randomized to consume either the ketone diester (2 × 250 mg/kg) or a placebo drink, followed immediately by 200 mL diet cola, given ~ 30 min before and immediately prior to commencing a 20 min incremental warm-up. Blood samples were collected prior to and during the warm-up, pre- and post- TT and at regular intervals after the TT. Urine samples were collected pre- and post- warm-up, immediately post TT and 60 min post TT. Pre-exercise ingestion of the diester resulted in a 2 ± 1% impairment in TT performance that was associated with gut discomfort and higher perception of effort. Serum β-hydroxybutyrate, serum acetoacetate, and urine ketone concentrations increased from rest following ketone ingestion and were higher than placebo throughout the trial. Ketone ingestion induces hyperketonemia in elite professional cyclists when in a carbohydrate fed state, and impairs performance of a cycling TT lasting ~50 min.</t>
  </si>
  <si>
    <t>https://search.ebscohost.com/login.aspx?direct=true&amp;db=mdc&amp;AN=29109686&amp;site=ehost-live</t>
  </si>
  <si>
    <t>Live high, train low - influence on resting and post-exercise hepcidin levels.</t>
  </si>
  <si>
    <t>Govus AD; Peeling P; Abbiss CR; Lawler NG; Swinkels DW; Laarakkers CM; Thompson KG; Peiffer JJ; Gore CJ; Garvican-Lewis LA</t>
  </si>
  <si>
    <t>10.1111/sms.12685</t>
  </si>
  <si>
    <t>Altitude; Exercise physiology; Hemoglobins analysis; Hepcidins blood; Rest physiology; Adult; Female; Humans; Hypoxia blood; Male; Oxygen Consumption; Running physiology; Young Adult</t>
  </si>
  <si>
    <t>The post-exercise hepcidin response during prolonged (&gt;2 weeks) hypoxic exposure is not well understood. We compared plasma hepcidin levels 3 h after exercise [6 × 1000 m at 90% of maximal aerobic running velocity (vVO 2max )] performed in normoxia and normobaric hypoxia (3000 m simulate altitude) 1 week before, and during 14 days of normobaric hypoxia [196.2 ± 25.6 h (median: 200.8 h; range: 154.3-234.8 h) at 3000 m simulated altitude] in 10 well-trained distance runners (six males, four females). Venous blood was also analyzed for hepcidin after 2 days of normobaric hypoxia. Hemoglobin mass (Hb mass ) was measured via CO rebreathing 1 week before and after 14 days of hypoxia. Hepcidin was suppressed after 2 (Cohen's d = -2.3, 95% confidence interval: [-2.9, -1.6]) and 14 days of normobaric hypoxia (d = -1.6 [-2.6, -0.6]). Hepcidin increased from baseline, 3 h post-exercise in normoxia (d = 0.8 [0.2, 1.3]) and hypoxia (d = 0.6 [0.3, 1.0]), both before and after exposure (normoxia: d = 0.7 [0.3, 1.2]; hypoxia: d = 1.3 [0.4, 2.3]). In conclusion, 2 weeks of normobaric hypoxia suppressed resting hepcidin levels, but did not alter the post-exercise response in either normoxia or hypoxia, compared with the pre-exposure response. © 2016 John Wiley &amp; Sons A/S. Published by John Wiley &amp; Sons Ltd.</t>
  </si>
  <si>
    <t>https://search.ebscohost.com/login.aspx?direct=true&amp;db=mdc&amp;AN=27038097&amp;site=ehost-live</t>
  </si>
  <si>
    <t>Long-term Practice with Domain-Specific Task Constraints Influences Perceptual Skills.</t>
  </si>
  <si>
    <t>10.3389/fpsyg.2017.01387</t>
  </si>
  <si>
    <t>The long-term impact of practice with different task constraints on perceptual skill is relatively un-explored. This study examined the influence of extensive practice, i.e., more than a 1000 h of structured practice, with domain-specific task constraints on perceptual skill associated with the passing action. Despite performing the same passing skill, it is not known whether long-term exposure to specific soccer or futsal task constraints influences the players' attunement to environmental information. This study examined this issue by assessing the attention orientation of soccer ( n = 24) and futsal players ( n = 24) during modified games (6 vs. 6). Futsal players had higher scanning behavior during ball reception and control (40% more ball-player attention alternations) while soccer players mainly scanned the environment when not in ball possession (25% more attention alternations). We suggest that the behavioral differences found are elicited by the extensive domain-specific practice. That is, the higher number of players in soccer, and by a more intense game and easier to control ball in futsal. This study provides new insights into the long-term effects of practicing with specific task constraints.</t>
  </si>
  <si>
    <t>https://search.ebscohost.com/login.aspx?direct=true&amp;db=mdc&amp;AN=28855883&amp;site=ehost-live</t>
  </si>
  <si>
    <t>Low carbohydrate, high fat diet impairs exercise economy and negates the performance benefit from intensified training in elite race walkers.</t>
  </si>
  <si>
    <t>Burke LM; Ross ML; Garvican-Lewis LA; Welvaert M; Heikura IA; Forbes SG; Mirtschin JG; Cato LE; Strobel N; Sharma AP; Hawley JA</t>
  </si>
  <si>
    <t>10.1113/JP273230</t>
  </si>
  <si>
    <t>Athletic Performance; Diet, Carbohydrate-Restricted adverse effects; Diet, High-Fat adverse effects; Physical Conditioning, Human; Walking physiology; Adult; Humans; Lipid Metabolism; Male; Oxygen Consumption</t>
  </si>
  <si>
    <t>Key Points: Three weeks of intensified training and mild energy deficit in elite race walkers increases peak aerobic capacity independent of dietary support. Adaptation to a ketogenic low carbohydrate, high fat (LCHF) diet markedly increases rates of whole-body fat oxidation during exercise in race walkers over a range of exercise intensities. The increased rates of fat oxidation result in reduced economy (increased oxygen demand for a given speed) at velocities that translate to real-life race performance in elite race walkers. In contrast to training with diets providing chronic or periodised high carbohydrate availability, adaptation to an LCHF diet impairs performance in elite endurance athletes despite a significant improvement in peak aerobic capacity. Abstract: We investigated the effects of adaptation to a ketogenic low carbohydrate (CHO), high fat diet (LCHF) during 3 weeks of intensified training on metabolism and performance of world-class endurance athletes. We controlled three isoenergetic diets in elite race walkers: high CHO availability (g kg -1 day -1 : 8.6 CHO, 2.1 protein, 1.2 fat) consumed before, during and after training (HCHO, n = 9); identical macronutrient intake, periodised within or between days to alternate between low and high CHO availability (PCHO, n = 10); LCHF (&lt; 50 g day -1 CHO; 78% energy as fat; 2.1 g kg -1 day -1 protein; LCHF, n = 10). Post-intervention, V̇O2 peak during race walking increased in all groups (P &lt; 0.001, 90% CI: 2.55, 5.20%). LCHF was associated with markedly increased rates of whole-body fat oxidation, attaining peak rates of 1.57 ± 0.32 g min -1 during 2 h of walking at ∼80% V̇O2 peak . However, LCHF also increased the oxygen (O 2 ) cost of race walking at velocities relevant to real-life race performance: O 2 uptake (expressed as a percentage of new V̇O2 peak ) at a speed approximating 20 km race pace was reduced in HCHO and PCHO (90% CI: -7.047, -2.55 and -5.18, -0.86, respectively), but was maintained at pre-intervention levels in LCHF. HCHO and PCHO groups improved times for 10 km race walk: 6.6% (90% CI: 4.1, 9.1%) and 5.3% (3.4, 7.2%), with no improvement (-1.6% (-8.5, 5.3%)) for the LCHF group. In contrast to training with diets providing chronic or periodised high-CHO availability, and despite a significant improvement in V̇O2 peak , adaptation to the topical LCHF diet negated performance benefits in elite endurance athletes, in part due to reduced exercise economy. © 2016 The Authors. The Journal of Physiology published by John Wiley &amp; Sons Ltd on behalf of The Physiological Society.</t>
  </si>
  <si>
    <t>https://search.ebscohost.com/login.aspx?direct=true&amp;db=mdc&amp;AN=28012184&amp;site=ehost-live</t>
  </si>
  <si>
    <t>Manipulation of Muscle Creatine and Glycogen Changes Dual X-ray Absorptiometry Estimates of Body Composition.</t>
  </si>
  <si>
    <t>Bone JL; Ross ML; Tomcik KA; Jeacocke NA; Hopkins WG; Burke LM</t>
  </si>
  <si>
    <t>10.1249/MSS.0000000000001174</t>
  </si>
  <si>
    <t>Absorptiometry, Photon standards; Body Composition physiology; Creatine metabolism; Glycogen metabolism; Muscle, Skeletal metabolism; Adult; Body Water physiology; Creatine administration &amp; dosage; Glycogen administration &amp; dosage; Humans; Male</t>
  </si>
  <si>
    <t>Standardizing a dual x-ray absorptiometry (DXA) protocol is thought to provide a reliable measurement of body composition. Purpose: We investigated the effects of manipulating muscle glycogen and creatine content independently and additively on DXA estimates of lean mass. Method: Eighteen well-trained male cyclists undertook a parallel group application of creatine loading (n = 9) (20 g·d for 5 d loading; 3 g·d maintenance) or placebo (n = 9) with crossover application of glycogen loading (12 v 6 g·kg BM per day for 48 h) as part of a larger study involving a glycogen-depleting exercise protocol. Body composition, total body water, muscle glycogen and creatine content were assessed via DXA, bioelectrical impedance spectroscopy and standard biopsy techniques. Changes in the mean were assessed using the following effect-size scale: &gt;0.2 small, &gt;0.6, moderate, &gt;1.2 large and compared with the threshold for the smallest worthwhile effect of the treatment. Results: Glycogen loading, both with and without creatine loading, resulted in substantial increases in estimates of lean body mass (mean ± SD; 3.0% ± 0.7% and 2.0% ± 0.9%) and leg lean mass (3.1% ± 1.8% and 2.6% ± 1.0%) respectively. A substantial decrease in leg lean mass was observed after the glycogen depleting condition (-1.4% ± 1.6%). Total body water showed substantial increases after glycogen loading (2.3% ± 2.3%), creatine loading (1.4% ± 1.9%) and the combined treatment (2.3% ± 1.1%). Conclusions: Changes in muscle metabolites and water content alter DXA estimates of lean mass during periods in which minimal change in muscle protein mass is likely. This information needs to be considered in interpreting the results of DXA-derived estimates of body composition in athletes.</t>
  </si>
  <si>
    <t>https://search.ebscohost.com/login.aspx?direct=true&amp;db=mdc&amp;AN=28410328&amp;site=ehost-live</t>
  </si>
  <si>
    <t>Middle cerebral artery blood flow velocity during a 4 km cycling time trial.</t>
  </si>
  <si>
    <t>Rattray B; Smale BA; Northey JM; Smee DJ; Versey NG</t>
  </si>
  <si>
    <t>10.1007/s00421-017-3612-2</t>
  </si>
  <si>
    <t>Cerebrovascular Circulation; Exercise; Middle Cerebral Artery physiology; Adolescent; Adult; Blood Flow Velocity; Humans; Male; Oxygen Consumption</t>
  </si>
  <si>
    <t>Purpose: This study sought to describe middle cerebral artery blood flow velocity (MCA v ) during a 4 km cycling time trial, and relate it to different pacing strategies adopted by participants. Methods: After familiarisation and a standardised exercise protocol, 15 male trained cyclists rode a 4 km time trial on a cycling ergometer. MCA v was assessed via transcranial Doppler ultrasound in the right hemisphere at resting baseline, and throughout the time trial. Mean arterial pressure, end-tidal partial pressure of carbon dioxide (P et CO 2 ) and heart rate were assessed alongside MCA v . Plasma lactate was assessed post time trial. Data were compared depending upon whether participants completed the time trial with a positive (first half faster than the last) or negative pacing profile although there was no difference in the time to completion with either pacing strategy (positive 344 ± 23 s, negative 334 ± 14 s; p = 0.394). Results: Lower mean MCA v (positive pacing -7.6 ± 14.2%, negative pacing +21.2 ± 15.0% compared to resting baseline measures; p = 0.004) and lower P et CO 2 (significant interaction p &lt; 0.001) towards the end of the time trial were observed with positive compared to negative pacing. Heart rate and lactate did not differ between pacing strategies. Conclusions: Changes in MCA v appear to depend on the pacing strategy adopted, with a positive pacing strategy likely to contribute to a hyperventilatory drop in P et CO 2 and subsequent reduction in MCA v . Although lower cerebral blood flow cannot be directly linked to an inability to raise or maintain power output during the closing stages of the time trial, this potential contributor to fatigue is worth further investigation.</t>
  </si>
  <si>
    <t>https://search.ebscohost.com/login.aspx?direct=true&amp;db=mdc&amp;AN=28409398&amp;site=ehost-live</t>
  </si>
  <si>
    <t>Modelling of optimal training load patterns during the 11 weeks preceding major competition in elite swimmers.</t>
  </si>
  <si>
    <t>Hellard P; Scordia C; Avalos M; Mujika I; Pyne DB</t>
  </si>
  <si>
    <t>10.1139/apnm-2017-0180</t>
  </si>
  <si>
    <t>Athletes psychology; Competitive Behavior; High-Intensity Interval Training; Models, Biological; Models, Statistical; Muscle, Skeletal physiology; Periodicity; Physical Conditioning, Human methods; Resistance Training; Swimming; Adolescent; Adult; Age Factors; Female; Health Status; Humans; Male; Muscle Contraction; Muscle Fatigue; Muscle Strength; Physical Endurance; Sex Factors; Time Factors; Young Adult</t>
  </si>
  <si>
    <t>Periodization of swim training in the final training phases prior to competition and its effect on performance have been poorly described. We modeled the relationships between the final 11 weeks of training and competition performance in 138 elite sprint, middle-distance, and long-distance swimmers over 20 competitive seasons. Total training load (TTL), strength training (ST), and low- to medium-intensity and high-intensity training variables were monitored. Training loads were scaled as a percentage of the maximal volume measured at each intensity level. Four training periods (meso-cycles) were defined: the taper (weeks 1 to 2 before competition), short-term (weeks 3 to 5), medium-term (weeks 6 to 8), and long-term (weeks 9 to 11). Mixed-effects models were used to analyze the association between training loads in each training meso-cycle and end-of-season major competition performance. For sprinters, a 10% increase between ∼20% and 70% of the TTL in medium- and long-term meso-cycles was associated with 0.07 s and 0.20 s faster performance in the 50 m and 100 m events, respectively (p &lt; 0.01). For middle-distance swimmers, a higher TTL in short-, medium-, and long-term training yielded faster competition performance (e.g., a 10% increase in TTL was associated with improvements of 0.1-1.0 s in 200 m events and 0.3-1.6 s in 400 m freestyle, p &lt; 0.01). For sprinters, a 60%-70% maximal ST load 6-8 weeks before competition induced the largest positive effects on performance (p &lt; 0.01). An increase in TTL during the medium- and long-term preparation (6-11 weeks to competition) was associated with improved performance. Periodization plans should be adapted to the specialty of swimmers.</t>
  </si>
  <si>
    <t>https://search.ebscohost.com/login.aspx?direct=true&amp;db=mdc&amp;AN=28651061&amp;site=ehost-live</t>
  </si>
  <si>
    <t>Multivariate modelling of subjective and objective monitoring data improve the detection of non-contact injury risk in elite Australian footballers.</t>
  </si>
  <si>
    <t>Colby MJ; Dawson B; Peeling P; Heasman J; Rogalski B; Drew MK; Stares J; Zouhal H; Lester L</t>
  </si>
  <si>
    <t>10.1016/j.jsams.2017.05.010</t>
  </si>
  <si>
    <t>Athletic Injuries epidemiology; Soccer injuries; Workload; Adult; Australia; Health Status; Humans; Male; Models, Statistical; Multivariate Analysis; Physical Exertion; Prospective Studies; Risk Factors; Young Adult</t>
  </si>
  <si>
    <t>Objectives: To assess the association between workload, subjective wellness, musculoskeletal screening measures and non-contact injury risk in elite Australian footballers. Design: Prospective cohort study. Methods: Across 4 seasons in 70 players from one club, cumulative weekly workloads (acute; 1 week, chronic; 2-, 3-, 4-week) and acute:chronic workload ratio's (ACWR: 1-week load/average 4-weekly load) for session-Rating of Perceived Exertion (sRPE) and GPS-derived distance and sprint distance were calculated. Wellness, screening and non-contact injury data were also documented. Univariate and multivariate regression models determined injury incidence rate ratios (IRR) while accounting for interaction/moderating effects. Receiver operating characteristics determined model predictive accuracy (area under curve: AUC). Results: Very low cumulative chronic (2-, 3-, 4- week) workloads were associated with the greatest injury risk (univariate IRR=1.71-2.16, 95% CI=1.10-4.52) in the subsequent week. In multivariate analysis, the interaction between a low chronic load and a very high distance (adj-IRR=2.60, 95% CI=1.07-6.34) or low sRPE ACWR (adj-IRR=2.52, 95% CI=1.01-6.29) was associated with increased injury risk. Subjectively reporting "yes" (vs. "no") for old lower limb pain and heavy non-football activity in the previous 7 days (multivariate adj-IRR=2.01-2.25, 95% CI=1.02-4.95) and playing experience (&gt;9 years) (multivariate adj-IRR=2.05, 95% CI=1.03-4.06) was also associated with increased injury risk, but screening data were not. Predictive capacity of multivariate models was significantly better than univariate (AUC multivariate =0.70, 95% CI 0.64-0.75; AUC univariate range=0.51-0.60). Conclusions: Chronic load is an important moderating factor in the workload-injury relationship. Low chronic loads coupled with low or very high ACWR are associated with increased injury risk. Copyright © 2017 Sports Medicine Australia. Published by Elsevier Ltd. All rights reserved.</t>
  </si>
  <si>
    <t>https://search.ebscohost.com/login.aspx?direct=true&amp;db=mdc&amp;AN=28595869&amp;site=ehost-live</t>
  </si>
  <si>
    <t>New approaches to determine fatigue in elite athletes during intensified training: Resting metabolic rate and pacing profile.</t>
  </si>
  <si>
    <t>Woods AL; Garvican-Lewis LA; Lundy B; Rice AJ; Thompson KG</t>
  </si>
  <si>
    <t>e0173807</t>
  </si>
  <si>
    <t>10.1371/journal.pone.0173807</t>
  </si>
  <si>
    <t>Basal Metabolism; Fatigue; Sports; Absorptiometry, Photon; Adult; Body Composition; Female; Humans; Male; Young Adult</t>
  </si>
  <si>
    <t>Background: Elite rowers complete a high volume of training across a number of modalities to prepare for competition, including periods of intensified load, which may lead to fatigue and short-term performance decrements. As yet, the influence of substantial fatigue on resting metabolic rate (RMR) and exercise regulation (pacing), and their subsequent utility as monitoring parameters, has not been explicitly investigated in elite endurance athletes. Method: Ten National-level rowers completed a four-week period of intensified training. RMR, body composition and energy intake were assessed PRE and POST the four-week period using indirect calorimetry, Dual-Energy X-Ray Densitometry (DXA), and three-day food diary, respectively. On-water rowing performance and pacing strategy was evaluated from 5 km time trials. Wellness was assessed weekly using the Multicomponent Training Distress Scale (MTDS). Results: Significant decreases in absolute (mean ± SD of difference, p-value: -466 ± 488 kJ.day-1, p = 0.01) and relative RMR (-8.0 ± 8.1 kJ.kg.FFM-1, p = 0.01) were observed. Significant reductions in body mass (-1.6 ± 1.3 kg, p = 0.003) and fat mass (-2.2 ± 1.2 kg, p = 0.0001) were detected, while energy intake was unchanged. On-water 5 km rowing performance worsened (p &lt; 0.05) and an altered pacing strategy was evident. Fatigue and total mood disturbance significantly increased across the cycle (p &lt; 0.05), and trends were observed for reduced vigour and increased sleep disturbance (p &lt; 0.1). Conclusion: Four weeks of heavy training decreased RMR and body composition variables in elite rowers and induced substantial fatigue, likely related to an imbalance between energy intake and output. This study demonstrates that highly experienced athletes do not necessarily select the correct energy intake during periods of intensified training, and this can be assessed by reductions in RMR and body composition. The shortfall in energy availability likely affected recovery from training and altered 5 km time trial pacing strategy, resulting in reduced performance.</t>
  </si>
  <si>
    <t>https://search.ebscohost.com/login.aspx?direct=true&amp;db=mdc&amp;AN=28296943&amp;site=ehost-live</t>
  </si>
  <si>
    <t>Oxygen delivery is not a limiting factor during post-exercise recovery in healthy young adults.</t>
  </si>
  <si>
    <t>Mankowski RT; Niemeijer VM; Jansen JP; Spraakman L; Stam HJ; Praet SFE</t>
  </si>
  <si>
    <t>Journal of exercise science and fitness</t>
  </si>
  <si>
    <t>10.1016/j.jesf.2017.07.001</t>
  </si>
  <si>
    <t>Elsevier Singapore Pte. Ltd</t>
  </si>
  <si>
    <t>Purpose: It is still equivocal whether oxygen uptake recovery kinetics are limited by oxygen delivery and can be improved by supplementary oxygen. The present study aimed to investigate whether measurements of muscle and pulmonary oxygen uptake kinetics can be used to assess oxygen delivery limitations in healthy subjects. Methods: Sixteen healthy young adults performed three sub-maximal exercise tests (6 min at 40% W max ) under hypoxic (14%O 2 ), normoxic (21%O 2 ) and hyperoxic (35%O 2 ) conditions on separate days in randomized order. Both Pulmonary VO 2 and near infra red spectroscopy (NIRS) based Tissue Saturation Index (TSI) offset kinetics were calculated using mono-exponential curve fitting models. Results: Time constant τ of VO 2 offset kinetics under hypoxic (44.9 ± 7.3s) conditions were significantly larger than τ of the offset kinetics under normoxia (37.9 ± 8.2s, p = 0.02) and hyperoxia (37±6s, p = 0.04). TSI mean response time (MRT) of the offset kinetics under hypoxic conditions (25.5 ± 13s) was significantly slower than under normoxic (15 ± 7.7, p = 0.007) and hyperoxic (13 ± 7.3, p = 0.008) conditions. Conclusion: The present study shows that there was no improvement in the oxygen uptake and muscle oxygenation recovery kinetics in healthy subjects under hyperoxic conditions.Slower TSI and VO 2 recovery kinetics under hypoxic conditions indicate that both NIRS and spiro-ergometry are appropriate non-invasive measurement tools to assess the physiological response of a healthy individual to hypoxic exercise.</t>
  </si>
  <si>
    <t>https://search.ebscohost.com/login.aspx?direct=true&amp;db=mdc&amp;AN=29541131&amp;site=ehost-live</t>
  </si>
  <si>
    <t>Physical characteristics of players within the Australian Football League participation pathways: a systematic review.</t>
  </si>
  <si>
    <t>Haycraft JAZ; Kovalchik S; Pyne DB; Robertson S</t>
  </si>
  <si>
    <t>10.1186/s40798-017-0109-9</t>
  </si>
  <si>
    <t>Background: Australian football (AF) players require endurance, strength, speed, and agility to be successful. Tests assessing physical characteristics are commonly used for talent identification; however, their ability to differentiate between players across the Australian Football League's (AFL) participation pathway remains unclear. The objective of this review was to quantify the physical characteristics of male AF players across the AFL participation pathway. Methods: A search of databases was undertaken. Studies examining tests of physical performance were included, with 27 meeting the inclusion/exclusion criteria. Study appraisal was conducted using a checklist of selection criteria. Results: The 20-m sprint time was the most reported test, followed by vertical jump (VJ), AFL planned agility, and 20-m multi-stage fitness test (MSFT). The fastest times for 20-m sprint were for Elite AFL players (range 2.94-3.13 s), with local-level players the slowest (3.22-4.06 s). State Junior Under (U) 18s (58-66 cm) had higher jumps than senior players, with the lowest jumps reported for Local U10s (mean 31 cm). No elite-level data were reported for the AFL planned agility or 20-m MSFT. AFL planned agility times were only reported for talent pathway levels, with large performance variability evident across all levels (8.17-9.12 s). Only mean 20-m MSFT scores were reported from Local U10s to National Draft Camp (6.10-13.50 shuttles). Conclusions: Talent pathway players exhibit similar mean test scores irrespective of the physical test, with the exception of 20-m sprint and VJ. Physical tests can discriminate between local participation level players but are less useful within the AFL talent pathway.</t>
  </si>
  <si>
    <t>https://search.ebscohost.com/login.aspx?direct=true&amp;db=mdc&amp;AN=29260420&amp;site=ehost-live</t>
  </si>
  <si>
    <t>Postexercise muscle glycogen resynthesis in humans.</t>
  </si>
  <si>
    <t>Burke LM; van Loon LJC; Hawley JA</t>
  </si>
  <si>
    <t>10.1152/japplphysiol.00860.2016</t>
  </si>
  <si>
    <t>Exercise psychology; Glycogen metabolism; Muscle, Skeletal metabolism; Muscle, Skeletal physiology; Diet methods; Dietary Carbohydrates metabolism; Dietary Proteins metabolism; Energy Intake physiology; Humans; Sports physiology</t>
  </si>
  <si>
    <t>Since the pioneering studies conducted in the 1960s in which glycogen status was investigated using the muscle biopsy technique, sports scientists have developed a sophisticated appreciation of the role of glycogen in cellular adaptation and exercise performance, as well as sites of storage of this important metabolic fuel. While sports nutrition guidelines have evolved during the past decade to incorporate sport-specific and periodized manipulation of carbohydrate (CHO) availability, athletes attempt to maximize muscle glycogen synthesis between important workouts or competitive events so that fuel stores closely match the demands of the prescribed exercise. Therefore, it is important to understand the factors that enhance or impair this biphasic process. In the early postexercise period (0-4 h), glycogen depletion provides a strong drive for its own resynthesis, with the provision of CHO (~1 g/kg body mass) optimizing this process. During the later phase of recovery (4-24 h), CHO intake should meet the anticipated fuel needs of the training/competition, with the type, form, and pattern of intake being less important than total intake. Dietary strategies that can enhance glycogen synthesis from suboptimal amounts of CHO or energy intake are of practical interest to many athletes; in this scenario, the coingestion of protein with CHO can assist glycogen storage. Future research should identify other factors that enhance the rate of synthesis of glycogen storage in a limited time frame, improve glycogen storage from a limited CHO intake, or increase muscle glycogen supercompensation. Copyright © 2017 the American Physiological Society.</t>
  </si>
  <si>
    <t>https://search.ebscohost.com/login.aspx?direct=true&amp;db=mdc&amp;AN=27789774&amp;site=ehost-live</t>
  </si>
  <si>
    <t>Postural stability, clicker reaction time and bow draw force predict performance in elite recurve archery.</t>
  </si>
  <si>
    <t>Spratford W; Campbell R</t>
  </si>
  <si>
    <t>10.1080/17461391.2017.1285963</t>
  </si>
  <si>
    <t>Back; Movement; Muscle Strength; Posture; Reaction Time; Shoulder; Sports; Adolescent; Adult; Athletes; Biomechanical Phenomena; Electromyography; Female; Humans; Male; Muscle, Skeletal physiology; Young Adult</t>
  </si>
  <si>
    <t>Recurve archery is an Olympic sport that requires extreme precision, upper body strength and endurance. The purpose of this research was to quantify how postural stability variables both pre- and post-arrow release, draw force, flight time, arrow length and clicker reaction time, collectively, impacted on the performance or scoring outcomes in elite recurve archery athletes. Thirty-nine elite-level recurve archers (23 male and 16 female; mean age = 24.7 ± 7.3 years) from four different countries volunteered to participate in this study prior to competing at a World Cup event. An AMTI force platform (1000Hz) was used to obtain centre of pressure (COP) measurements 1s prior to arrow release and 0.5s post-arrow release. High-speed footage (200Hz) allowed for calculation of arrow flight time and score. Results identified clicker reaction time, draw force and maximum sway speed as the variables that best predicted shot performance. Specifically, reduced clicker reaction time, greater bow draw force and reduced postural sway speed post-arrow release were predictors of higher scoring shots. It is suggested that future research should focus on investigating shoulder muscle tremors at full draw in relation to clicker reaction time, and the effect of upper body strength interventions (specifically targeting the musculature around the shoulder girdle) on performance in recurve archers.</t>
  </si>
  <si>
    <t>https://search.ebscohost.com/login.aspx?direct=true&amp;db=mdc&amp;AN=28276913&amp;site=ehost-live</t>
  </si>
  <si>
    <t>Practical Issues in Evidence-Based Use of Performance Supplements: Supplement Interactions, Repeated Use and Individual Responses.</t>
  </si>
  <si>
    <t>10.1007/s40279-017-0687-1</t>
  </si>
  <si>
    <t>Athletic Performance; Dietary Supplements; Performance-Enhancing Substances; Athletes; Evidence-Based Medicine; Humans; Sports</t>
  </si>
  <si>
    <t>Current sports nutrition guidelines recommend that athletes only take supplements following an evidence-based analysis of their value in supporting training outcomes or competition performance in their specific event. While there is sound evidence to support the use of a few performance supplements under specific scenarios (creatine, beta-alanine, bicarbonate, caffeine, nitrate/beetroot juice and, perhaps, phosphate), there is a lack of information around several issues needed to guide the practical use of these products in competitive sport. First, there is limited knowledge around the strategy of combining the intake of several products in events in which performance benefits are seen with each product in isolation. The range in findings from studies involving combined use of different combinations of two supplements makes it difficult to derive a general conclusion, with both the limitations of individual studies and the type of sporting event to which the supplements are applied influencing the potential for additive, neutral or counteractive outcomes. The repeated use of the same supplement in sports involving two or more events within a 24-h period is of additional interest, but has received even less attention. Finally, the potential for individual athletes to respond differently, in direction and magnitude, to the use of a supplement seems real, but is hard to distinguish from normal day to day variability in performance. Strategies that can be used in research or practice to identify whether individual differences are robust include repeat trials, and the collection of data on physiological or genetic mechanisms underpinning outcomes.</t>
  </si>
  <si>
    <t>https://search.ebscohost.com/login.aspx?direct=true&amp;db=mdc&amp;AN=28332111&amp;site=ehost-live</t>
  </si>
  <si>
    <t>Proof of Concept of Automated Collision Detection Technology in Rugby Sevens.</t>
  </si>
  <si>
    <t>10.1519/JSC.0000000000001576</t>
  </si>
  <si>
    <t>Football; Microtechnology instrumentation; Monitoring, Ambulatory instrumentation; Adult; Female; Humans; Male; Reproducibility of Results; Young Adult</t>
  </si>
  <si>
    <t>Clarke, AC, Anson, JM, and Pyne, DB. Proof of concept of automated collision detection technology in rugby sevens. J Strength Cond Res 31(4): 1116-1120, 2017-Developments in microsensor technology allow for automated detection of collisions in various codes of football, removing the need for time-consuming postprocessing of video footage. However, little research is available on the ability of microsensor technology to be used across various sports or genders. Game video footage was matched with microsensor-detected collisions (GPSports) in one men's (n = 12 players) and one women's (n = 12) rugby sevens match. True-positive, false-positive, and false-negative events between video and microsensor-detected collisions were used to calculate recall (ability to detect a collision) and precision (accurately identify a collision). The precision was similar between the men's and women's rugby sevens game (∼0.72; scale 0.00-1.00); however, the recall in the women's game (0.45) was less than that for the men's game (0.69). This resulted in 45% of collisions for men and 62% of collisions for women being incorrectly labeled. Currently, the automated collision detection system in GPSports microtechnology units has only modest utility in rugby sevens, and it seems that a rugby sevens-specific algorithm is needed. Differences in measures between the men's and women's game may be a result of physical size, and strength, and physicality, as well as technical and tactical factors.</t>
  </si>
  <si>
    <t>https://search.ebscohost.com/login.aspx?direct=true&amp;db=mdc&amp;AN=27467515&amp;site=ehost-live</t>
  </si>
  <si>
    <t>Protein Ingestion before Sleep Increases Overnight Muscle Protein Synthesis Rates in Healthy Older Men: A Randomized Controlled Trial.</t>
  </si>
  <si>
    <t>Kouw IW; Holwerda AM; Trommelen J; Kramer IF; Bastiaanse J; Halson SL; Wodzig WK; Verdijk LB; van Loon LJ</t>
  </si>
  <si>
    <t>The Journal of nutrition</t>
  </si>
  <si>
    <t>10.3945/jn.117.254532</t>
  </si>
  <si>
    <t>American Society for Nutrition</t>
  </si>
  <si>
    <t>Dietary Proteins administration &amp; dosage; Muscle Proteins biosynthesis; Sleep physiology; Aged; Double-Blind Method; Gene Expression Regulation drug effects; Humans; Male</t>
  </si>
  <si>
    <t>Background: The loss of skeletal muscle mass with aging has been attributed to the blunted anabolic response to protein intake. Presleep protein ingestion has been suggested as an effective strategy to compensate for such anabolic resistance. Objective: We assessed the efficacy of presleep protein ingestion on dietary protein digestion and absorption kinetics and overnight muscle protein synthesis rates in older men. Methods: In a randomized, double-blind, parallel design, 48 older men (mean ± SEM age: 72 ± 1 y) ingested 40 g casein (PRO40), 20 g casein (PRO20), 20 g casein plus 1.5 g leucine (PRO20+LEU), or a placebo before sleep. Ingestion of intrinsically l-[1- 13 C]-phenylalanine- and l-[1- 13 C]-leucine-labeled protein was combined with intravenous l-[ring- 2 H 5 ]-phenylalanine and l-[1- 13 C]-leucine infusions during sleep. Muscle and blood samples were collected throughout overnight sleep. Results: Exogenous phenylalanine appearance rates increased after protein ingestion, but to a greater extent in PRO40 than in PRO20 and PRO20+LEU ( P &lt; 0.05). Overnight myofibrillar protein synthesis rates (based on l-[ring- 2 H 5 ]-phenylalanine) were 0.033% ± 0.002%/h, 0.037% ± 0.003%/h, 0.039% ± 0.002%/h, and 0.044% ± 0.003%/h in placebo, PRO20, PRO20+LEU, and PRO40, respectively, and were higher in PRO40 than in placebo ( P = 0.02). Observations were similar based on l-[1- 13 C]-leucine tracer (placebo: 0.047% ± 0.004%/h and PRO40: 0.058% ± 0.003%/h, P = 0.08). More protein-derived amino acids (l-[1- 13 C]-phenylalanine) were incorporated into myofibrillar protein in PRO40 than in PRO20 (0.033 ± 0.002 and 0.019 ± 0.002 MPE, respectively, P &lt; 0.001) and tended to be higher than in PRO20+LEU (0.025 ± 0.002 MPE, P = 0.06). Conclusions: Protein ingested before sleep is properly digested and absorbed throughout the night, providing precursors for myofibrillar protein synthesis during sleep in healthy older men. Ingestion of 40 g protein before sleep increases myofibrillar protein synthesis rates during overnight sleep. These findings provide the scientific basis for a novel nutritional strategy to support muscle mass preservation in aging and disease. This trial was registered at www.trialregister.nl as NTR3885. Competing Interests: Author disclosures: IWKK, AMH, JT, IFK, JB, SLH, and WKWHW, no conflicts of interest. LBV received speaker’s fees from Friesland Campina and Nutricia Research. LJCvL has received research grants, consulting fees, speaking honoraria, or a combination of these, from Friesland Campina, Nutricia Research, and PepsiCo. The industrial partners have contributed to the project through regular discussion. © 2017 American Society for Nutrition.</t>
  </si>
  <si>
    <t>https://search.ebscohost.com/login.aspx?direct=true&amp;db=mdc&amp;AN=28855419&amp;site=ehost-live</t>
  </si>
  <si>
    <t>Quantifying Contextual Interference and Its Effect on Skill Transfer in Skilled Youth Tennis Players.</t>
  </si>
  <si>
    <t>Buszard T; Reid M; Krause L; Kovalchik S; Farrow D</t>
  </si>
  <si>
    <t>10.3389/fpsyg.2017.01931</t>
  </si>
  <si>
    <t>The contextual interference effect is a well-established motor learning phenomenon. Most of the contextual interference effect literature has addressed simple skills, while less is known about the role of contextual interference in complex sport skill practice, particularly with respect to skilled performers. The purpose of this study was to assess contextual interference when practicing the tennis serve. Study 1 evaluated tennis serve practice of nine skilled youth tennis players using a novel statistical metric developed specifically to measure between-skill and within-skill variability as sources of contextual interference. This metric highlighted that skilled tennis players typically engaged in serve practice that featured low contextual interference. In Study 2, 16 skilled youth tennis players participated in 10 practice sessions that aimed to improve serving "down the T." Participants were stratified into a low contextual interference practice group (Low CI) and a moderate contextual interference practice group (Moderate CI). Pre- and post-tests were conducted 1 week before and 1 week after the practice period. Testing involved a skill test, which assessed serving performance in a closed setting, and a transfer test, which assessed serving performance in a match-play setting. No significant contextual interference differences were observed with respect to practice performance. However, analysis of pre- and post-test serve performance revealed significant Group × Time interactions. The Moderate CI group showed no change in serving performance (service displacement from the T) from pre- to post-test in the skill test, but did display improvements in the transfer test. Conversely, the Low CI group improved serving performance (service displacement from the T) in the skill test but not the transfer test. Results suggest that the typical contextual interference effect is less clear when practicing a complex motor skill, at least with the tennis serve skill evaluated here. We encourage researchers and applied sport scientists to use our statistical metric to measure contextual interference.</t>
  </si>
  <si>
    <t>https://search.ebscohost.com/login.aspx?direct=true&amp;db=mdc&amp;AN=29163306&amp;site=ehost-live</t>
  </si>
  <si>
    <t>Quiet eye predicts goaltender success in deflected ice hockey shots.</t>
  </si>
  <si>
    <t>Panchuk D; Vickers JN; Hopkins WG</t>
  </si>
  <si>
    <t>10.1080/17461391.2016.1156160</t>
  </si>
  <si>
    <t>Fixation, Ocular physiology; Hockey physiology; Visual Perception physiology; Anticipation, Psychological physiology; Athletic Performance physiology; Humans</t>
  </si>
  <si>
    <t>In interceptive timing tasks, long quiet eye (QE) durations at the release point, along with early tracking on the object, allow performers to couple their actions to the kinematics of their opponent and regulate their movements based on emergent information from the object's trajectory. We used a mobile eye tracker to record the QE of eight university-level ice hockey goaltenders of an equivalent skill level as they responded to shots that deflected off a board placed to their left or right, resulting in a trajectory with low predictability. QE behaviour was assessed using logistic regression and magnitude-based inference. We found that when QE onset occurred later in the shot (950 ± 580 ms, mean ± SD) there was an increase in the proportion of goals allowed (41% vs. 22%) compared to when QE onset occurred earlier. A shorter QE duration (1260 ± 630 ms) predicted a large increase in the proportion of goals scored (38% vs. 14%). More saves occurred when QE duration (2074 ± 47 ms) was longer. An earlier QE offset (2004 ± 66 ms) also resulted in a large increase in the number of goals allowed (37% vs. 11%) compared to a later offset (2132 ± 41 ms). Since an early, sustained QE duration contributed to a higher percentage of saves, it is important that coaches develop practice activities that challenge the goaltender's ability to fixate the puck early, as well as sustain a long QE fixation on the puck until after it is released from the stick.</t>
  </si>
  <si>
    <t>https://search.ebscohost.com/login.aspx?direct=true&amp;db=mdc&amp;AN=26949176&amp;site=ehost-live</t>
  </si>
  <si>
    <t>Relationships between kinematics and undulatory underwater swimming performance.</t>
  </si>
  <si>
    <t>Higgs AJ; Pease DL; Sanders RH</t>
  </si>
  <si>
    <t>10.1080/02640414.2016.1208836</t>
  </si>
  <si>
    <t>Swimming physiology; Acceleration; Adolescent; Adult; Biomechanical Phenomena; Female; Hip physiology; Humans; Knee physiology; Male; Motor Skills physiology; Regression Analysis; Time and Motion Studies; Toes physiology; Young Adult</t>
  </si>
  <si>
    <t>Undulatory underwater swimming (UUS) is one of the major skills contributing to performance in competitive swimming. UUS has two phases- the upbeat is performed by hip extension and knee flexion, and the downbeat is the converse action. The purpose of this study was to determine which kinematic variables of the upbeat and downbeat are associated with prone UUS performance in an elite sample. Ten elite participants were filmed performing three prone 20 m UUS trials. Seven landmarks were manually digitised to calculate eighteen kinematic variables, plus the performance variable- horizontal centre of mass velocity (V COM ). Mean V COM was significantly correlated with body wave velocity (upbeat r = 0.81, downbeat r = 0.72), vertical toe velocity (upbeat r = 0.71, downbeat r = 0.86), phase duration (upbeat r = -0.79), peak hip angular velocity (upbeat r = 0.73) and mean knee angular velocity (upbeat r = -0.63), all significant at P &lt; 0.05. A multiple stepwise regression model explained 78% of variance in mean V COM . Peak toe velocity explained 72% of the variance, and mean body wave velocity explained an additional 6%. Elite swimmers should strive for a high peak toe velocity and a fast caudal transfer of momentum to optimise underwater undulatory swimming performance.</t>
  </si>
  <si>
    <t>https://search.ebscohost.com/login.aspx?direct=true&amp;db=mdc&amp;AN=27431482&amp;site=ehost-live</t>
  </si>
  <si>
    <t>Reply from Louise M. Burke.</t>
  </si>
  <si>
    <t>10.1113/JP274011</t>
  </si>
  <si>
    <t>Letter</t>
  </si>
  <si>
    <t>Athletes; Glycogen Storage Disease Type V; Carbohydrates; Diet; Humans</t>
  </si>
  <si>
    <t>https://search.ebscohost.com/login.aspx?direct=true&amp;db=mdc&amp;AN=28452135&amp;site=ehost-live</t>
  </si>
  <si>
    <t>Responses of Lower-Body Power and Match Running Demands Following Long-Haul Travel in International Rugby Sevens Players.</t>
  </si>
  <si>
    <t>Mitchell JA; Pumpa KL; Pyne DB</t>
  </si>
  <si>
    <t>10.1519/JSC.0000000000001526</t>
  </si>
  <si>
    <t>Athletic Performance physiology; Football physiology; Muscle Fatigue physiology; Running physiology; Travel; Adult; Body Height; Geographic Information Systems; Humans; Lower Extremity physiology; Male; Time Factors; Young Adult</t>
  </si>
  <si>
    <t>Mitchell, JA, Pumpa, KL, and Pyne, DB. Responses of lowerbody power and match running demands after long-haul travel in international rugby sevens players. J Strength Cond Res 31(3): 686-695, 2017-This study determined the effect of long-haul (&gt;5 hours) travel on lower-body power and match running demands in international rugby sevens players. Lower-body power was assessed in 22 male international rugby sevens players (age 21.7 ± 2.7 years, mass 89.0 ± 6.7 kg, stature 180.5 ± 6.2 cm; mean ± SD) monitored over 17 rugby sevens tournaments. A countermovement jump was used to monitor lower-body power (peak and mean power) over repeated three week travel and competition periods (pretravel, posttravel, and posttournament). Small decreases were evident in peak power after both short and long-haul travel (-4.0%, ±3.2%; mean, ±90% confidence limits) with further reductions in peak and mean power posttournament (-4.5%, ±2.3% and -3.8%, ±1.5%) culminating in a moderate decrease in peak power overall (-7.4%, ±4.0%). A subset of 12 players (completing a minimum of 8 tournaments) had the effects of match running demands assessed with lower-body power. In this subset, long-haul travel elicited a large decrease in lower-body peak (-9.4%, ±3.5%) and mean power (-5.6%, ±2.9%) over the monitoring period, with a small decrease (-4.3%, ±3.0% and -2.2%, ±1.7%) posttravel and moderate decrease (-5.4%, ±2.5% and -3.5%, ±1.9%) posttournament, respectively. Match running demands were monitored through global positioning system. In long-haul tournaments, the 12 players covered ∼13%, ±13% greater total distance (meter) and ∼11%, ±10% higher average game meters &gt;5 m·s when compared with short-haul (&lt;5 hours) travel. Effective pretravel and posttravel player management strategies are indicated to reduce neuromuscular fatigue and running load demands in rugby sevens tournaments after long-haul travel.</t>
  </si>
  <si>
    <t>https://search.ebscohost.com/login.aspx?direct=true&amp;db=mdc&amp;AN=27359207&amp;site=ehost-live</t>
  </si>
  <si>
    <t>Risky business: An example of what training load data can add to shared decision making in determining 'acceptable risk'.</t>
  </si>
  <si>
    <t>Charlton PC; Ilott D; Borgeaud R; Drew MK</t>
  </si>
  <si>
    <t>10.1016/j.jsams.2016.10.006</t>
  </si>
  <si>
    <t>Athletes; Decision Making; Sports; Cost-Benefit Analysis; Health Status; Humans; Risk Factors</t>
  </si>
  <si>
    <t>https://search.ebscohost.com/login.aspx?direct=true&amp;db=mdc&amp;AN=28108268&amp;site=ehost-live</t>
  </si>
  <si>
    <t>Short-term reliability of inflammatory mediators and response to exercise in the heat.</t>
  </si>
  <si>
    <t>Guy JH; Edwards AM; Miller CM; Deakin GB; Pyne DB</t>
  </si>
  <si>
    <t>10.1080/02640414.2016.1227464</t>
  </si>
  <si>
    <t>Exercise physiology; Heat Stress Disorders diagnosis; Hot Temperature adverse effects; Inflammation Mediators blood; Biomarkers blood; C-Reactive Protein metabolism; HSP72 Heat-Shock Proteins blood; Heat Stress Disorders blood; Humans; Humidity adverse effects; Immunoglobulin M blood; Interleukin-6 blood; Lipopolysaccharides blood; Male; Reproducibility of Results; Young Adult</t>
  </si>
  <si>
    <t>Prospective application of serum cytokines, lipopolysaccharide (LPS), and heat shock proteins (eHSPs) requires reliable measurement of these biomarkers that can signify exercise-induced heat stress in hot conditions. To accomplish this, both short-term (7 day) reliability (at rest, n = 12) and the acute responsiveness of each biomarker to exercise in the heat (pre and post 60-min cycling, 34.5°C and 70% RH, n = 20) were evaluated. Serum was analysed for the concentration of C-reactive protein (CRP), interleukin-6 (IL-6), heat shock protein 72 (eHSP72), immunoglobulin M (IgM) and LPS. Test-retest reliability was determined as the coefficient of variation (CV). Biomarkers with the least short-term within-participant variation were IL-6 (19%, ±20%; CV, ±95% confidence limits (CL)) and LPS (23%, ±13%). Greater variability was observed for IgM, eHSP72 and CRP (CV range 28-38%). IL-6 exhibited the largest increase in response to acute exercise (95%, ±11%, P = &lt; 0.001) and although CRP had a modest CV (12%, ±7%), it increased substantially post-exercise (P = 0.02, ES; 0.78). In contrast, eHSP72 and LPS exhibited trivial changes post-exercise. It appears variation of common inflammatory markers after exercise in the heat is not always discernible from short-term (weekly) variation.</t>
  </si>
  <si>
    <t>https://search.ebscohost.com/login.aspx?direct=true&amp;db=mdc&amp;AN=27594321&amp;site=ehost-live</t>
  </si>
  <si>
    <t>Six-week transition to minimalist shoes improves running economy and time-trial performance.</t>
  </si>
  <si>
    <t>Fuller JT; Thewlis D; Tsiros MD; Brown NAT; Buckley JD</t>
  </si>
  <si>
    <t>10.1016/j.jsams.2017.04.013</t>
  </si>
  <si>
    <t>Athletic Performance; Running physiology; Shoes; Adult; Ankle; Athletes; Biomechanical Phenomena; Foot; Gait; Humans; Male; Young Adult</t>
  </si>
  <si>
    <t>Objectives: This study investigated if gradually introducing runners to minimalist shoes during training improved running economy and time-trial performance compared to training in conventional shoes. Changes in stride rate, stride length, footfall pattern and ankle plantar-flexor strength were also investigated. Design: Randomised parallel intervention trial. Methods: 61 trained runners gradually increased the amount of running performed in either minimalist (n=31) or conventional (n=30) shoes during a six-week standardised training program. 5-km time-trial performance, running economy, ankle plantar-flexor strength, footfall pattern, stride rate and length were assessed in the allocated shoes at baseline and after training. Footfall pattern was determined from the time differential between rearfoot and forefoot (TD R-F ) pressure sensors. Results: The minimalist shoe group improved time-trial performance (effect size (ES): 0.24; 95% confidence interval (CI): 0.01, 0.48; p=0.046) and running economy (ES 0.48; 95%CI: 0.22, 0.74; p&lt;0.001) more than the conventional shoe group. There were no minimalist shoe training effects on ankle plantar-flexor concentric (ES: 0.11; 95%CI: -0.18, 0.41; p=0.45), isometric (ES: 0.23; 95%CI: -0.17, 0.64; p=0.25), or eccentric strength (ES: 0.24; 95%CI: -0.17, 0.65; p=0.24). Minimalist shoes caused large reductions in TD R-F (ES: 1.03; 95%CI: 0.65, 1.40; p&lt;0.001) but only two runners changed to a forefoot footfall. Minimalist shoes had no effect on stride rate (ES: 0.04; 95%CI: -0.08, 0.16; p=0.53) or length (ES: 0.06; 95%CI: -0.06, 0.18; p=0.35). Conclusions: Gradually introducing minimalist shoes over a six-week training block is an effective method for improving running economy and performance in trained runners. Copyright © 2017 Sports Medicine Australia. Published by Elsevier Ltd. All rights reserved.</t>
  </si>
  <si>
    <t>https://search.ebscohost.com/login.aspx?direct=true&amp;db=mdc&amp;AN=28483557&amp;site=ehost-live</t>
  </si>
  <si>
    <t>Skin autofluorescence is associated with arterial stiffness and insulin level in endurance runners and healthy controls - Effects of aging and endurance exercise.</t>
  </si>
  <si>
    <t>Couppé C; Dall CH; Svensson RB; Olsen RH; Karlsen A; Praet S; Prescott E; Magnusson SP</t>
  </si>
  <si>
    <t>Experimental gerontology</t>
  </si>
  <si>
    <t>10.1016/j.exger.2017.02.002</t>
  </si>
  <si>
    <t>Aging physiology; Athletes; Insulins blood; Running; Skin pathology; Vascular Stiffness; Adult; Aged; Biomarkers analysis; Case-Control Studies; Denmark; Exercise Tolerance; Fluorescence; Glycation End Products, Advanced analysis; Healthy Volunteers; Humans; Linear Models; Male; Middle Aged; Reference Values; Young Adult</t>
  </si>
  <si>
    <t>Background: Life-long regular endurance exercise yields positive effects on cardiovascular and metabolic function, disease and mortality rate. Glycation may be a major mechanism behind age-related diseases. However, it remains unknown if skin autofluorescence (SAF), which reflects glycation, is related to arterial and metabolic function in life-long endurance runners and sedentary controls. Methods: Healthy elderly men: 15 life-long endurance runners (OT) (64±4years) and 12 old untrained (OU) (66±4years), and healthy young men; ten young athletes (YT) (26±4years) matched to OT for running distance, and 12 young untrained (YU) (24±3years) were recruited. Endothelial function (reactive hyperemia index, RHI) and arterial stiffness (augmentation index, AI@75 and AI) were measured by an operator-independent PAT 2000. SAF was non-invasively determined using an autofluorescence spectrometer. Results: For AI@75 there was an effect of age (p&lt;0.0001), but not training (p=0.71). There was an interaction for endothelial function (p&lt;0.05): YT had higher RHI than YU (p&lt;0.05) and OU (p&lt;0.01). SAF was associated with arterial stiffness (r 2 =0.57, p&lt;0.001), insulin and HOMA-index levels after age correction (both r 2 =0.19, p&lt;0.05). Conclusions: To our knowledge, these are the first data to show that skin autofluorescence (SAF) is linked to human arterial stiffness and insulin resistance in well-trained elderly and young men as well as sedentary controls. SAF may in the future be a helpful tool to predict vascular and metabolic dysfunction (early signs of aging and pathology). Surprisingly, endurance running only had modest effects on cardiovascular function compared to lean healthy controls. Copyright © 2017 Elsevier Inc. All rights reserved.</t>
  </si>
  <si>
    <t>https://search.ebscohost.com/login.aspx?direct=true&amp;db=mdc&amp;AN=28189699&amp;site=ehost-live</t>
  </si>
  <si>
    <t>Sleep, sport, and the brain.</t>
  </si>
  <si>
    <t>Halson SL; Juliff LE</t>
  </si>
  <si>
    <t>10.1016/bs.pbr.2017.06.006</t>
  </si>
  <si>
    <t>Brain physiology; Cognition physiology; Sleep physiology; Sports; Athletes psychology; Athletic Performance; Humans; Psychomotor Performance physiology</t>
  </si>
  <si>
    <t>The recognition that sleep is one of the foundations of athlete performance is increasing both in the elite athlete arena as well as applied performance research. Sleep, as identified through sleep deprivation and sleep extension investigations, has a role in performance, illness, injury, metabolism, cognition, memory, learning, and mood. Elite athletes have been identified as having poorer quality and quantity of sleep in comparison to the general population. This is likely the result on training times, competition stress/anxiety, muscle soreness, caffeine use, and travel. Sleep, in particular slow wave sleep, provides a restorative function to the body to recover from prior wakefulness and fatigue by repairing processes and restoring energy. In addition, research in the general population is highlighting the importance of sleep on neurophysiology, cognitive function, and mood which may have implications for elite athlete performance. It is thus increased understanding of both the effects of sleep deprivation and potential mechanisms of influence on performance that may allow scientists and practitioners to positively influence sleep in athletes and ultimately maximize performances. © 2017 Elsevier B.V. All rights reserved.</t>
  </si>
  <si>
    <t>https://search.ebscohost.com/login.aspx?direct=true&amp;db=mdc&amp;AN=29031461&amp;site=ehost-live</t>
  </si>
  <si>
    <t>Sleep/Wake Behaviours in Elite Athletes from Three Different Football Codes.</t>
  </si>
  <si>
    <t>Miller DJ; Sargent C; Vincent GE; Roach GD; Halson SL; Lastella M</t>
  </si>
  <si>
    <t>https://search.ebscohost.com/login.aspx?direct=true&amp;db=mdc&amp;AN=29238263&amp;site=ehost-live</t>
  </si>
  <si>
    <t>Software thresholds alter the bias of actigraphy for monitoring sleep in team-sport athletes.</t>
  </si>
  <si>
    <t>Fuller KL; Juliff L; Gore CJ; Peiffer JJ; Halson SL</t>
  </si>
  <si>
    <t>10.1016/j.jsams.2016.11.021</t>
  </si>
  <si>
    <t>Actigraphy instrumentation; Athletes; Polysomnography instrumentation; Sleep physiology; Actigraphy methods; Adult; Football physiology; Humans; Male; Polysomnography methods; Sensitivity and Specificity; Surveys and Questionnaires; Young Adult</t>
  </si>
  <si>
    <t>Objectives: Actical ® actigraphy is commonly used to monitor athlete sleep. The proprietary software, called Actiware ® , processes data with three different sleep-wake thresholds (Low, Medium or High), but there is no standardisation regarding their use. The purpose of this study was to examine validity and bias of the sleep-wake thresholds for processing Actical ® sleep data in team sport athletes. Design: Validation study comparing actigraph against accepted gold standard polysomnography (PSG). Methods: Sixty seven nights of sleep were recorded simultaneously with polysomnography and Actical ® devices. Individual night data was compared across five sleep measures for each sleep-wake threshold using Actiware ® software. Accuracy of each sleep-wake threshold compared with PSG was evaluated from mean bias with 95% confidence limits, Pearson moment-product correlation and associated standard error of estimate. Results: The Medium threshold generated the smallest mean bias compared with polysomnography for total sleep time (8.5min), sleep efficiency (1.8%) and wake after sleep onset (-4.1min); whereas the Low threshold had the smallest bias (7.5min) for wake bouts. Bias in sleep onset latency was the same across thresholds (-9.5min). The standard error of the estimate was similar across all thresholds; total sleep time ∼25min, sleep efficiency ∼4.5%, wake after sleep onset ∼21min, and wake bouts ∼8 counts. Conclusions: Sleep parameters measured by the Actical ® device are greatly influenced by the sleep-wake threshold applied. In the present study the Medium threshold produced the smallest bias for most parameters compared with PSG. Given the magnitude of measurement variability, confidence limits should be employed when interpreting changes in sleep parameters. Copyright © 2017 Sports Medicine Australia. All rights reserved.</t>
  </si>
  <si>
    <t>https://search.ebscohost.com/login.aspx?direct=true&amp;db=mdc&amp;AN=28189461&amp;site=ehost-live</t>
  </si>
  <si>
    <t>Super-elite athletes: Some complimentary observations from Australia and some lessons for sports expertise research: Comment on Hardy et al.</t>
  </si>
  <si>
    <t>Farrow D</t>
  </si>
  <si>
    <t>10.1016/bs.pbr.2017.02.005</t>
  </si>
  <si>
    <t>Athletes psychology; Sports psychology; Australia; Humans; Motivation; Personality; Research; Tennis</t>
  </si>
  <si>
    <t>This commentary provides an Australian perspective through the lens of former Australian tennis players' reflections of their journey to becoming super/elite tennis players. Their observations are largely supportive of the findings of the target article. Further, the experimental design and terminology used in the target article are contextualized from the perspective of sports expertise research. © 2017 Elsevier B.V. All rights reserved.</t>
  </si>
  <si>
    <t>https://search.ebscohost.com/login.aspx?direct=true&amp;db=mdc&amp;AN=28648242&amp;site=ehost-live</t>
  </si>
  <si>
    <t>Team sport athletes' perceptions and use of recovery strategies: a mixed-methods survey study.</t>
  </si>
  <si>
    <t>Crowther F; Sealey R; Crowe M; Edwards A; Halson S</t>
  </si>
  <si>
    <t>BMC sports science, medicine &amp; rehabilitation</t>
  </si>
  <si>
    <t>10.1186/s13102-017-0071-3</t>
  </si>
  <si>
    <t>Background: A variety of recovery strategies are used by athletes, although there is currently no research that investigates perceptions and usage of recovery by different competition levels of team sport athletes. Methods: The recovery techniques used by team sport athletes of different competition levels was investigated by survey. Specifically this study investigated if, when, why and how the following recovery strategies were used: active land-based recovery (ALB), active water-based recovery (AWB), stretching (STR), cold water immersion (CWI) and contrast water therapy (CWT). Results: Three hundred and thirty-one athletes were surveyed. Fifty-seven percent were found to utilise one or more recovery strategies. Stretching was rated the most effective recovery strategy (4.4/5) with ALB considered the least effective by its users (3.6/5). The water immersion strategies were considered effective/ineffective mainly due to psychological reasons; in contrast STR and ALB were considered to be effective/ineffective mainly due to physical reasons. Conclusions: This study demonstrates that athletes may not be aware of the specific effects that a recovery strategy has upon their physical recovery and thus athlete and coach recovery education is encouraged. This study also provides new information on the prevalence of different recovery strategies and contextual information that may be useful to inform best practice among coaches and athletes.</t>
  </si>
  <si>
    <t>https://search.ebscohost.com/login.aspx?direct=true&amp;db=mdc&amp;AN=28250934&amp;site=ehost-live</t>
  </si>
  <si>
    <t>Temperate Performance Benefits after Heat, but Not Combined Heat and Hypoxic Training.</t>
  </si>
  <si>
    <t>McCleave EL; Slattery KM; Duffield R; Saunders PU; Sharma AP; Crowcroft SJ; Coutts AJ</t>
  </si>
  <si>
    <t>10.1249/MSS.0000000000001138</t>
  </si>
  <si>
    <t>Athletic Performance physiology; Hot Temperature; Physical Conditioning, Human methods; Running physiology; Acclimatization physiology; Adaptation, Physiological; Adult; Female; Hemoglobinometry; High-Intensity Interval Training; Humans; Hypoxia; Male; Plasma Volume</t>
  </si>
  <si>
    <t>Purpose: Independent heat and hypoxic exposure can enhance temperate endurance performance in trained athletes, although their combined effects remain unknown. This study examined whether the addition of heat interval training during "live high, train low" (LHTL) hypoxic exposure would result in enhanced performance and physiological adaptations as compared with heat or temperate training. Methods: Twenty-six well-trained runners completed 3 wk of interval training assigned to one of three conditions: 1) LHTL hypoxic exposure plus heat training (H + H; 3000 m for 13 h·d, train at 33°C, 60% relative humidity [RH]), 2) heat training with no hypoxic exposure (HOT, live at &lt;600 m and train at 33°C, 60% RH), or 3) temperate training with no hypoxic exposure (CONT; live at &lt;600 m and train at 14°C, 55% RH). Performance 3-km time-trials (3-km TT), running economy, hemoglobin mass, and plasma volume were assessed using magnitude-based inferences statistical approach before (Baseline), after (Post), and 3 wk (3wkP) after exposure. Results: Compared with Baseline, 3-km TT performance was likely increased in HOT at 3wkP (-3.3% ± 1.3%; mean ± 90% confidence interval), with no performance improvement in either H + H or CONT. Hemoglobin mass increased by 3.8% ± 1.8% at Post in H + H only. Plasma volume in HOT was possibly elevated above H + H and CONT at Post but not at 3wkP. Correlations between changes in 3-km TT performance and physiological adaptations were unclear. Conclusion: Incorporating heat-based training into a 3-wk training block can improve temperate performance at 3 wk after exposure, with athlete psychology, physiology, and environmental dose all important considerations. Despite hematological adaptations, the addition of LHTL to heat interval training has no greater 3-km TT performance benefit than temperate training alone.</t>
  </si>
  <si>
    <t>https://search.ebscohost.com/login.aspx?direct=true&amp;db=mdc&amp;AN=27787334&amp;site=ehost-live</t>
  </si>
  <si>
    <t>Temporal and spatial occlusion of advanced visual information constrains movement (re)organization in one-handed catching behaviors.</t>
  </si>
  <si>
    <t>Stone JA; Maynard IW; North JS; Panchuk D; Davids K</t>
  </si>
  <si>
    <t>Acta psychologica</t>
  </si>
  <si>
    <t>10.1016/j.actpsy.2017.01.009</t>
  </si>
  <si>
    <t>North Holland Publishing</t>
  </si>
  <si>
    <t>Hand; Motion Perception physiology; Motor Activity physiology; Psychomotor Performance physiology; Space Perception physiology; Time Perception physiology; Adult; Biomechanical Phenomena; Female; Humans; Male; Young Adult</t>
  </si>
  <si>
    <t>Dynamic interceptive actions are performed under severe spatial and temporal constraints. Here, behavioral processes underpinning anticipation in one-handed catching were examined using novel technology to implement a spatial and temporal occlusion design. Video footage of an actor throwing a ball was manipulated to create four temporal and five spatial occlusion conditions. Data from twelve participants' hand kinematics and gaze behaviors were recorded while attempting to catch a projected ball synchronized with the video footage. Catching performance decreased with earlier occlusion of the footage. Movement onset of the catching hand and initiation of visual ball tracking emerged earlier when footage of the thrower was occluded at a later time point in the throwing action. Spatial occlusion did not affect catching success, although movement onset emerged later when increased visual information of the actor was occluded. Later movement onset was countered by greater maximum velocity of the catching hand. Final stages of action (e.g., grasping action of the hand) remained unchanged across both spatial and temporal conditions suggesting that later phases of the action were organized using ball flight information. Findings highlighted the importance of maintaining information-movement coupling during performance of interceptive actions, since movement behaviors were continuously (re)organized using kinematic information from a thrower's actions and ball flight information. Copyright © 2017 Elsevier B.V. All rights reserved.</t>
  </si>
  <si>
    <t>https://search.ebscohost.com/login.aspx?direct=true&amp;db=mdc&amp;AN=28196753&amp;site=ehost-live</t>
  </si>
  <si>
    <t>Temporal changes in physiology and haematology in response to high- and micro-doses of recombinant human erythropoietin.</t>
  </si>
  <si>
    <t>Clark B; Woolford SM; Eastwood A; Sharpe K; Barnes PG; Gore CJ</t>
  </si>
  <si>
    <t>10.1002/dta.2176</t>
  </si>
  <si>
    <t>Blood Volume drug effects; Erythropoietin administration &amp; dosage; Erythropoietin pharmacology; Hemoglobins analysis; Adult; Doping in Sports; Dose-Response Relationship, Drug; Exercise Test; Female; Humans; Male; Recombinant Proteins administration &amp; dosage; Recombinant Proteins pharmacology; Young Adult</t>
  </si>
  <si>
    <t>There is evidence to suggest athletes have adopted recombinant human erythropoietin (rHuEPO) dosing regimens that diminish the likelihood of being caught by direct detection techniques. However, the temporal response in physiology, performance, and Athlete Biological Passport (ABP) parameters to such regimens is not clearly understood. Participants were assigned to a high-dose only group (HIGH, n = 8, six rHuEPO doses of 250 IU/kg over two weeks), a combined high micro-dose group (COMB, n = 8, high-dose plus nine rHuEPO micro-doses over a further three weeks), or one of two placebo control groups who received saline in the same pattern as the HIGH (HIGH-PLACEBO, n = 4) or COMB (COMB-PLACEBO, n = 4) groups. Temporal changes in physiology and performance were tracked by graded exercise test (GXT) and haemoglobin mass assessment at baseline, after high dose, after micro-dose (COMB and COMB-PLACEBO only) and after a four-week washout. Venous blood samples were collected throughout the baseline, rHuEPO administration, and washout periods to determine the haematological and ABP response to each dosing regimen. Physiological adaptations induced by a two-week rHuEPO high-dose were maintained by rHuEPO micro-dosing for at least three weeks. However, all participants administered rHuEPO registered at least one suspicious ABP value during the administration or washout periods. These results indicate there is sufficient sensitivity in the ABP to detect use of high rHuEPO doping regimens in athletic populations and they provide important empirical examples for use by anti-doping experts. Copyright © 2017 John Wiley &amp; Sons, Ltd. Copyright © 2017 John Wiley &amp; Sons, Ltd.</t>
  </si>
  <si>
    <t>https://search.ebscohost.com/login.aspx?direct=true&amp;db=mdc&amp;AN=28214385&amp;site=ehost-live</t>
  </si>
  <si>
    <t>The acceleration and deceleration profiles of elite female soccer players during competitive matches.</t>
  </si>
  <si>
    <t>Mara JK; Thompson KG; Pumpa KL; Morgan S</t>
  </si>
  <si>
    <t>10.1016/j.jsams.2016.12.078</t>
  </si>
  <si>
    <t>Acceleration; Deceleration; Soccer physiology; Adult; Athletic Performance; Female; Humans; Running physiology; Video Recording; Young Adult</t>
  </si>
  <si>
    <t>Objectives: The aim of this study was to determine the acceleration (≥2ms -2 ) and deceleration (≤-2ms -2 ) profiles of elite female soccer players during competitive matches. Design: Single cohort, observational study. Methods: An Optical Player Tracking system was used to determine acceleration (≥2ms -2 ) and deceleration (≤-2ms -2 ) variables for twelve elite female players across seven competitive matches. Results: In total, players performed 423 (±126) accelerations and 430 (±125) decelerations per match. It was shown that the number of accelerations (p=0.003-0.034, partial η 2 =0.229-321) and decelerations (p=0.012-0.031, partial η 2 =0.233-275) at different intensities (based on the start and final velocity) varied according to player position. Mean and maximum distance per effort was 1-4m and 2-8m, respectively, and differed between each intensity category (p&lt;0.001, partial η 2 =0.753-0.908). The mean time between efforts was 14s for both accelerations (±5s) and decelerations (±4s) and fluctuated between 15min time periods (p&lt;0.001, partial η 2 =0.148-0.206). Conclusions: The acceleration and deceleration profiles varied according to player position and time period of the match. The results of this study can be used to design match-specific acceleration and deceleration drills to enhance change of speed ability. Copyright © 2017 Sports Medicine Australia. Published by Elsevier Ltd. All rights reserved.</t>
  </si>
  <si>
    <t>https://search.ebscohost.com/login.aspx?direct=true&amp;db=mdc&amp;AN=28173971&amp;site=ehost-live</t>
  </si>
  <si>
    <t>The acute effect of match play on hamstring strength and lower limb flexibility in elite youth football players.</t>
  </si>
  <si>
    <t>10.1111/sms.12655</t>
  </si>
  <si>
    <t>Hamstring Muscles physiology; Leg physiology; Muscle Strength; Range of Motion, Articular physiology; Soccer physiology; Adolescent; Humans; Male</t>
  </si>
  <si>
    <t>The aim of this study was to investigate the effect of competitive football match play on hamstring strength and lower limb flexibility. Fifteen male international youth football players were included. Hamstring strength and associated pain ratings, ankle dorsiflexion, hip extension, knee extension and flexion range of motion were evaluated immediately post-match and at intervals of 24, 48, and 72 h post-match. Strength significantly reduced post-match (P &lt; 0.01), mean difference -0.43 (CI 95 : -0.56, -0.30) and 24 h post (P &lt; 0.05) mean difference -0.12 Nm/kg (CI 95 : -0.20, -0.04). The associated pain scores significantly increased at the post-match (P &lt; 0.01, ES = 0.61) and 24 h (P &lt; 0.01, ES = 0.55) time intervals. At the 48 and 72 h post-match tests no significant difference was found for strength or pain ratings. No significant differences were detected for any of the range of motion measures. Competitive football match play has a significant acute and transient effect on isometric hamstring strength and associated pain levels during resisted knee flexion in male international youth players. Range of motion measures appear to remain relatively unaffected by match play. Isometric hamstring strength testing and associated pain levels might be considered for inclusion in-season to monitor player's post-match hamstring recovery characteristics. © 2016 John Wiley &amp; Sons A/S. Published by John Wiley &amp; Sons Ltd.</t>
  </si>
  <si>
    <t>https://search.ebscohost.com/login.aspx?direct=true&amp;db=mdc&amp;AN=26926311&amp;site=ehost-live</t>
  </si>
  <si>
    <t>The effect of cadence on the muscle-tendon mechanics of the gastrocnemius muscle during walking.</t>
  </si>
  <si>
    <t>Brennan SF; Cresswell AG; Farris DJ; Lichtwark GA</t>
  </si>
  <si>
    <t>10.1111/sms.12656</t>
  </si>
  <si>
    <t>Muscle, Skeletal physiology; Tendons physiology; Walking Speed physiology; Adult; Biomechanical Phenomena; Electromyography; Energy Metabolism; Female; Humans; Leg; Male; Walking physiology; Young Adult</t>
  </si>
  <si>
    <t>Humans naturally select a cadence that minimizes metabolic cost at a constant walking velocity. The aim of this study was to examine the effects of cadence on the medial gastrocnemius (MG) muscle and tendon interaction, and examine how this might influence lower limb energetics. We hypothesized that cadences higher than preferred would increase MG fascicle shortening velocity because of the reduced stride time. Furthermore, we hypothesized that cadences lower than preferred would require greater MG fascicle shortening to achieve increased muscle work requirements. We measured lower limb kinematics and kinetics, surface electromyography of the triceps surae and MG fascicle length, via ultrasonography, during walking at a constant velocity at the participants' preferred cadence and offsets of ±10%, ±20%, and ±30%. There was a significant increase in MG fascicle shortening with decreased cadence. However, there was no increase in the MG fascicle shortening velocity at cadences higher than preferred. Cumulative MG muscle activation per minute was significantly increased at higher cadences. We conclude that low cadence walking requires more MG shortening work, while MG muscle and tendon function changes little for each stride at higher cadences, driving up cumulative activation costs due to the increase in steps per minute. © 2016 John Wiley &amp; Sons A/S. Published by John Wiley &amp; Sons Ltd.</t>
  </si>
  <si>
    <t>https://search.ebscohost.com/login.aspx?direct=true&amp;db=mdc&amp;AN=26888631&amp;site=ehost-live</t>
  </si>
  <si>
    <t>The Effect of Initial Knee Angle on Concentric-Only Squat Jump Performance.</t>
  </si>
  <si>
    <t>Mitchell LJ; Argus CK; Taylor KL; Sheppard JM; Chapman DW</t>
  </si>
  <si>
    <t>10.1080/02701367.2017.1293777</t>
  </si>
  <si>
    <t>Knee Joint anatomy &amp; histology; Knee Joint physiology; Plyometric Exercise; Adult; Biomechanical Phenomena; Humans; Male; Movement</t>
  </si>
  <si>
    <t>Purpose: There is uncertainty as to which knee angle during a squat jump (SJ) produces maximal jump performance. Importantly, understanding this information will aid in determining appropriate ratios for assessment and monitoring of the explosive characteristics of athletes. Method: This study compared SJ performance across different knee angles-90º, 100º, 110º, 120º, 130º, and a self-selected depth-for jump height and other kinetic characteristics. For comparison between SJ and an unconstrained dynamic movement, participants also performed a countermovement jump from a self-selected depth. Thirteen participants (M age = 25.4 ± 3.5 years, M height = 1.8 ± 0.06 m, M weight = 79.8 ± 9.5 kg) were recruited and tested for their SJ performance. Results: In the SJ, maximal jump height (35.4 ± 4.6 cm) was produced using a self-selected knee angle (98.7 ± 11.2°). Differences between 90°, 100°, and self-selected knee angles for jump height were trivial (ES ± 90% CL = 90°-100° 0.23 ± 0.12, 90°-SS -0.04 ± 0.12, 100°-SS -0.27 ± 0.20; 0.5-2.4 cm) and not statistically different. Differences between all other knee angles for jump height ranged from 3.8 ± 2.0 cm (mean ± 90% CL) to 16.6 ± 2.2 cm. A similar outcome to jump height was observed for velocity, force relative to body weight, and impulse for the assessed knee angles. Conclusions: For young physically active adult men, the use of a self-selected depth in the SJ results in optimal performance and has only a trivial difference to a constrained knee angle of either 90° or 100°.</t>
  </si>
  <si>
    <t>https://search.ebscohost.com/login.aspx?direct=true&amp;db=mdc&amp;AN=28339350&amp;site=ehost-live</t>
  </si>
  <si>
    <t>The effect of leg dominance and landing height on ACL loading among female athletes.</t>
  </si>
  <si>
    <t>Mokhtarzadeh H; Ewing K; Janssen I; Yeow CH; Brown N; Lee PVS</t>
  </si>
  <si>
    <t>10.1016/j.jbiomech.2017.06.033</t>
  </si>
  <si>
    <t>Anterior Cruciate Ligament physiology; Lower Extremity physiology; Movement physiology; Adult; Anterior Cruciate Ligament Injuries physiopathology; Athletes; Biomechanical Phenomena; Female; Humans; Models, Biological; Muscle, Skeletal physiology; Sports; Young Adult</t>
  </si>
  <si>
    <t>Female athletes are more prone to anterior cruciate ligament (ACL) injury. A neuromuscular imbalance called leg dominance may provide a biomechanical explanation. Therefore, the purpose of this study was to compare the side-to-side lower limb differences in movement patterns, muscle forces and ACL forces during a single-leg drop-landing task from two different heights. We hypothesized that there will be significant differences in lower limb movement patterns (kinematics), muscle forces and ACL loading between the dominant and non-dominant limbs. Further, we hypothesized that significant differences between limbs will be present when participants land from a greater drop-landing height. Eight recreational female participants performed dominant and non-dominant single-leg drop landings from 30 to 60cm. OpenSim software was used to develop participant-specific musculoskeletal models and to calculate muscle forces. We also predicted ACL loading using our previously established method. There were no significant differences between dominant and non-dominant leg landing except in ankle dorsiflexion and GMED muscle forces at peak GRF. Landing from a greater height resulted in significant differences among most kinetics and kinematics variables and ACL forces. Minimal differences in lower-limb muscle forces and ACL loading between the dominant and non-dominant legs during single-leg landing may suggest similar risk of injury across limbs in this cohort. Further research is required to confirm whether limb dominance may play an important role in the higher incidence of ACL injury in female athletes with larger and sport-specific cohorts. Copyright © 2017 Elsevier Ltd. All rights reserved.</t>
  </si>
  <si>
    <t>https://search.ebscohost.com/login.aspx?direct=true&amp;db=mdc&amp;AN=28712544&amp;site=ehost-live</t>
  </si>
  <si>
    <t>The effects of attentional focus instructions on punching velocity and impact forces among trained combat athletes.</t>
  </si>
  <si>
    <t>Halperin I; Chapman DW; Martin DT; Abbiss C</t>
  </si>
  <si>
    <t>10.1080/02640414.2016.1175651</t>
  </si>
  <si>
    <t>Athletic Performance psychology; Attention; Boxing psychology; Physical Conditioning, Human methods; Reinforcement, Verbal; Adult; Cues; Female; Humans; Male; Movement; Young Adult</t>
  </si>
  <si>
    <t>Research indicates that instructing athlete's to focus on bodily movements (internal focus of attention [IFA]) may hinder performance, whereas instructing them to focus on the movement outcome (external focus of attention [EFA]) often enhances performance. Despite the importance of instructions in striking combat sports, limited research has examined the influence of IFA and EFA on performance in well-trained combat athletes. This study investigated the effects of different instructional cues on punching velocity (m · s -1 ) and normalised impact forces (N · kg -1 ) among intermediate (n = 8) and expert (n = 7) competitive boxers and kickboxers. Athletes completed three rounds of 12 maximal effort punches delivered to a punching integrator on three separate days. Day one was a familiarisation session with only control instructions provided. In the following two days athletes randomly received IFA, EFA or control instructions prior to each of the three rounds. Athletes punching with EFA were 4% faster and 5% more forceful than IFA (P &lt; 0.05), and 2% faster and 3% more forceful than control (P &lt; 0.05). Furthermore, experts punched 11% faster and with 13% greater force compared with intermediate athletes (P &lt; 0.05). EFA led to a positive effect on punching performance and should be favoured over IFA and control instructions.</t>
  </si>
  <si>
    <t>https://search.ebscohost.com/login.aspx?direct=true&amp;db=mdc&amp;AN=27088370&amp;site=ehost-live</t>
  </si>
  <si>
    <t>The effects of C5aR1 on leukocyte infiltration following pilocarpine-induced status epilepticus.</t>
  </si>
  <si>
    <t>Benson MJ; Manzanero S; Borges K</t>
  </si>
  <si>
    <t>Epilepsia</t>
  </si>
  <si>
    <t>e54</t>
  </si>
  <si>
    <t>10.1111/epi.13698</t>
  </si>
  <si>
    <t>Blackwell Science</t>
  </si>
  <si>
    <t>Leukocytes drug effects; Muscarinic Agonists toxicity; Neutrophil Infiltration drug effects; Pilocarpine toxicity; Receptor, Anaphylatoxin C5a metabolism; Status Epilepticus pathology; Animals; Disease Models, Animal; Flow Cytometry; Gene Expression Regulation drug effects; Gene Expression Regulation genetics; Interleukin-4 metabolism; Leukocyte Common Antigens metabolism; Male; Mice; Mice, Transgenic; Microglia drug effects; Neutrophil Infiltration genetics; Receptor, Anaphylatoxin C5a genetics; Status Epilepticus chemically induced; Status Epilepticus metabolism</t>
  </si>
  <si>
    <t>This study aimed to determine the role C5aR1 plays in mediating immune responses acutely after pilocarpine-induced status epilepticus (SE), specifically those of brain-infiltrating leukocytes. Three days following pilocarpine SE, we determined by flow cytometry the brain immune cell phenotypes and measured key proinflammatory and antiinflammatory cytokine expression by infiltrating leukocytes and microglia in C5aR1-deficient and wild-type mice. Absence of C5aR1 reduced by 47% the numbers of Ly6G + neutrophils in the brains of No-SE mice and decreased neutrophil entry after SE to levels found in wild-type brains that did not undergo SE (No-SE). Moreover, C5aR1-deficient mice showed increased interleukin (IL)-4 expression in infiltrating leukocytes, but not in microglia. Increases in IL-4 expression in infiltrating leukocytes coupled with decreased neutrophil invasion in C5aR1-deficient mice after SE is likely to contribute to the reduced neuronal loss previously found in these mice compared to their wild-type littermates. Although other SE models need to be investigated to substantiate our findings, this study provides further evidence that C5aR1 is an inflammatory mediator and may play a role in epileptogenesis. Wiley Periodicals, Inc. © 2017 International League Against Epilepsy.</t>
  </si>
  <si>
    <t>https://search.ebscohost.com/login.aspx?direct=true&amp;db=mdc&amp;AN=28225153&amp;site=ehost-live</t>
  </si>
  <si>
    <t>The Effects of the Removal of Electronic Devices for 48 Hours on Sleep in Elite Judo Athletes.</t>
  </si>
  <si>
    <t>Dunican IC; Martin DT; Halson SL; Reale RJ; Dawson BT; Caldwell JA; Jones MJ; Eastwood PR</t>
  </si>
  <si>
    <t>10.1519/JSC.0000000000001697</t>
  </si>
  <si>
    <t>Athletes; Computers, Handheld; Martial Arts physiology; Sleep physiology; Actigraphy; Adolescent; Athletic Performance; Australia; Cognition; Humans; Male; Perception; Young Adult</t>
  </si>
  <si>
    <t>This study examined the effects of evening use of electronic devices (i.e., smartphones, etc.) on sleep quality and next-day athletic and cognitive performance in elite judo athletes. Over 6 consecutive days and nights, 23 elite Australian judo athletes were monitored while attending a camp at the Australian Institute of Sport (AIS). In 14 athletes, all electronic devices were removed on days 3 and 4 (i.e., for 48 hours: the "device-restricted group"), whereas 9 were permitted to use their devices throughout the camp (the "control group"). All athletes wore an activity monitor (Readiband) continuously to provide measures of sleep quantity and quality. Other self-reported (diary) measures included time in bed, electronic device use, and rate of perceived exertion during training periods. Cognitive performance (Cogstate) and physical performance (single leg triple hop test) were also measured. When considering night 2 as a "baseline" for each group, removal of electronic devices on nights 3 and 4 (device-restricted group) resulted in no significant differences in any sleep-related measure between the groups. When comparing actigraphy-based measures of sleep to subjective measures, all athletes significantly overestimated sleep duration by 58 ± 85 minutes (p = 0.001) per night and underestimated time of sleep onset by 37 ± 72 minutes (p = 0.001) per night. No differences in physical or cognitive function were observed between the groups. Conclusion: This study has shown that the removal of electronic devices for a period of two nights (48 hours) during a judo camp does not affect sleep quality or quantity or influence athletic or cognitive performance.</t>
  </si>
  <si>
    <t>https://search.ebscohost.com/login.aspx?direct=true&amp;db=mdc&amp;AN=28081034&amp;site=ehost-live</t>
  </si>
  <si>
    <t>The generalizability of working-memory capacity in the sport domain.</t>
  </si>
  <si>
    <t>Buszard T; Masters RS; Farrow D</t>
  </si>
  <si>
    <t>Current opinion in psychology</t>
  </si>
  <si>
    <t>10.1016/j.copsyc.2017.04.018</t>
  </si>
  <si>
    <t>Working-memory capacity has been implicated as an influential variable when performing and learning sport-related skills. In this review, we critically evaluate evidence linking working-memory capacity with performing under pressure, tactical decision making, motor skill acquisition, and sport expertise. Laboratory experiments link low working-memory capacity with poorer performance under pressure and poorer decision making when required to inhibit distractions or resolve conflict. However, the generalizability of these findings remains unknown. While working-memory capacity is associated with the acquisition of simple motor skills, there is no such evidence from the available data for complex motor skills. Likewise, currently there is no evidence to suggest that a larger working-memory capacity facilitates the attainment of sport expertise. Copyright © 2017 Elsevier Ltd. All rights reserved.</t>
  </si>
  <si>
    <t>https://search.ebscohost.com/login.aspx?direct=true&amp;db=mdc&amp;AN=28813355&amp;site=ehost-live</t>
  </si>
  <si>
    <t>The influence of ball-swing on the timing and coordination of a natural interceptive task.</t>
  </si>
  <si>
    <t>Sarpeshkar V; Mann DL; Spratford W; Abernethy B</t>
  </si>
  <si>
    <t>10.1016/j.humov.2017.04.003</t>
  </si>
  <si>
    <t>Athletic Performance; Movement; Psychomotor Performance; Adolescent; Adult; Athletes; Biomechanical Phenomena; Discriminant Analysis; Humans; Male; Probability; Sports; Young Adult</t>
  </si>
  <si>
    <t>Successful interception relies on the use of perceptual information to accurately guide an efficient movement strategy that allows performers to be placed at the right place at the right time. Although previous studies have highlighted the differences in the timing and coordination of movement that underpin interceptive expertise, very little is known about how these movement patterns are adapted when intercepting targets that follow a curvilinear flight-path. The aim of this study was to examine how curvilinear ball-trajectories influence movement patterns when intercepting a fast-moving target. Movement timing and coordination was examined when four groups of cricket batters, who differed in their skill level and/or age, hit targets that followed straight or curvilinear flight-paths. The results revealed that when compared to hitting straight trials, (i) mixing straight with curvilinear trials altered movement coordination and when the ball was hit, (ii) curvilinear trajectories reduced interceptive performance and significantly delayed the timing of all kinematic moments, but there were (iii) larger decrease in performance when the ball swung away from (rather than in towards) the performer. Movement coordination differed between skill but not age groups, suggesting that skill-appropriate movement patterns that are apparent in adults may have fully emerged by late adolescence. Copyright © 2017 Elsevier B.V. All rights reserved.</t>
  </si>
  <si>
    <t>https://search.ebscohost.com/login.aspx?direct=true&amp;db=mdc&amp;AN=28410536&amp;site=ehost-live</t>
  </si>
  <si>
    <t>The reliability of a maximal isometric hip strength and simultaneous surface EMG screening protocol in elite, junior rugby league athletes.</t>
  </si>
  <si>
    <t>Charlton PC; Mentiplay BF; Grimaldi A; Pua YH; Clark RA</t>
  </si>
  <si>
    <t>10.1016/j.jsams.2016.06.008</t>
  </si>
  <si>
    <t>Electromyography methods; Football physiology; Hip Joint; Isometric Contraction physiology; Muscle Strength physiology; Adolescent; Groin injuries; Humans; Male; Muscle Strength Dynamometer; Reproducibility of Results; Young Adult</t>
  </si>
  <si>
    <t>Objectives: Firstly to describe the reliability of assessing maximal isometric strength of the hip abductor and adductor musculature using a hand held dynamometry (HHD) protocol with simultaneous wireless surface electromyographic (sEMG) evaluation of the gluteus medius (GM) and adductor longus (AL). Secondly, to describe the correlation between isometric strength recorded with the HHD protocol and a laboratory standard isokinetic device. Design: Reliability and correlational study. Methods: A sample of 24 elite, male, junior, rugby league athletes, age 16-20 years participated in repeated HHD and isometric Kin-Com (KC) strength testing with simultaneous sEMG assessment, on average (range) 6 (5-7) days apart by a single assessor. Strength tests included; unilateral hip abduction (ABD) and adduction (ADD) and bilateral ADD assessed with squeeze (SQ) tests in 0 and 45° of hip flexion. Results: HHD demonstrated good to excellent inter-session reliability for all outcome measures (ICC (2,1) =0.76-0.91) and good to excellent association with the laboratory reference KC (ICC (2,1) =0.80-0.88). Whilst intra-session, inter-trial reliability of EMG activation and co-activation outcome measures ranged from moderate to excellent (ICC (2,1) =0.70-0.94), inter-session reliability was poor (all ICC (2,1) &lt;0.50). Conclusions: Isometric strength testing of the hip ABD and ADD musculature using HHD may be measured reliably in elite, junior rugby league athletes. Due to the poor inter-session reliability of sEMG measures, it is not recommended for athlete screening purposes if using the techniques implemented in this study. Copyright © 2016 Sports Medicine Australia. Published by Elsevier Ltd. All rights reserved.</t>
  </si>
  <si>
    <t>https://search.ebscohost.com/login.aspx?direct=true&amp;db=mdc&amp;AN=27473653&amp;site=ehost-live</t>
  </si>
  <si>
    <t>Variability of Jump Kinetics Related to Training Load in Elite Female Basketball.</t>
  </si>
  <si>
    <t>Legg J; Pyne DB; Semple S; Ball N</t>
  </si>
  <si>
    <t>10.3390/sports5040085</t>
  </si>
  <si>
    <t>The purpose of this study was to quantify changes in jump performance and variability in elite female basketballers. Junior and senior female representative basketball players ( n = 10) aged 18 ± 2 years participated in this study. Countermovement jump (CMJ) data was collected with a Gymaware™ optical encoder at pre-, mid-, and post-season time points across 10 weeks. Jump performance was maintained across the course of the full season (from pre to post). Concentric peak velocity, jump height, and dip showed the most stability from pre- to post-season, with the %CV ranging from 5.6⁻8.9%. In the period of the highest training load (mid-season), the variability of within-subject performance was reduced by approximately 2⁻4% in all measures except for jump height. Altered jump mechanics through a small (0.26 effect size) increase in dip were evident at mid-season, suggesting that CMJ analysis is useful for coaches to use as an in-season monitoring tool. The highest coefficient of variation (8⁻22%CV) in inter-set scores in all measures except eccentric peak velocity also occurred mid-season. It appears that in-season load not only impairs jump performance, but also movement variability in basketball players. Competing Interests: The authors declare no conflict of interest.</t>
  </si>
  <si>
    <t>https://search.ebscohost.com/login.aspx?direct=true&amp;db=mdc&amp;AN=29910445&amp;site=ehost-live</t>
  </si>
  <si>
    <t>Vitamin C-enriched gelatin supplementation before intermittent activity augments collagen synthesis.</t>
  </si>
  <si>
    <t>Shaw G; Lee-Barthel A; Ross ML; Wang B; Baar K</t>
  </si>
  <si>
    <t>The American journal of clinical nutrition</t>
  </si>
  <si>
    <t>10.3945/ajcn.116.138594</t>
  </si>
  <si>
    <t>Amino Acids blood; Ascorbic Acid pharmacology; Collagen biosynthesis; Dietary Supplements; Exercise physiology; Gelatin pharmacology; Adult; Athletic Injuries prevention &amp; control; Biomechanical Phenomena; Cross-Over Studies; Double-Blind Method; Gelatin blood; Humans; Ligaments drug effects; Ligaments metabolism; Male; Peptide Fragments blood; Procollagen blood; Young Adult</t>
  </si>
  <si>
    <t>Background: Musculoskeletal injuries are the most common complaint in active populations. More than 50% of all injuries in sports can be classified as sprains, strains, ruptures, or breaks of musculoskeletal tissues. Nutritional and/or exercise interventions that increase collagen synthesis and strengthen these tissues could have an important effect on injury rates. Objective: This study was designed to determine whether gelatin supplementation could increase collagen synthesis. Design: Eight healthy male subjects completed a randomized, double-blinded, crossover-design study in which they consumed either 5 or 15 g of vitamin C-enriched gelatin or a placebo control. After the initial drink, blood was taken every 30 min to determine amino acid content in the blood. A larger blood sample was taken before and 1 h after consumption of gelatin for treatment of engineered ligaments. One hour after the initial supplement, the subjects completed 6 min of rope-skipping to stimulate collagen synthesis. This pattern of supplementation was repeated 3 times/d with ≥6 h between exercise bouts for 3 d. Blood was drawn before and 4, 24, 48, and 72 h after the first exercise bout for determination of amino-terminal propeptide of collagen I content. Results: Supplementation with increasing amounts of gelatin increased circulating glycine, proline, hydroxyproline, and hydroxylysine, peaking 1 h after the supplement was given. Engineered ligaments treated for 6 d with serum from samples collected before or 1 h after subjects consumed a placebo or 5 or 15 g gelatin showed increased collagen content and improved mechanics. Subjects who took 15 g gelatin 1 h before exercise showed double the amino-terminal propeptide of collagen I in their blood, indicating increased collagen synthesis. Conclusion: These data suggest that adding gelatin to an intermittent exercise program improves collagen synthesis and could play a beneficial role in injury prevention and tissue repair. This trial was registered at the Australian New Zealand Clinical Trials Registry as ACTRN12616001092482. © 2017 American Society for Nutrition.</t>
  </si>
  <si>
    <t>https://search.ebscohost.com/login.aspx?direct=true&amp;db=mdc&amp;AN=27852613&amp;site=ehost-live</t>
  </si>
  <si>
    <t>What is the most accurate and reliable methodological approach for predicting peak height velocity in adolescents? A systematic review.</t>
  </si>
  <si>
    <t>Mills K; Baker D; Pacey V; Wollin M; Drew MK</t>
  </si>
  <si>
    <t>10.1016/j.jsams.2016.10.012</t>
  </si>
  <si>
    <t>Adolescent Development physiology; Body Height physiology; Adolescent; Decision Support Techniques; Humans; Radiography; Reproducibility of Results</t>
  </si>
  <si>
    <t>Objectives: To identify the most accurate method of predicting peak height velocity in adolescents. Design: Systematic review. Methods: A comprehensive literature search of six electronic databases and reference lists was conducted. Studies that met selection criteria of (1) observational longitudinal cohort study (2) reproducible method/s of predicting peak height velocity (3) minimum six-month follow-up (4) healthy male and/or female adolescent subjects, with the exception of participants with adolescent idiopathic scoliosis, were considered for review. Studies were screened using a modified quality assessment checklist, with only those scoring &gt;50% included. The type of surrogate measure of peak height velocity, its reliability and ability to predict peak height velocity were extracted from the year or stage immediately preceding peak height velocity. We defined "predict" as when both the estimates of effect and 95% confidence intervals of the surrogate occurred prior to the actual age of PHV. Results: The nine included studies examined three anthropometric, three equation and four radiographic-based surrogates for PHV. Of these, the radiographic measures were reported to exhibit moderate to high intra- and inter-rater reliability. Three of the four radiographic surrogates predicted PHV. Two anthropometric measures also predicted PHV but reliability of the measures is unknown. All equation-based methods predicted the timing of PHV to occur later than it actually happened when applied in the year prior to expected PHV. Conclusions: In the year/stage immediately preceding peak height velocity, radiograph-based methods appear to be accurate and reliable surrogates. Copyright © 2016 Sports Medicine Australia. Published by Elsevier Ltd. All rights reserved.</t>
  </si>
  <si>
    <t>https://search.ebscohost.com/login.aspx?direct=true&amp;db=mdc&amp;AN=27836627&amp;site=ehost-live</t>
  </si>
  <si>
    <t>Who 'owns' the injury or illness? Who 'owns' performance? Applying systems thinking to integrate health and performance in elite sport.</t>
  </si>
  <si>
    <t>Mooney M; Charlton PC; Soltanzadeh S; Drew MK</t>
  </si>
  <si>
    <t>10.1136/bjsports-2016-096649</t>
  </si>
  <si>
    <t>Athletic Injuries; Athletic Performance; Systems Analysis; Humans; Sports</t>
  </si>
  <si>
    <t>https://search.ebscohost.com/login.aspx?direct=true&amp;db=mdc&amp;AN=28330847&amp;site=ehost-live</t>
  </si>
  <si>
    <t>Working Memory Capacity Limits Motor Learning When Implementing Multiple Instructions.</t>
  </si>
  <si>
    <t>Buszard T; Farrow D; Verswijveren SJJM; Reid M; Williams J; Polman R; Ling FCM; Masters RSW</t>
  </si>
  <si>
    <t>10.3389/fpsyg.2017.01350</t>
  </si>
  <si>
    <t>Although it is generally accepted that certain practice conditions can place large demands on working memory (WM) when performing and learning a motor skill, the influence that WM capacity has on the acquisition of motor skills remains unsubstantiated. This study examined the role of WM capacity in a motor skill practice context that promoted WM involvement through the provision of explicit instructions. A cohort of 90 children aged 8 to 10 years were assessed on measures of WM capacity and attention. Children who scored in the lowest and highest thirds on the WM tasks were allocated to lower WM capacity ( n = 24) and higher WM capacity ( n = 24) groups, respectively. The remaining 42 participants did not participate in the motor task. The motor task required children to practice basketball shooting for 240 trials in blocks of 20 shots, with pre- and post-tests occurring before and after the intervention. A retention test was administered 1 week after the post-test. Prior to every practice block, children were provided with five explicit instructions that were specific to the technique of shooting a basketball. Results revealed that the higher WM capacity group displayed consistent improvements from pre- to post-test and through to the retention test, while the opposite effect occurred in the lower WM capacity group. This implies that the explicit instructions had a negative influence on learning by the lower WM capacity children. Results are discussed in relation to strategy selection for dealing with instructions and the role of attention control.</t>
  </si>
  <si>
    <t>https://search.ebscohost.com/login.aspx?direct=true&amp;db=mdc&amp;AN=28878701&amp;site=ehost-live</t>
  </si>
  <si>
    <t>Yes, rolling averages are a good way to assess training load for injury prevention. Is there a better way? Probably, but we have not seen the evidence.</t>
  </si>
  <si>
    <t>Drew MK; Blanch P; Purdam C; Gabbett TJ</t>
  </si>
  <si>
    <t>10.1136/bjsports-2016-096609</t>
  </si>
  <si>
    <t>Athletes; Cumulative Trauma Disorders; Humans; Incidence; Prevalence; Risk Factors; Wrist</t>
  </si>
  <si>
    <t>https://search.ebscohost.com/login.aspx?direct=true&amp;db=mdc&amp;AN=27647857&amp;site=ehost-live</t>
  </si>
  <si>
    <t>A holistic measurement model of movement competency in children.</t>
  </si>
  <si>
    <t>Rudd J; Butson ML; Barnett L; Farrow D; Berry J; Borkoles E; Polman R</t>
  </si>
  <si>
    <t>10.1080/02640414.2015.1061202</t>
  </si>
  <si>
    <t>Australia; Exercise Test methods; Models, Statistical; Motor Activity physiology; Motor Skills physiology; Anthropometry; Australia; Child; Exercise Test statistics &amp; numerical data; Factor Analysis, Statistical; Female; Humans; Male; Movement physiology; Reproducibility of Results</t>
  </si>
  <si>
    <t>Different countries have different methods for assessing movement competence in children; however, it is unclear whether the test batteries that are used measure the same aspects of movement competence. The aim of this paper was to (1) investigate whether the Test of Gross Motor Development (TGMD-2) and Körperkoordinations Test für Kinder (KTK) measure the same aspects of children's movement competence and (2) examine the factorial structure of the TGMD-2 and KTK in a sample of Australian children. A total of 158 children participated (M age = 9.5; SD = 2.2). First, confirmatory factor analysis examined the independent factorial structure of the KTK and TGMD-2. Second, it was investigated whether locomotor, object control and body coordination loaded on the latent variable Movement Competency. Confirmatory factor analysis indicated an adequate fit for both the KTK and TGMD-2. An adequate fit was also achieved for the final model. In this model, locomotor (r = .86), object control (r = .71) and body coordination (r = .52) loaded on movement competence. Findings support our hypothesis that the TGMD-2 and KTK measure discrete aspects of movement competence. Future researchers and practitioners should consider using a wider range of test batteries to assess movement competence.</t>
  </si>
  <si>
    <t>https://search.ebscohost.com/login.aspx?direct=true&amp;db=mdc&amp;AN=26119031&amp;site=ehost-live</t>
  </si>
  <si>
    <t>A randomized trial of high-dairy-protein, variable-carbohydrate diets and exercise on body composition in adults with obesity.</t>
  </si>
  <si>
    <t>Parr EB; Coffey VG; Cato LE; Phillips SM; Burke LM; Hawley JA</t>
  </si>
  <si>
    <t>Obesity (Silver Spring, Md.)</t>
  </si>
  <si>
    <t>10.1002/oby.21451</t>
  </si>
  <si>
    <t>Body Composition; Caloric Restriction; Dairy Products; Dietary Carbohydrates administration &amp; dosage; Exercise; Obesity therapy; Absorptiometry, Photon; Adult; Dietary Proteins administration &amp; dosage; Female; Humans; Male; Middle Aged; Milk Proteins administration &amp; dosage; Obesity physiopathology; Overweight diet therapy; Weight Loss drug effects</t>
  </si>
  <si>
    <t>Objective: This study determined the effects of 16-week high-dairy-protein, variable-carbohydrate (CHO) diets and exercise training (EXT) on body composition in men and women with overweight/obesity. Methods: One hundred and eleven participants (age 47 ± 6 years, body mass 90.9 ± 11.7 kg, BMI 33 ± 4 kg/m(2) , values mean ± SD) were randomly stratified to diets with either: high dairy protein, moderate CHO (40% CHO: 30% protein: 30% fat; ∼4 dairy servings); high dairy protein, high CHO (55%: 30%: 15%; ∼4 dairy servings); or control (55%: 15%: 30%; ∼1 dairy serving). Energy restriction (500 kcal/day) was achieved through diet (∼250 kcal/day) and EXT (∼250 kcal/day). Body composition was measured using dual-energy X-ray absorptiometry before, midway, and upon completion of the intervention. Results: Eighty-nine (25 M/64 F) of 115 participants completed the 16-week intervention, losing 7.7 ± 3.2 kg fat mass (P &lt; 0.001) and gaining 0.50 ± 1.75 kg lean mass (P &lt; 0.01). There was no difference in the changes in body composition (fat mass or lean mass) between groups. Conclusions: Compared to a healthy control diet, energy-restricted high-protein diets containing different proportions of fat and CHO confer no advantage to weight loss or change in body composition in the presence of an appropriate exercise stimulus. © 2016 The Obesity Society.</t>
  </si>
  <si>
    <t>https://search.ebscohost.com/login.aspx?direct=true&amp;db=mdc&amp;AN=26931302&amp;site=ehost-live</t>
  </si>
  <si>
    <t>Altering fatty acid availability does not impair prolonged, continuous running to fatigue: evidence for carbohydrate dependence.</t>
  </si>
  <si>
    <t>Leckey JJ; Burke LM; Morton JP; Hawley JA</t>
  </si>
  <si>
    <t>10.1152/japplphysiol.00855.2015</t>
  </si>
  <si>
    <t>Dietary Carbohydrates metabolism; Energy Metabolism physiology; Fatigue blood; Fatigue physiopathology; Fatty Acids, Nonesterified blood; Running physiology; Adult; Exercise physiology; Fatigue metabolism; Glycerol metabolism; Humans; Lipolysis physiology; Male; Oxidation-Reduction; Single-Blind Method</t>
  </si>
  <si>
    <t>We determined the effect of suppressing lipolysis via administration of nicotinic acid (NA) on fuel substrate selection and half-marathon running capacity. In a single-blinded, Latin square design, 12 competitive runners completed four trials involving treadmill running until volitional fatigue at a pace based on 95% of personal best half-marathon time. Trials were completed in a fed or overnight fasted state: 1) carbohydrate (CHO) ingestion before (2 g CHO·kg(-1)·body mass(-1)) and during (44 g/h) [CFED]; 2) CFED plus NA ingestion [CFED-NA]; 3) fasted with placebo ingestion during [FAST]; and 4) FAST plus NA ingestion [FAST-NA]. There was no difference in running distance (CFED, 21.53 ± 1.07; CFED-NA, 21.29 ± 1.69; FAST, 20.60 ± 2.09; FAST-NA, 20.11 ± 1.71 km) or time to fatigue between the four trials. Concentrations of plasma free fatty acids (FFA) and glycerol were suppressed following NA ingestion irrespective of preexercise nutritional intake but were higher throughout exercise in FAST compared with all other trials (P &lt; 0.05). Rates of whole-body CHO oxidation were unaffected by NA ingestion in the CFED and FAST trials, but were lower in the FAST trial compared with the CFED-NA trial (P &lt; 0.05). CHO was the primary substrate for exercise in all conditions, contributing 83-91% to total energy expenditure with only a small contribution from fat-based fuels. Blunting the exercise-induced increase in FFA via NA ingestion did not impair intense running capacity lasting ∼85 min, nor did it alter patterns of substrate oxidation in competitive athletes. Although there was a small but obligatory use of fat-based fuels, the oxidation of CHO-based fuels predominates during half-marathon running. Copyright © 2016 the American Physiological Society.</t>
  </si>
  <si>
    <t>https://search.ebscohost.com/login.aspx?direct=true&amp;db=mdc&amp;AN=26586912&amp;site=ehost-live</t>
  </si>
  <si>
    <t>Bayesian Estimation of Small Effects in Exercise and Sports Science.</t>
  </si>
  <si>
    <t>Mengersen KL; Drovandi CC; Robert CP; Pyne DB; Gore CJ</t>
  </si>
  <si>
    <t>e0147311</t>
  </si>
  <si>
    <t>10.1371/journal.pone.0147311</t>
  </si>
  <si>
    <t>Exercise physiology; Models, Biological; Sports physiology; Bayes Theorem; Humans; Sports Medicine</t>
  </si>
  <si>
    <t>The aim of this paper is to provide a Bayesian formulation of the so-called magnitude-based inference approach to quantifying and interpreting effects, and in a case study example provide accurate probabilistic statements that correspond to the intended magnitude-based inferences. The model is described in the context of a published small-scale athlete study which employed a magnitude-based inference approach to compare the effect of two altitude training regimens (live high-train low (LHTL), and intermittent hypoxic exposure (IHE)) on running performance and blood measurements of elite triathletes. The posterior distributions, and corresponding point and interval estimates, for the parameters and associated effects and comparisons of interest, were estimated using Markov chain Monte Carlo simulations. The Bayesian analysis was shown to provide more direct probabilistic comparisons of treatments and able to identify small effects of interest. The approach avoided asymptotic assumptions and overcame issues such as multiple testing. Bayesian analysis of unscaled effects showed a probability of 0.96 that LHTL yields a substantially greater increase in hemoglobin mass than IHE, a 0.93 probability of a substantially greater improvement in running economy and a greater than 0.96 probability that both IHE and LHTL yield a substantially greater improvement in maximum blood lactate concentration compared to a Placebo. The conclusions are consistent with those obtained using a 'magnitude-based inference' approach that has been promoted in the field. The paper demonstrates that a fully Bayesian analysis is a simple and effective way of analysing small effects, providing a rich set of results that are straightforward to interpret in terms of probabilistic statements.</t>
  </si>
  <si>
    <t>https://search.ebscohost.com/login.aspx?direct=true&amp;db=mdc&amp;AN=27073897&amp;site=ehost-live</t>
  </si>
  <si>
    <t>Body composition of female road and track endurance cyclists: Normative values and typical changes.</t>
  </si>
  <si>
    <t>Haakonssen EC; Barras M; Burke LM; Jenkins DG; Martin DT</t>
  </si>
  <si>
    <t>10.1080/17461391.2015.1084538</t>
  </si>
  <si>
    <t>Bicycling physiology; Body Composition physiology; Track and Field physiology; Absorptiometry, Photon; Adipose Tissue physiology; Adult; Body Weight physiology; Female; Humans; Physical Endurance physiology; Reference Values; Young Adult</t>
  </si>
  <si>
    <t>The aims of this study were to describe normative values and seasonal variation of body composition in female cyclists comparing female road and track endurance cyclists, and to validate the use of anthropometry to monitor lean mass changes. Anthropometric profiles (seven site skinfolds) were measured over 16 years from 126 female cyclists. Lean mass index (LMI) was calculated as body weight × skinfolds(-x). The exponent (x) was calculated as the slope of the natural logarithm of body weight and skinfolds. Percentage changes in LMI were compared to lean mass changes measured using dual-energy X-ray absorptiometry (DXA) in a subset of 25 road cyclists. Compared to sub-elite and elite cyclists, world class cyclists were (mean [95% CI]) 1.18 kg [0.46, 1.90] and 0.60 kg [0.05, 1.15] lighter and had skinfolds that were 7.4 mm [3.8, 11.0] and 4.6 mm [1.8, 7.4] lower, respectively. Body weight (0.41 kg [0.04, 0.77]) and skinfolds (4.0 mm [2.1, 6.0]) were higher in the off-season compared to the early-season. World class female road cyclists had lower body weight (6.04 kg [2.73, 9.35]) and skinfolds (11.5 mm [1.1, 21.9]) than track endurance cyclists. LMI (mean exponent 0.15 [0.13, 0.18]) explained 87% of the variance in DXA lean mass. In conclusion, higher performing female cyclists were lighter and leaner than their less successful peers, road cyclists were lighter and leaner than track endurance cyclists, and weight and skinfolds were lowest early in the season. LMI appears to be a reasonably valid tool for monitoring lean mass changes.</t>
  </si>
  <si>
    <t>https://search.ebscohost.com/login.aspx?direct=true&amp;db=mdc&amp;AN=26366462&amp;site=ehost-live</t>
  </si>
  <si>
    <t>Chronic occupational exposures can influence the rate of PTSD and depressive disorders in first responders and military personnel.</t>
  </si>
  <si>
    <t>Walker A; McKune A; Ferguson S; Pyne DB; Rattray B</t>
  </si>
  <si>
    <t>Extreme physiology &amp; medicine</t>
  </si>
  <si>
    <t>10.1186/s13728-016-0049-x</t>
  </si>
  <si>
    <t>Background: First responders and military personnel experience rates of post-traumatic stress disorder (PTSD) far in excess of the general population. Although exposure to acute traumatic events plays a role in the genesis of these disorders, in this review, we present an argument that the occupational and environmental conditions where these workers operate are also likely contributors. Presentation of the Hypothesis: First responders and military personnel face occupational exposures that have been associated with altered immune and inflammatory activity. In turn, these physiological responses are linked to altered moods and feelings of well-being which may provide priming conditions that compromise individual resilience, and increase the risk of PTSD and depression when subsequently exposed to acute traumatic events. These exposures include heat, smoke, and sleep restriction, and physical injury often alongside heavy physical exertion. Provided the stimulus is sufficient, these exposures have been linked to inflammatory activity and modification of the hypothalamic-pituitary axis (HPA), offering a mechanism for the high rates of PTSD and depressive disorders in these occupations. Testing the Hypothesis: To test this hypothesis in the future, a case-control approach is suggested that compares individuals with PTSD or depressive disorders with healthy colleagues in a retrospective framework. This approach should characterise the relationships between altered immune and inflammatory activity and health outcomes. Wearable technology, surveys, and formal experimentation in the field will add useful data to these investigations. Implications of the Hypothesis: Inflammatory changes, linked with occupational exposures in first responders and military personnel, would highlight the need for a risk management approach to work places. Risk management strategies could focus on reducing exposure, ensuring recovery, and increasing resilience to these risk contributors to minimise the rates of PTSD and depressive disorders in vulnerable occupations.</t>
  </si>
  <si>
    <t>https://search.ebscohost.com/login.aspx?direct=true&amp;db=mdc&amp;AN=27429749&amp;site=ehost-live</t>
  </si>
  <si>
    <t>Circulating MicroRNA Responses between 'High' and 'Low' Responders to a 16-Wk Diet and Exercise Weight Loss Intervention.</t>
  </si>
  <si>
    <t>Parr EB; Camera DM; Burke LM; Phillips SM; Coffey VG; Hawley JA</t>
  </si>
  <si>
    <t>e0152545</t>
  </si>
  <si>
    <t>10.1371/journal.pone.0152545</t>
  </si>
  <si>
    <t>Exercise physiology; MicroRNAs blood; Weight Loss genetics; Body Mass Index; Body Weight genetics; Diet methods; Energy Metabolism genetics; Feeding Behavior physiology; Female; Humans; Male; MicroRNAs genetics; Middle Aged; Obesity blood; Obesity physiopathology; Overweight blood; Overweight physiopathology</t>
  </si>
  <si>
    <t>Background: Interactions between diet, physical activity and genetic predisposition contribute to variable body mass changes observed in response to weight loss interventions. Circulating microRNAs (c-miRNAs) may act as 'biomarkers' that are associated with the rate of change in weight loss, and/or play a role in regulating the biological variation, in response to energy restriction. Objective: To quantify targeted c-miRNAs with putative roles in energy metabolism and exercise adaptations following a 16 wk diet and exercise intervention in individuals with large (high responders; HiRes) versus small (low responders; LoRes) losses in body mass. Methods: From 89 male and female overweight/obese participants who completed the intervention (energy restriction from diet, 250 kcal/d, and exercise, 250 kcal/d), subgroups of HiRes (&gt;10% body mass loss, n = 22) and LoRes (&lt;5% body mass loss, n = 18) were identified. From resting plasma samples collected after an overnight fast pre and post intervention, RNA was extracted, quantified and reverse transcribed. Thirteen c-miRNA selected a priori were analysed using a customised 96-well miScript miRNA PCR Array. Results: Loss of body mass (-11.0 ± 2.3 kg vs. -3.0 ± 1.3 kg; P&lt;0.01) and fat mass (-11.1 ± 2.6 kg vs. -3.9 ± 1.6 kg; P&lt;0.01) was greater for HiRes than LoRes (P&lt;0.001). Expression of c-miR-935 was higher in LoRes compared to HiRes pre- (~47%; P = 0.025) and post- (~100%; P&lt;0.01) intervention and was the only c-miRNA differentially expressed at baseline between groups. The abundance of c-miR-221-3p and -223-3p increased pre- to post-intervention in both groups (~57-69% and ~25-90%, P&lt;0.05). There was a post-intervention increase in c-miR-140 only in LoRes compared to HiRes (~23%, P = 0.016). Conclusion: The differential expression and responses of selected c-miRNAs in overweight/obese individuals to an exercise and diet intervention suggests a putative role for these 'biomarkers' in the prediction or detection of individual variability to weight loss interventions.</t>
  </si>
  <si>
    <t>https://search.ebscohost.com/login.aspx?direct=true&amp;db=mdc&amp;AN=27101373&amp;site=ehost-live</t>
  </si>
  <si>
    <t>Comparison of Activity Profiles and Physiological Demands Between International Rugby Sevens Matches and Training.</t>
  </si>
  <si>
    <t>Higham DG; Pyne DB; Anson JM; Hopkins WG; Eddy A</t>
  </si>
  <si>
    <t>10.1097/JSC.0000000000000212</t>
  </si>
  <si>
    <t>Football physiology; Physical Conditioning, Human; Physical Exertion physiology; Athletic Performance physiology; Geographic Information Systems; Humans; Longitudinal Studies; Male; Prospective Studies; Running physiology; Young Adult</t>
  </si>
  <si>
    <t>The specificity of contemporary training practices of international rugby sevens players is unknown. We quantified the positional group-specific activity profiles and physiological demands of on-field training activities and compared these with match demands. Twenty-two international matches and 63 rugby-specific training drills were monitored in 25 backs and 17 forwards from a national squad of male rugby sevens players over a 21-month period. Drills were classified into 3 categories: low-intensity skill refining (n = 23 drills, 560 observations), moderate- to high-intensity skill refining (n = 28 drills, 600 observations), and game simulation (n = 12 drills, 365 observations). Movement patterns (via Global Positioning System devices) and physiological load (via heart rate monitors) were recorded for all activities, and the differences between training and matches were quantified using magnitude-based inferential statistics. Distance covered in total and at ≥3.5 m·s, maximal velocity, and frequency of accelerations and decelerations were lower for forwards during competition compared with those for backs by a small but practically important magnitude. No clear positional group differences were observed for physiological load during matches. Training demands exceeded match demands only for frequency of decelerations of forwards during moderate- to high-intensity skill-refining drills and only by a small amount. Accelerations and distance covered at ≥6 m·s were closer to match values for forwards than for backs during all training activities, but training drills consistently fell below the demands of international competition. Coaches could therefore improve physical and physiological specificity by increasing the movement demands and intensity of training drills.</t>
  </si>
  <si>
    <t>https://search.ebscohost.com/login.aspx?direct=true&amp;db=mdc&amp;AN=27100167&amp;site=ehost-live</t>
  </si>
  <si>
    <t>Cue informativeness constrains visual tracking during an interceptive timing task.</t>
  </si>
  <si>
    <t>Akl J; Panchuk D</t>
  </si>
  <si>
    <t>10.3758/s13414-016-1080-0</t>
  </si>
  <si>
    <t>Cues; Eye Movements; Psychomotor Performance; Task Performance and Analysis; Visual Perception; Adult; Biomechanical Phenomena; Female; Hand; Humans; Male; Movement; Time Factors; Young Adult</t>
  </si>
  <si>
    <t>Interceptive actions, such as catching, are a fundamental component of many activities and require knowledge of advanced kinematic information and ball flight characteristics to achieve successful performance. Rather than combining these sources of information, recent exploration of interceptive actions has presented them individually. Thus, it still is unclear how the information available from advanced cues influences eye movement behaviour. By integrating advanced visual information with novel ball projection technology, this study examined how the availability of advanced information, using four different cueing conditions: no image (ball flight only with no advanced information), non-informative (ball flight coupled with ball release information), directional (ball flight coupled with directional information), and kinematic (ball flight coupled with video of a throwing action), influenced visual tracking during a one-handed catching task. The findings illustrated no differences in catching performance across conditions; however, tracking of the ball was initiated earlier, for a longer duration, and over a greater proportion of the ball's trajectory in the directional and kinematic conditions. Significant differences between a directional cue and kinematic cue were not evident, suggesting a simple cue that provided information on the time of release and direction of ball flight was sufficient for successfully anticipating ball release and constraining eye movements. These findings highlight the relationship between advanced information and gaze behaviour during ball flight, and the performance of dynamic interceptive actions. We discuss the implications and potential limitations (e.g. variability between throwing image and ball projection) of the findings in the context of recent research on catching.</t>
  </si>
  <si>
    <t>https://search.ebscohost.com/login.aspx?direct=true&amp;db=mdc&amp;AN=26975450&amp;site=ehost-live</t>
  </si>
  <si>
    <t>Current Warm-Up Practices and Contemporary Issues Faced by Elite Swimming Coaches.</t>
  </si>
  <si>
    <t>McGowan CJ; Pyne DB; Raglin JS; Thompson KG; Rattray B</t>
  </si>
  <si>
    <t>10.1519/JSC.0000000000001443</t>
  </si>
  <si>
    <t>Swimming physiology; Warm-Up Exercise; Adult; Athletes; Female; Humans; Male; Surveys and Questionnaires</t>
  </si>
  <si>
    <t>McGowan, CJ, Pyne, DB, Raglin, JS, Thompson, KG, and Rattray, B. Current warm-up practices and contemporary issues faced by elite swimming coaches. J Strength Cond Res 30(12): 3471-3480, 2016-A better understanding of current swimming warm-up strategies is needed to improve their effectiveness. The purpose of this study was to describe current precompetition warm-up practices and identify contemporary issues faced by elite swimming coaches during competition. Forty-six state-international level swimming coaches provided information through a questionnaire on their prescription of volume, intensity, and recovery within their pool and dryland-based competition warm-ups, and challenges faced during the final stages of event preparation. Coaches identified four key objectives of the precompetition warm-up: physiological (elevate body temperature and increase muscle activation), kinesthetic (tactile preparation, increase "feel" of the water), tactical (race-pace rehearsal), and mental (improve focus, reduce anxiety). Pool warm-up volume ranged from ∼1300 to 2100 m, beginning with 400-1000 m of continuous, low-intensity (∼50-70% of perceived maximal exertion) swimming, followed by 200-600 m of stroke drills and 1-2 sets (100-400 m in length) of increasing intensity (∼60-90%) swimming, concluding with 3-4 race or near race-pace efforts (25-100 m; ∼90-100%) and 100-400 m easy swimming. Dryland-based warm-up exercises, involving stretch cords and skipping, were also commonly prescribed. Coaches preferred swimmers complete their warm-up 20-30 minutes before race start. Lengthy marshalling periods (15-20+ minutes) and the time required to don racing suits (&gt;10 minutes) were identified as complicating issues. Coaches believed that the pool warm-up affords athletes the opportunity to gain a tactile feel for the water and surrounding pool environment. The combination of dryland-based activation exercises followed by pool-based warm-up routines seems to be the preferred approach taken by elite swimming coaches preparing their athletes for competition.</t>
  </si>
  <si>
    <t>https://search.ebscohost.com/login.aspx?direct=true&amp;db=mdc&amp;AN=27097379&amp;site=ehost-live</t>
  </si>
  <si>
    <t>Deconstructing the power resistance relationship for squats: A joint-level analysis.</t>
  </si>
  <si>
    <t>Farris DJ; Lichtwark GA; Brown NA; Cresswell AG</t>
  </si>
  <si>
    <t>10.1111/sms.12508</t>
  </si>
  <si>
    <t>Hip Joint physiology; Knee Joint physiology; Movement physiology; Muscle Strength physiology; Adolescent; Biomechanical Phenomena; Humans; Male; Young Adult</t>
  </si>
  <si>
    <t>Generating high leg power outputs is important for executing rapid movements. Squats are commonly used to increase leg strength and power. Therefore, it is useful to understand factors affecting power output in squatting. We aimed to deconstruct the mechanisms behind why power is maximized at certain resistances in squatting. Ten male rowers (age = 20 ± 2.2 years; height = 1.82 ± 0.03 m; mass = 86 ± 11 kg) performed maximal power squats with resistances ranging from body weight to 80% of their one repetition maximum (1RM). Three-dimensional kinematics was combined with ground reaction force (GRF) data in an inverse dynamics analysis to calculate leg joint moments and powers. System center of mass (COM) velocity and power were computed from GRF data. COM power was maximized across a range of resistances from 40% to 60% 1RM. This range was identified because a trade-off in hip and knee joint powers existed across this range, with maximal knee joint power occurring at 40% 1RM and maximal hip joint power at 60% 1RM. A non-linear system force-velocity relationship was observed that dictated large reductions in COM power below 20% 1RM and above 60% 1RM. These reductions were due to constraints on the control of the movement. © 2015 John Wiley &amp; Sons A/S. Published by John Wiley &amp; Sons Ltd.</t>
  </si>
  <si>
    <t>https://search.ebscohost.com/login.aspx?direct=true&amp;db=mdc&amp;AN=26103786&amp;site=ehost-live</t>
  </si>
  <si>
    <t>Do Australian Football players have sensitive groins? Players with current groin pain exhibit mechanical hyperalgesia of the adductor tendon.</t>
  </si>
  <si>
    <t>10.1016/j.jsams.2015.12.516</t>
  </si>
  <si>
    <t>Football injuries; Groin injuries; Hip Injuries physiopathology; Hyperalgesia physiopathology; Pain Threshold classification; Tendon Injuries physiopathology; Adult; Australia; Case-Control Studies; Groin physiopathology; Humans; Logistic Models; Male; Odds Ratio; Prevalence; Young Adult</t>
  </si>
  <si>
    <t>Objectives: This is the first study to evaluate the mechanical sensitivity, clinical classifications and prevalence of groin pain in Australian football players. Design: Case-control. Methods: Professional (n=66) and semi-professional (n=9) Australian football players with and without current or previous groin injuries were recruited. Diagnoses were mapped to the Doha Agreement taxonomy. Point and career prevalence of groin pain was calculated. Pressure pain thresholds (PPTs) were assessed at regional and distant sites using handheld pressure algometry across four sites bilaterally (adductor longus tendon, pubic bone, rectus femoris, tibialis anterior muscle). To assess the relationship between current groin pain and fixed effects of hyperalgesia of each site and a history of groin pain, a mixed-effect logistic regression model was utilised. Receiver Operator Characteristic (ROC) curve were determined for the model. Results: Point prevalence of groin pain in the preseason was 21.9% with a career prevalence of 44.8%. Adductor-related groin pain was the most prevalent classification in the pre-season period. Hyperalgesia was observed in the adductor longus tendon site in athletes with current groin pain (OR=16.27, 95% CI 1.86 to 142.02). The ROC area under the curve of the regression model was fair (AUC=0.76, 95% CI 0.54 to 0.83). Conclusions: Prevalence data indicates that groin pain is a larger issue than published incidence rates imply. Adductor-related groin pain is the most common diagnosis in pre-season in this population. This study has shown that hyperalgesia exists in Australian football players experiencing groin pain indicating the value of assessing mechanical pain sensitivity as a component of the clinical assessment. Copyright © 2016 Sports Medicine Australia. Published by Elsevier Ltd. All rights reserved.</t>
  </si>
  <si>
    <t>https://search.ebscohost.com/login.aspx?direct=true&amp;db=mdc&amp;AN=26794720&amp;site=ehost-live</t>
  </si>
  <si>
    <t>Do karate fighters use situational probability information to improve decision-making performance during on-mat tasks?</t>
  </si>
  <si>
    <t>Milazzo N; Farrow D; Ruffault A; Fournier JF</t>
  </si>
  <si>
    <t>10.1080/02640414.2015.1122824</t>
  </si>
  <si>
    <t>Athletic Performance psychology; Decision Making; Martial Arts psychology; Adult; Anticipation, Psychological; Cues; Fixation, Ocular; Humans; Probability; Time Factors</t>
  </si>
  <si>
    <t>This study examined the contribution of situational probability information to the perceptual and cognitive processes underlying decision-making behaviour during in situ Karate performance. Experts and novices were required to make decisions about various attacks in different fight scenarios. The order in which the fight situations were presented was modified in order to provide advanced probability information and identify whether fighters were able to use the latter information to make better decisions. Specifically, one of the attacks was repeated every four actions. Results revealed that experts were more accurate and faster than their less skilled counterparts to block and counterattack the opponent. The experts picked up the occurrence of the attack pattern after the fifth repetition whereas novices did not. This enabled experts to improve decision time and decision accuracy. Findings suggest that such superiority could stem from the perceptual and cognitive skills possessed by the experts, thus giving them the opportunity to recognise a situation more easily. This was reinforced by gaze behaviour which demonstrated that experts used a more efficient search strategy involving fewer fixations of longer duration on a lesser number of areas relative to the novices. Moreover, experts generated more refined karate-specific knowledge structures compared with the novices.</t>
  </si>
  <si>
    <t>https://search.ebscohost.com/login.aspx?direct=true&amp;db=mdc&amp;AN=26651505&amp;site=ehost-live</t>
  </si>
  <si>
    <t>Does perceptual or motor experience influence the perception of global and joint-specific kinematic changes in complex movement patterns?</t>
  </si>
  <si>
    <t>Giblin G; Farrow D; Reid M; Ball K; Abernethy B</t>
  </si>
  <si>
    <t>10.3758/s13414-016-1167-7</t>
  </si>
  <si>
    <t>Movement physiology; Perception; Psychomotor Performance; Adolescent; Adult; Biomechanical Phenomena; Female; Humans; Knee physiology; Male; Middle Aged; Rotation; Torso physiology; Young Adult</t>
  </si>
  <si>
    <t>The perception and identification of technical errors during skill execution is a critical component in coaching, because it provides the foundation for skill analysis, instruction, and feedback provision. In this study, we examined the influences of perceptual and motor experience on the perception of kinematic change in a technical evaluation task that is common in coaching. A total of 21 expert coaches, stratified by playing ("motor") expertise, as well as ten novice coaches and ten current players, observed video and point-light displays of a service action and recorded written judgments on whether the serve had changed from one video clip to the next. Three kinematic variables were manipulated: maximum knee flexion, maximum trunk rotation, and ball toss position at zenith. Coaching experience provided no additional benefit when perceiving global (holistic) changes in the service action, and limited if any benefit when perceiving specific changes in the observed kinematics. A significant expertise effect showed that expert coaches have increased sensitivity when detecting smaller changes in knee flexion. Changes in trunk rotation appeared difficult to perceive for all groups, whereas changes in lateral ball toss position were easily perceived. Motor experience did not influence the perception of global kinematics and provided no benefit above perceptual experience alone when perceiving specific kinematic changes. Collectively, the findings demonstrate that experienced coaches have the capacity to detect relatively small changes in kinematics; however, the ability to detect changes does not appear to be influenced by the extent of their own expertise in producing the movement pattern being evaluated.</t>
  </si>
  <si>
    <t>https://search.ebscohost.com/login.aspx?direct=true&amp;db=mdc&amp;AN=27338718&amp;site=ehost-live</t>
  </si>
  <si>
    <t>Doping in sport and exercise: anabolic, ergogenic, health and clinical issues.</t>
  </si>
  <si>
    <t>Bird SR; Goebel C; Burke LM; Greaves RF</t>
  </si>
  <si>
    <t>Annals of clinical biochemistry</t>
  </si>
  <si>
    <t>Pt 2</t>
  </si>
  <si>
    <t>10.1177/0004563215609952</t>
  </si>
  <si>
    <t>Sage</t>
  </si>
  <si>
    <t>Anabolic Agents analysis; Doping in Sports; Female; Humans; Male</t>
  </si>
  <si>
    <t>The use of doping agents is evident within competitive sport in senior and junior age groups, where they are taken by non-elite as well as elite participants. They are also taken in non-sporting contexts by individuals seeking to 'improve' their physique through an increase in muscle and/or decrease in fat mass. While attaining accurate data on the prevalence of their use has limitations, studies suggest the illicit use of doping agents by athletes and non-athletes may be 1-5% in the population and greater than 50% in some groups; with the prevalence being higher in males. There is conclusive evidence that some doping agents are anabolic and ergogenic. There is also evidence that the use of doping agents such as anabolic androgenic steroids, growth hormone and other anabolic agents, erythropoietin and stimulants conveys considerable health risks that include, but are not limited to: cardiovascular disease, diabetes, cancer, mental health issues, virilisation in females and the suppression of naturally produced androgens in males. This review will outline the anabolic, ergogenic and health impacts of selected doping agents and methods that may be used in both the sporting and physique development contexts. It also provides a brief tabulated overview of the history of doping and how doping agents may impact upon the analyses of clinical samples. © The Author(s) 2015.</t>
  </si>
  <si>
    <t>https://search.ebscohost.com/login.aspx?direct=true&amp;db=mdc&amp;AN=26384361&amp;site=ehost-live</t>
  </si>
  <si>
    <t>DXA Estimates of Body Composition and Carbohydrate Loading.</t>
  </si>
  <si>
    <t>Bone J; Burke LM</t>
  </si>
  <si>
    <t>Annals of nutrition &amp; metabolism</t>
  </si>
  <si>
    <t>10.1159/000445510</t>
  </si>
  <si>
    <t>Karger</t>
  </si>
  <si>
    <t>Absorptiometry, Photon; Body Composition; Adipose Tissue; Carbohydrates; Humans; Reproducibility of Results</t>
  </si>
  <si>
    <t>https://search.ebscohost.com/login.aspx?direct=true&amp;db=mdc&amp;AN=27073914&amp;site=ehost-live</t>
  </si>
  <si>
    <t>Effect of Environmental and Feedback Interventions on Pacing Profiles in Cycling: A Meta-Analysis.</t>
  </si>
  <si>
    <t>Davies MJ; Clark B; Welvaert M; Skorski S; Garvican-Lewis LA; Saunders P; Thompson KG</t>
  </si>
  <si>
    <t>10.3389/fphys.2016.00591</t>
  </si>
  <si>
    <t>In search of their optimal performance athletes will alter their pacing strategy according to intrinsic and extrinsic physiological, psychological and environmental factors. However, the effect of some of these variables on pacing and exercise performance remains somewhat unclear. Therefore, the aim of this meta-analysis was to provide an overview as to how manipulation of different extrinsic factors affects pacing strategy and exercise performance. Only self-paced exercise studies that provided control and intervention group(s), reported trial variance for power output, disclosed the type of feedback received or withheld, and where time-trial power output data could be segmented into start, middle and end sections; were included in the meta-analysis. Studies with similar themes were grouped together to determine the mean difference (MD) with 95% confidence intervals (CIs) between control and intervention trials for: hypoxia, hyperoxia, heat-stress, pre-cooling , and various forms of feedback . A total of 26 studies with cycling as the exercise modality were included in the meta-analysis. Of these, four studies manipulated oxygen availability, eleven manipulated heat-stress, four implemented pre-cooling interventions and seven studies manipulated various forms of feedback. Mean power output (MPO) was significantly reduced in the middle and end sections ( p &lt; 0.05), but not the start section of hypoxia and heat-stress trials compared to the control trials. In contrast, there was no significant change in trial or section MPO for hyperoxic or pre-cooling conditions compared to the control condition ( p &gt; 0.05). Negative feedback improved overall trial MPO and MPO in the middle section of trials ( p &lt; 0.05), while informed feedback improved overall trial MPO ( p &lt; 0.05). However, positive, neutral and no feedback had no significant effect on overall trial or section MPO ( p &gt; 0.05). The available data suggests exercise regulation in hypoxia and heat-stress is delayed in the start section of trials, before significant reductions in MPO occur in the middle and end of the trial. Additionally, negative feedback involving performance deception may afford an upward shift in MPO in the middle section of the trial improving overall performance. Finally, performance improvements can be retained when participants are informed of the deception.</t>
  </si>
  <si>
    <t>https://search.ebscohost.com/login.aspx?direct=true&amp;db=mdc&amp;AN=27994554&amp;site=ehost-live</t>
  </si>
  <si>
    <t>Effect of lower limb compression on blood flow and performance in elite wheelchair rugby athletes.</t>
  </si>
  <si>
    <t>Vaile J; Stefanovic B; Askew CD</t>
  </si>
  <si>
    <t>The journal of spinal cord medicine</t>
  </si>
  <si>
    <t>10.1179/2045772314Y.0000000287</t>
  </si>
  <si>
    <t>Exercise; Lower Extremity blood supply; Regional Blood Flow; Spinal Cord Injuries rehabilitation; Stockings, Compression adverse effects; Wheelchairs; Adult; Athletes; Athletic Performance; Football; Humans; Male</t>
  </si>
  <si>
    <t>Objective: To investigate the effects of compression socks worn during exercise on performance and physiological responses in elite wheelchair rugby athletes. Design: In a non-blinded randomized crossover design, participants completed two exercise trials (4 × 8 min bouts of submaximal exercise, each finishing with a timed maximal sprint) separated by 24 hr, with or without compression socks. Setting: National Sports Training Centre, Queensland, Australia. Participants: Ten national representative male wheelchair rugby athletes with cervical spinal cord injuries volunteered to participate. Interventions: Participants wore medical grade compression socks on both legs during the exercise task (COMP), and during the control trial no compression was worn (CON). Outcome Measures: The efficacy of the compression socks was determined by assessments of limb blood flow, core body temperature, heart rate, and ratings of perceived exertion, perceived thermal strain, and physical performance. Results: While no significant differences between conditions were observed for maximal sprint time, average lap time was better maintained in COMP compared to CON (P&lt;0.05). Lower limb blood flow increased from pre- to post-exercise by the same magnitude in both conditions (COMP: 2.51 ± 2.34; CON: 2.20 ± 1.85 ml.100 ml.(-1)min(-1)), whereas there was a greater increase in upper limb blood flow pre- to post-exercise in COMP (10.77 ± 8.24 ml.100 ml.(-1)min(-1)) compared to CON (6.21 ± 5.73 ml.100 ml.(-1)min(-1); P &lt; 0.05). Conclusion: These findings indicate that compression socks worn during exercise is an effective intervention for maintaining submaximal performance during wheelchair exercise, and this performance benefit may be associated with an augmentation of upper limb blood flow.</t>
  </si>
  <si>
    <t>https://search.ebscohost.com/login.aspx?direct=true&amp;db=mdc&amp;AN=25582434&amp;site=ehost-live</t>
  </si>
  <si>
    <t>Effect of repeat-sprint training in hypoxia on post-exercise interleukin-6 and F2-isoprostanes.</t>
  </si>
  <si>
    <t>Goods PS; Dawson B; Landers GJ; Gore CJ; Croft K; Peeling P</t>
  </si>
  <si>
    <t>10.1080/17461391.2015.1123776</t>
  </si>
  <si>
    <t>Altitude; F2-Isoprostanes metabolism; Hypoxia metabolism; Inflammation metabolism; Interleukin-6 metabolism; Running physiology; Adult; Heart Rate physiology; Humans; Lactic Acid blood; Male; Oxidative Stress physiology; Young Adult</t>
  </si>
  <si>
    <t>This investigation examined the oxidative stress (F2-Isoprostane; F2-IsoP) and inflammatory (interleukin-6; IL-6) responses to repeat-sprint training in hypoxia (RSH). Ten trained male team sport athletes performed 3(sets)*9(repetitions)*5 s cycling sprints in simulated altitude (3000 m) and sea-level conditions. Mean and peak sprint power output (MPO and PPO) were recorded, and blood samples were collected pre-exercise, and again at 8 and 60 min post-exercise. Both MPO and PPO were significantly reduced in hypoxia (compared to sea-level) in the second (MPO: 855 ± 89 vs. 739 ± 95 W, p = .006; PPO: 1024 ± 114 vs. 895 ± 112 W, p = .010) and third (MPO: 819 ± 105 vs. 686 ± 83 W, p = .008; PPO: 985 ± 125 vs. 834 ± 99 W, p = .008) sets, respectively. IL-6 was significantly increased from pre- to 1 h post-exercise in both hypoxia (0.7 ± 0.2 vs. 2.4 ± 1.4 pg/mL, p = .004) and sea-level conditions (0.7 ± 0.2 vs. 1.6 ± 0.3 pg/mL, p &lt; .001), with a large effect (d = 0.80) suggesting higher IL-6 levels of post-hypoxia. F2-IsoP was significantly lower 1 h post-exercise in both the hypoxic (p = .005) and sea-level (p = .002) conditions, with no differences between trials. While hypoxia can impact on exercise intensity and may result in greater post-exercise inflammation, it appears to have little effect on oxidative stress. These results indicate that team sport organisations with ready access to hypoxic training facilities could confidently administer RSH without significantly increasing the post-exercise inflammatory or oxidative stress response.</t>
  </si>
  <si>
    <t>https://search.ebscohost.com/login.aspx?direct=true&amp;db=mdc&amp;AN=26690262&amp;site=ehost-live</t>
  </si>
  <si>
    <t>Effects of a minimalist shoe on running economy and 5-km running performance.</t>
  </si>
  <si>
    <t>Fuller JT; Thewlis D; Tsiros MD; Brown NA; Buckley JD</t>
  </si>
  <si>
    <t>10.1080/02640414.2015.1136071</t>
  </si>
  <si>
    <t>Athletic Performance; Efficiency; Foot; Gait; Running; Shoes; Sports Equipment; Adult; Biomechanical Phenomena; Humans; Male; Young Adult</t>
  </si>
  <si>
    <t>The purpose of this study was to determine if minimalist shoes improve time trial performance of trained distance runners and if changes in running economy, shoe mass, stride length, stride rate and footfall pattern were related to any difference in performance. Twenty-six trained runners performed three 6-min sub-maximal treadmill runs at 11, 13 and 15 km·h(-1) in minimalist and conventional shoes while running economy, stride length, stride rate and footfall pattern were assessed. They then performed a 5-km time trial. In the minimalist shoe, runners completed the trial in less time (effect size 0.20 ± 0.12), were more economical during sub-maximal running (effect size 0.33 ± 0.14) and decreased stride length (effect size 0.22 ± 0.10) and increased stride rate (effect size 0.22 ± 0.11). All but one runner ran with a rearfoot footfall in the minimalist shoe. Improvements in time trial performance were associated with improvements in running economy at 15 km·h(-1) (r = 0.58), with 79% of the improved economy accounted for by reduced shoe mass (P &lt; 0.05). The results suggest that running in minimalist shoes improves running economy and 5-km running performance.</t>
  </si>
  <si>
    <t>https://search.ebscohost.com/login.aspx?direct=true&amp;db=mdc&amp;AN=27328725&amp;site=ehost-live</t>
  </si>
  <si>
    <t>Effects of two neuromuscular training programs on running biomechanics with load carriage: a study protocol for a randomised controlled trial.</t>
  </si>
  <si>
    <t>Liew BX; Morris S; Keogh JW; Appleby B; Netto K</t>
  </si>
  <si>
    <t>BMC musculoskeletal disorders</t>
  </si>
  <si>
    <t>10.1186/s12891-016-1271-9</t>
  </si>
  <si>
    <t>Resistance Training methods; Running; Weight-Bearing; Adult; Athletes; Biomechanical Phenomena; Humans; Middle Aged; Single-Blind Method; Young Adult</t>
  </si>
  <si>
    <t>Background: In recent years, athletes have ventured into ultra-endurance and adventure racing events, which tests their ability to race, navigate, and survive. These events often require race participants to carry some form of load, to bear equipment for navigation and survival purposes. Previous studies have reported specific alterations in biomechanics when running with load which potentially influence running performance and injury risk. We hypothesize that a biomechanically informed neuromuscular training program would optimize running mechanics during load carriage to a greater extent than a generic strength training program. Methods: This will be a two group, parallel randomized controlled trial design, with single assessor blinding. Thirty healthy runners will be recruited to participate in a six weeks neuromuscular training program. Participants will be randomized into either a generic training group, or a biomechanically informed training group. Primary outcomes include self-determined running velocity with a 20 % body weight load, jump power, hopping leg stiffness, knee extensor and triceps-surae strength. Secondary outcomes include running kinetics and kinematics. Assessments will occur at baseline and post-training. Discussion: To our knowledge, no training programs are available that specifically targets a runner's ability to carry load while running. This will provide sport scientists and coaches with a foundation to base their exercise prescription on. Trial Registration: ANZCTR ( ACTRN12616000023459 ) (14 Jan 2016).</t>
  </si>
  <si>
    <t>https://search.ebscohost.com/login.aspx?direct=true&amp;db=mdc&amp;AN=27770784&amp;site=ehost-live</t>
  </si>
  <si>
    <t>Emulating constant acceleration locomotion mechanics on a treadmill.</t>
  </si>
  <si>
    <t>Farris DJ</t>
  </si>
  <si>
    <t>10.1016/j.jbiomech.2016.01.030</t>
  </si>
  <si>
    <t>Acceleration; Exercise Test; Locomotion; Mechanical Phenomena; Adult; Biomechanical Phenomena; Humans; Linear Models; Male; Running physiology; Walking physiology</t>
  </si>
  <si>
    <t>Locomotion on an accelerating treadmill belt is not dynamically similar to overground acceleration. The purpose of this study was to test if providing an external force to compensate for inertial forces during locomotion on an accelerating treadmill belt could induce locomotor dynamics similar to real accelerations. Nine males (mean±sd age=26±4 years, mass=81±9kg, height=1.8±0.05m) began walking and transitioned to running on an accelerating instrumented treadmill belt at three accelerations (0.27ms(-2), 0.42ms(-2), 0.76ms(-2)). Half the trials were typical treadmill locomotion (TT) and half were emulated acceleration (EA), where elastic tubing harnessed to the participant provided a horizontal force equal to mass multiplied by acceleration. Net mechanical work (WCOM) and ground reaction force impulses (IGRF) were calculated for individual steps and a linear regression was performed with these experimental measures as independent variables and theoretically derived values of work and impulse as predictor variables. For EA, linear fits were significant for WCOM (y=1.19x+10.5, P&lt;0.001, R(2)=0.41) and IGRF (y=0.95x+8.1, P&lt;0.001, R(2)=0.3). For TT, linear fits were not significant and explained virtually no variance for WCOM (y=0.06x+1.6, P=0.29, R(2)&lt;0.01) and IGRF (y=0.10x+0.4, P=0.06, R(2)=0.01). This suggested that the EA condition was a better representation of real acceleration dynamics than TT. Running steps from EA where work and impulse closely matched theoretical values showed similar adaptations to increasing acceleration as have been previously observed overground (forward reorientation of GRF vector without an increase in magnitude or change in spatio-temporal metrics). Copyright © 2016 Elsevier Ltd. All rights reserved.</t>
  </si>
  <si>
    <t>https://search.ebscohost.com/login.aspx?direct=true&amp;db=mdc&amp;AN=26897649&amp;site=ehost-live</t>
  </si>
  <si>
    <t>Enhanced Endurance Performance by Periodization of Carbohydrate Intake: "Sleep Low" Strategy.</t>
  </si>
  <si>
    <t>Marquet LA; Brisswalter J; Louis J; Tiollier E; Burke LM; Hawley JA; Hausswirth C</t>
  </si>
  <si>
    <t>10.1249/MSS.0000000000000823</t>
  </si>
  <si>
    <t>Diet; Dietary Carbohydrates administration &amp; dosage; Feeding Behavior physiology; Physical Endurance physiology; Sports Nutritional Physiological Phenomena; Adult; Athletes; Bicycling physiology; Body Composition; Exercise Test; Humans; Male; Meals; Periodicity; Running physiology</t>
  </si>
  <si>
    <t>Purpose: We investigated the effect of a chronic dietary periodization strategy on endurance performance in trained athletes. Methods: Twenty-one triathletes (V˙O2max: 58.7 ± 5.7 mL·min(-1)·kg(-1)) were divided into two groups: a "sleep-low" (SL) (n = 11) and a control (CON) group (n = 10) consumed the same daily carbohydrate (CHO) intake (6 g·kg(-1)·d(-1)) but with different timing over the day to manipulate CHO availability before and after training sessions. The SL strategy consisted of a 3-wk training-diet intervention comprising three blocks of diet-exercise manipulations: 1) "train-high" interval training sessions in the evening with high-CHO availability, 2) overnight CHO restriction ("sleeping-low"), and 3) "train-low" sessions with low endogenous and exogenous CHO availability. The CON group followed the same training program but with high CHO availability throughout training sessions (no CHO restriction overnight, training sessions with exogenous CHO provision). Results: There was a significant improvement in delta efficiency during submaximal cycling for SL versus CON (CON, +1.4% ± 9.3%; SL, +11% ± 15%, P &lt; 0.05). SL also improved supramaximal cycling to exhaustion at 150% of peak aerobic power (CON, +1.63% ± 12.4%; SL, +12.5% ± 19.0%; P = 0.06) and 10-km running performance (CON, -0.10% ± 2.03%; SL, -2.9% ± 2.15%; P &lt; 0.05). Fat mass was decreased in SL (CON, -2.6 ± 7.4; SL, -8.5% ± 7.4% before; P &lt; 0.01), but not lean mass (CON, -0.22 ± 1.0; SL, -0.16% ± 1.7% PRE). Conclusion: Short-term periodization of dietary CHO availability around selected training sessions promoted significant improvements in submaximal cycling economy, as well as supramaximal cycling capacity and 10-km running time in trained endurance athletes.</t>
  </si>
  <si>
    <t>https://search.ebscohost.com/login.aspx?direct=true&amp;db=mdc&amp;AN=26741119&amp;site=ehost-live</t>
  </si>
  <si>
    <t>Hand-held dynamometry strength measures for internal and external rotation demonstrate superior reliability, lower minimal detectable change and higher correlation to isokinetic dynamometry than externally-fixed dynamometry of the shoulder.</t>
  </si>
  <si>
    <t>Holt KL; Raper DP; Boettcher CE; Waddington GS; Drew MK</t>
  </si>
  <si>
    <t>10.1016/j.ptsp.2016.07.001</t>
  </si>
  <si>
    <t>Muscle Strength Dynamometer; Shoulder physiology; Adult; Female; Healthy Volunteers; Humans; Male; Reproducibility of Results; Rotation</t>
  </si>
  <si>
    <t>Objectives: To investigate inter and intra-rater reliability of hand held (HHD) and externally fixed (EFD) dynamometry for shoulder internal (IR) and external rotation (ER) strength and their correlation to isokinetic testing. Design: Within participant, inter and intra-rater reliability study. Participants: Twenty active, healthy male and female participants underwent testing by two examiners. Outcome Measures: Intra-class coefficients (ICC), percentage standard error of measurement (%SEM), and percentage minimal detectable change (%MDC) were calculated for inter-rater, intra-day and intra-rater, inter-week reliability. Maximum and average of three repetitions were compared to the isokinetic results at three speeds (60°/sec, 180°/sec, 240°/sec) for both concentric and eccentric contractions. Results: Inter and intra-tester values demonstrated good to high agreement (HHD, ICC range = 0.89-0.97, %SEM = 4.80-8.60%, %MDC = 13.29-23.70%; EFD, ICC = 0.88-0.96, %SEM = 6.60-11.00%, %MDC = 18.40-30.04%). HHD and EFD showed moderate to very strong correlations to the isokinetic testing (HHD, r = 0.45-0.86; EFD, r = 0.49-0.83). Conclusions: The results of this study indicate that both EFD and HHD are suitable for clinical practice and research. Hand-held dynamometry is preferred due to its higher intra- and inter-rater reliability and smaller MDC and lower SEM. Copyright © 2016 Elsevier Ltd. All rights reserved.</t>
  </si>
  <si>
    <t>https://search.ebscohost.com/login.aspx?direct=true&amp;db=mdc&amp;AN=27500450&amp;site=ehost-live</t>
  </si>
  <si>
    <t>Heated jackets and dryland-based activation exercises used as additional warm-ups during transition enhance sprint swimming performance.</t>
  </si>
  <si>
    <t>McGowan CJ; Thompson KG; Pyne DB; Raglin JS; Rattray B</t>
  </si>
  <si>
    <t>10.1016/j.jsams.2015.04.012</t>
  </si>
  <si>
    <t>Athletic Performance physiology; Clothing; Swimming physiology; Warm-Up Exercise; Adolescent; Athletes; Cross-Over Studies; Female; Humans; Male; Temperature</t>
  </si>
  <si>
    <t>Objectives: The lengthy competition transition phases commonly experienced by competitive swimmers may mitigate the benefits of the pool warm-up. To combat this, we examined the impact of additional passive and active warm-up strategies on sprint swimming performance. Design: Counterbalanced, repeated-measures cross-over study. Methods: Sixteen junior competitive swimmers completed a standardised pool warm-up followed by a 30min transition and 100m freestyle time-trial. Swimmers completed four different warm-up strategies during transition: remained seated wearing a conventional tracksuit top and pants (Control), wore an insulated top with integrated heating elements (Passive), performed a 5min dryland-based exercise circuit (Dryland), or a combination of Passive and Dryland (Combo). Swimming time-trial performance, core and skin temperature and perceptual variables were monitored. Time variables were normalised relative to Control. Results: Both Combo (-1.05±0.26%; mean±90% confidence limits, p=0.00) and Dryland (-0.68±0.34%; p=0.02) yielded faster overall time-trial performances, with start times also faster for Combo (-0.37±0.07%; p=0.00) compared to Control. Core temperature declined less during transition with Combo (-0.13±0.25°C; p=0.01) and possibly with Dryland (-0.24±0.13°C; p=0.09) compared to Control (-0.64±0.16°C), with a smaller reduction in core temperature related to better time-trial performance (R(2)=0.91; p=0.04). Conclusions: Dryland-based exercise circuits completed alone and in combination with the application of heated tracksuit jackets during transition can significantly improve sprint swimming performance. Attenuation in the decline of core temperature and a reduction in start time appear as likely mechanisms. Copyright © 2015 Sports Medicine Australia. Published by Elsevier Ltd. All rights reserved.</t>
  </si>
  <si>
    <t>https://search.ebscohost.com/login.aspx?direct=true&amp;db=mdc&amp;AN=25987491&amp;site=ehost-live</t>
  </si>
  <si>
    <t>Human ankle plantar flexor muscle-tendon mechanics and energetics during maximum acceleration sprinting.</t>
  </si>
  <si>
    <t>Lai A; Schache AG; Brown NA; Pandy MG</t>
  </si>
  <si>
    <t>Journal of the Royal Society, Interface</t>
  </si>
  <si>
    <t>10.1098/rsif.2016.0391</t>
  </si>
  <si>
    <t>Royal Society</t>
  </si>
  <si>
    <t>Ankle physiology; Models, Biological; Muscle Strength physiology; Muscle, Skeletal physiology; Plantar Plate physiology; Running physiology; Tendons physiology; Acceleration; Adult; Female; Humans; Male</t>
  </si>
  <si>
    <t>Tendon elastic strain energy is the dominant contributor to muscle-tendon work during steady-state running. Does this behaviour also occur for sprint accelerations? We used experimental data and computational modelling to quantify muscle fascicle work and tendon elastic strain energy for the human ankle plantar flexors (specifically soleus and medial gastrocnemius) for multiple foot contacts of a maximal sprint as well as for running at a steady-state speed. Positive work done by the soleus and medial gastrocnemius muscle fascicles decreased incrementally throughout the maximal sprint and both muscles performed more work for the first foot contact of the maximal sprint (FC1) compared with steady-state running at 5 m s(-1) (SS5). However, the differences in tendon strain energy for both muscles were negligible throughout the maximal sprint and when comparing FC1 to SS5. Consequently, the contribution of muscle fascicle work to stored tendon elastic strain energy was greater for FC1 compared with subsequent foot contacts of the maximal sprint and compared with SS5. We conclude that tendon elastic strain energy in the ankle plantar flexors is just as vital at the start of a maximal sprint as it is at the end, and as it is for running at a constant speed. © 2016 The Author(s).</t>
  </si>
  <si>
    <t>https://search.ebscohost.com/login.aspx?direct=true&amp;db=mdc&amp;AN=27581481&amp;site=ehost-live</t>
  </si>
  <si>
    <t>Importance of Standardized DXA Protocol for Assessing Physique Changes in Athletes.</t>
  </si>
  <si>
    <t>Nana A; Slater GJ; Hopkins WG; Halson SL; Martin DT; West NP; Burke LM</t>
  </si>
  <si>
    <t>10.1123/ijsnem.2013-0111</t>
  </si>
  <si>
    <t>Absorptiometry, Photon; Athletes; Body Composition; Bicycling; Body Mass Index; Cold Temperature; Humans; Male; Young Adult</t>
  </si>
  <si>
    <t>Purpose: The implications of undertaking DXA scans using best practice protocols (subjects fasted and rested) or a less precise but more practical protocol in assessing chronic changes in body composition following training and a specialized recovery technique were investigated. Methods: Twenty-one male cyclists completed an overload training program, in which they were randomized to four sessions per week of either cold water immersion therapy or control groups. Whole-body DXA scans were undertaken with best practice protocol (Best) or random activity protocol (Random) at baseline, after 3 weeks of overload training, and after a 2-week taper. Magnitudes of changes in total, lean and fat mass from baseline-overload, overload-taper and baseline-taper were assessed by standardization (Δmean/SD). Results: The standard deviations of change scores for total and fat-free soft tissue mass (FFST) from Random scans (2-3%) were approximately double those observed in the Best (1-2%), owing to extra random errors associated with Random scans at baseline. There was little difference in change scores for fat mass. The effect of cold water immersion therapy on baseline-taper changes in FFST was possibly harmful (-0.7%; 90% confidence limits ±1.2%) with Best scans but unclear with Random scans (0.9%; ±2.0%). Both protocols gave similar possibly harmful effects of cold water immersion therapy on changes in fat mass (6.9%; ±13.5% and 5.5%; ±14.3%, respectively). Conclusions: An interesting effect of cold water immersion therapy on training-induced changes in body composition might have been missed with a less precise scanning protocol. DXA scans should be undertaken with Best.</t>
  </si>
  <si>
    <t>https://search.ebscohost.com/login.aspx?direct=true&amp;db=mdc&amp;AN=24458265&amp;site=ehost-live</t>
  </si>
  <si>
    <t>Iron Supplementation and Altitude: Decision Making Using a Regression Tree.</t>
  </si>
  <si>
    <t>Garvican-Lewis LA; Govus AD; Peeling P; Abbiss CR; Gore CJ</t>
  </si>
  <si>
    <t>https://search.ebscohost.com/login.aspx?direct=true&amp;db=mdc&amp;AN=26957944&amp;site=ehost-live</t>
  </si>
  <si>
    <t>It's not the destination, it's the 'road to load' that matters: a tennis injury prevention perspective.</t>
  </si>
  <si>
    <t>Pluim BM; Drew MK</t>
  </si>
  <si>
    <t>10.1136/bjsports-2016-095997</t>
  </si>
  <si>
    <t>Athletic Injuries prevention &amp; control; Physical Conditioning, Human methods; Tennis injuries; Athletes; Guidelines as Topic; Humans; Physical Fitness</t>
  </si>
  <si>
    <t>https://search.ebscohost.com/login.aspx?direct=true&amp;db=mdc&amp;AN=27034125&amp;site=ehost-live</t>
  </si>
  <si>
    <t>Last Word on Viewpoint: Time for a new metric for hypoxic dose?</t>
  </si>
  <si>
    <t>Garvican-Lewis LA; Sharpe K; Gore CJ</t>
  </si>
  <si>
    <t>10.1152/japplphysiol.00457.2016</t>
  </si>
  <si>
    <t>Hypoxia; Humans</t>
  </si>
  <si>
    <t>https://search.ebscohost.com/login.aspx?direct=true&amp;db=mdc&amp;AN=27451277&amp;site=ehost-live</t>
  </si>
  <si>
    <t>Matchplay characteristics of Grand Slam tennis: implications for training and conditioning.</t>
  </si>
  <si>
    <t>Reid M; Morgan S; Whiteside D</t>
  </si>
  <si>
    <t>10.1080/02640414.2016.1139161</t>
  </si>
  <si>
    <t>Athletic Performance; Movement; Task Performance and Analysis; Tennis; Biomechanical Phenomena; Female; Humans; Male; Physical Education and Training; Sex Factors</t>
  </si>
  <si>
    <t>The purpose of this study was to probe the sex-based differences in the stroke and movement dynamics of Grand Slam hard-court tennis. Player and ball tracking data were collated for 102 male and 95 female players during the 2012-2014 Australian Open tournaments. Serve, serve return, groundstroke and movement data were compared between sexes. Serve statistics were the subject of the largest differences, with males achieving significantly faster speeds, aces and unreturned serves while also winning a greater percentage of service points. When returning serve, women contacted the ball closer to the net, lower to the ground and achieved flatter ball trajectories than males. Groundstroke frequencies were similar between sexes, although males hit with greater speed, flatter trajectories and impacted more shots inside the baseline. Distance covered per set or during points won or lost was not sex dependent, yet men exhibited faster average movement speeds. These findings highlight the need for sex-specific training and practice designs that cater to the different stroke dynamics, particularly in relation to the first serve and serve-return, as well as movement speeds.</t>
  </si>
  <si>
    <t>https://search.ebscohost.com/login.aspx?direct=true&amp;db=mdc&amp;AN=27009823&amp;site=ehost-live</t>
  </si>
  <si>
    <t>Mechanistic Insights into the Efficacy of Sodium Bicarbonate Supplementation to Improve Athletic Performance.</t>
  </si>
  <si>
    <t>Siegler JC; Marshall PW; Bishop D; Shaw G; Green S</t>
  </si>
  <si>
    <t>10.1186/s40798-016-0065-9</t>
  </si>
  <si>
    <t>A large proportion of empirical research and reviews investigating the ergogenic potential of sodium bicarbonate (NaHCO 3 ) supplementation have focused predominately on performance outcomes and only speculate about underlying mechanisms responsible for any benefit. The aim of this review was to critically evaluate the influence of NaHCO 3 supplementation on mechanisms associated with skeletal muscle fatigue as it translates directly to exercise performance. Mechanistic links between skeletal muscle fatigue, proton accumulation (or metabolic acidosis) and NaHCO 3 supplementation have been identified to provide a more targeted, evidence-based approach to direct future research, as well as provide practitioners with a contemporary perspective on the potential applications and limitations of this supplement. The mechanisms identified have been broadly categorised under the sections 'Whole-body Metabolism', 'Muscle Physiology' and 'Motor Pathways', and when possible, the performance outcomes of these studies contextualized within an integrative framework of whole-body exercise where other factors such as task demand (e.g. large vs. small muscle groups), cardio-pulmonary and neural control mechanisms may outweigh any localised influence of NaHCO 3 . Finally, the 'Performance Applications' section provides further interpretation for the practitioner founded on the mechanistic evidence provided in this review and other relevant, applied NaHCO 3 performance-related studies.</t>
  </si>
  <si>
    <t>https://search.ebscohost.com/login.aspx?direct=true&amp;db=mdc&amp;AN=27747796&amp;site=ehost-live</t>
  </si>
  <si>
    <t>Meldonium and the Prohibited List.</t>
  </si>
  <si>
    <t>Australian prescriber</t>
  </si>
  <si>
    <t>10.18773/austprescr.2016.032</t>
  </si>
  <si>
    <t>National Prescribing Service</t>
  </si>
  <si>
    <t>Comment</t>
  </si>
  <si>
    <t>https://search.ebscohost.com/login.aspx?direct=true&amp;db=mdc&amp;AN=27350119&amp;site=ehost-live</t>
  </si>
  <si>
    <t>Mental Health in Sport (MHS): Improving the Early Intervention Knowledge and Confidence of Elite Sport Staff.</t>
  </si>
  <si>
    <t>Sebbens J; Hassmén P; Crisp D; Wensley K</t>
  </si>
  <si>
    <t>10.3389/fpsyg.2016.00911</t>
  </si>
  <si>
    <t>Mental illnesses are as prevalent among elite athletes as in the general population. Despite this, there is little research examining how to enhance mental health literacy or helping behaviors in elite sport environments. A Mental Health in Sport (MHS) workshop was therefore developed and its effects on mental health literacy and confidence studied in 166 coaches and support staff working with elite athletes and teams in Australia. Results indicated that participants increased their knowledge of the signs and symptoms of common mental illnesses and were more confident in helping someone who may be experiencing a mental health problem. We conclude that even a very brief intervention can be effective in improving the mental health literacy and confidence of key persons in elite sport environments, and may promote early intervention and timely referral of elite athletes with mental health concerns to appropriate professionals.</t>
  </si>
  <si>
    <t>https://search.ebscohost.com/login.aspx?direct=true&amp;db=mdc&amp;AN=27445887&amp;site=ehost-live</t>
  </si>
  <si>
    <t>Musculoskeletal screening as a predictor of seasonal injury in elite Olympic class sailors.</t>
  </si>
  <si>
    <t>Schultz AB; Taaffe DR; Blackburn M; Logan P; White D; Drew M; Lockie RG</t>
  </si>
  <si>
    <t>10.1016/j.jsams.2016.02.011</t>
  </si>
  <si>
    <t>Athletic Injuries epidemiology; Muscle, Skeletal physiology; Adult; Athletic Injuries diagnosis; Female; Humans; Incidence; Muscle Strength physiology; Prospective Studies; Range of Motion, Articular physiology; Regression Analysis; Ships; Spinal Injuries diagnosis; Spinal Injuries epidemiology; Young Adult</t>
  </si>
  <si>
    <t>Objectives: To investigate seasonal injury incidence and musculoskeletal screening as a predictor of injury in elite Olympic class sailors. Design: Prospective cohort study. Methods: A 12-month analysis of injury surveillance data was performed for elite Australian sailors (age=16-30 years, N=22). Pre-season musculoskeletal screening (incorporating mobility, stability and neural tests) and seasonal injury data were analysed for predictive relationships, and associations between potential predictor variables and injury status. Results: Injuries requiring medical attention occurred at a rate of 3.6 injuries/athlete, while injuries resulting in disability occurred at a rate of 0.6 injuries/athlete, with the lumbar spine the main site of injury (23% and 33%, respectively). Wrist and hand injury resulted in the highest number of days of disability (110 days), followed by injury to the lumbar spine (87 days). Across the season 75% of injuries to the lumbar spine occurred in the latter half of the season. The only screening measure predictive of injured/uninjured status was better left-sided single-leg decline-squat performance (OR=0.29; 95% CI=0.09-0.88; p=0.03), while increasing age was significantly (p=0.03) associated with thoracic (OR=1.48; 95% CI=1.03-2.12) and lumbar spine (OR=1.46; 95% CI=1.04-2.04) injury. Conclusions: Though clinically useful, current screening protocols do not adequately assess the risk of seasonal injury in elite Olympic class sailors, and should be revised. Due to the increased risk of spinal injury and potential lost/modified participation in older Olympic class sailors, injury prevention activities should be individualised and age appropriate. Copyright © 2016 Sports Medicine Australia. Published by Elsevier Ltd. All rights reserved.</t>
  </si>
  <si>
    <t>https://search.ebscohost.com/login.aspx?direct=true&amp;db=mdc&amp;AN=26996946&amp;site=ehost-live</t>
  </si>
  <si>
    <t>New strategies in sport nutrition to increase exercise performance.</t>
  </si>
  <si>
    <t>Close GL; Hamilton DL; Philp A; Burke LM; Morton JP</t>
  </si>
  <si>
    <t>Free radical biology &amp; medicine</t>
  </si>
  <si>
    <t>10.1016/j.freeradbiomed.2016.01.016</t>
  </si>
  <si>
    <t>Exercise physiology; Sports Nutritional Sciences; Carbohydrate Metabolism; Diet, High-Fat; Dietary Proteins; Humans; Sports Nutritional Physiological Phenomena genetics</t>
  </si>
  <si>
    <t>Despite over 50 years of research, the field of sports nutrition continues to grow at a rapid rate. Whilst the traditional research focus was one that centred on strategies to maximise competition performance, emerging data in the last decade has demonstrated how both macronutrient and micronutrient availability can play a prominent role in regulating those cell signalling pathways that modulate skeletal muscle adaptations to endurance and resistance training. Nonetheless, in the context of exercise performance, it is clear that carbohydrate (but not fat) still remains king and that carefully chosen ergogenic aids (e.g. caffeine, creatine, sodium bicarbonate, beta-alanine, nitrates) can all promote performance in the correct exercise setting. In relation to exercise training, however, it is now thought that strategic periods of reduced carbohydrate and elevated dietary protein intake may enhance training adaptations whereas high carbohydrate availability and antioxidant supplementation may actually attenuate training adaptation. Emerging evidence also suggests that vitamin D may play a regulatory role in muscle regeneration and subsequent hypertrophy following damaging forms of exercise. Finally, novel compounds (albeit largely examined in rodent models) such as epicatechins, nicotinamide riboside, resveratrol, β-hydroxy β-methylbutyrate, phosphatidic acid and ursolic acid may also promote or attenuate skeletal muscle adaptations to endurance and strength training. When taken together, it is clear that sports nutrition is very much at the heart of the Olympic motto, Citius, Altius, Fortius (faster, higher, stronger). Copyright © 2016 Elsevier Inc. All rights reserved.</t>
  </si>
  <si>
    <t>https://search.ebscohost.com/login.aspx?direct=true&amp;db=mdc&amp;AN=26855422&amp;site=ehost-live</t>
  </si>
  <si>
    <t>Normative MRI, ultrasound and muscle functional MRI findings in the forearms of asymptomatic elite rowers.</t>
  </si>
  <si>
    <t>Drew MK; Trease L; Caneiro JP; Hooper I; Ooi CC; Counsel P; Connell DA; Rice AA; Knight E; Hoy G; Lovell G</t>
  </si>
  <si>
    <t>10.1016/j.jsams.2015.02.002</t>
  </si>
  <si>
    <t>Athletic Injuries diagnosis; Compartment Syndromes diagnosis; Cumulative Trauma Disorders diagnosis; Forearm physiopathology; Magnetic Resonance Imaging methods; Muscle, Skeletal physiology; Adult; Asymptomatic Diseases; Athletic Injuries physiopathology; Compartment Syndromes physiopathology; Cumulative Trauma Disorders physiopathology; Female; Humans; Male; Young Adult</t>
  </si>
  <si>
    <t>Objectives: Forearm injuries are common and debilitating to elite rowers. Chronic exertional compartment syndrome, intersection syndrome and proximal radial bone stress injuries have been documented in this population. This paper explores the imaging findings related to these conditions in asymptomatic elite rowers. Design: Observational study. Methods: 19 asymptomatic senior elite and under-23 rowers currently competing at National level or above underwent ultrasound (US), Magnetic Resonance Imaging (MRI) and muscle functional MRI evaluation of their forearms. A comprehensive evaluation sheet identifying characteristics of bone stress, intersection syndrome and chronic exertional compartment syndrome was utilised based on a literature search and review by senior clinicians working with this population. Results: Peritendinous fluid of Extensor Carpi Radialis Longus (n=10, 53%) or Extensor Carpi Radialis Brevis (n=6, 32%) was a common finding on US. MRI had a higher rate of identification than US. Extensor Digitorum (Coeff=-1.76, 95%CI -3.04 to -0.49), Flexor Carpi Radialis (Coeff=-2.86, 95%CI -5.35 to -0.38) and Flexor Carpi Ulnaris (Coeff=-3.31, 95%CI -5.30 to -1.32), Pronator Teres (Coeff=-3.94, 95%CI -6.89 to -0.99), and Supinator (Coeff=-168, 95%CI -3.28 to -0.02) showed statistically significant changes immediately post-exercise. Mild proximal radial marrow hyperintensity was present (n=15, 78.9%) with three participants (15.8%) also having mild periosteal oedema of the radius. Conclusions: Imaging findings commonly seen in symptomatic populations are observed in elite, asymptomatic rowers. Care should be taken when diagnosing bone stress injuries, intersection syndrome and compartment syndrome on imaging findings alone. Data presented can be utilised as a normative dataset for future case studies. Copyright © 2015 Sports Medicine Australia. Published by Elsevier Ltd. All rights reserved.</t>
  </si>
  <si>
    <t>https://search.ebscohost.com/login.aspx?direct=true&amp;db=mdc&amp;AN=25819703&amp;site=ehost-live</t>
  </si>
  <si>
    <t>Performance success or failure is influenced by weeks lost to injury and illness in elite Australian track and field athletes: A 5-year prospective study.</t>
  </si>
  <si>
    <t>Raysmith BP; Drew MK</t>
  </si>
  <si>
    <t>10.1016/j.jsams.2015.12.515</t>
  </si>
  <si>
    <t>Achievement; Athletic Performance statistics &amp; numerical data; Return to Sport statistics &amp; numerical data; Track and Field injuries; Athletes; Australia epidemiology; Goals; Humans; Injury Severity Score; Logistic Models; Prospective Studies; Risk Factors; Running injuries; Time Factors</t>
  </si>
  <si>
    <t>Objectives: To investigate the impact of training modification on achieving performance goals. Previous research demonstrates an inverse relationship between injury burden and success in team sports. It is unknown whether this relationship exists within individual sport such as athletics. Design: A prospective, cohort study (n=33 International Track and Field Athletes; 76 athlete seasons) across five international competition seasons. Methods: Athlete training status was recorded weekly over a 5-year period. Over the 6-month preparation season, relationships between training weeks completed, the number of injury/illness events and the success or failure of a performance goal at major championships was investigated. Two-by-two table were constructed and attributable risks in the exposed (AFE) calculated. A mixed-model, logistic regression was used to determine the relationship between failure and burden per injury/illness. Receiver Operator Curve (ROC) analysis was performed to ascertain the optimal threshold of training week completion to maximise the chance of success. Results: Likelihood of achieving a performance goal increased by 7-times in those that completed &gt;80% of planned training weeks (AUC, 0.72; 95%CI 0.64-0.81). Training availability accounted for 86% of successful seasons (AFE=0.86, 95%CI, 0.46 to 0.96). The majority of new injuries occurred within the first month of the preparation season (30%) and most illnesses occurred within 2-months of the event (50%). For every modified training week the chance of success significantly reduced (OR=0.74, 95%CI 0.58 to 0.94). Conclusions: Injuries and illnesses, and their influence on training availability, during preparation are major determinants of an athlete's chance of performance goal success or failure at the international level. Copyright © 2016 Sports Medicine Australia. Published by Elsevier Ltd. All rights reserved.</t>
  </si>
  <si>
    <t>https://search.ebscohost.com/login.aspx?direct=true&amp;db=mdc&amp;AN=26839047&amp;site=ehost-live</t>
  </si>
  <si>
    <t>Periodization of Carbohydrate Intake: Short-Term Effect on Performance.</t>
  </si>
  <si>
    <t>Marquet LA; Hausswirth C; Molle O; Hawley JA; Burke LM; Tiollier E; Brisswalter J</t>
  </si>
  <si>
    <t>10.3390/nu8120755</t>
  </si>
  <si>
    <t>Controlled Clinical Trial</t>
  </si>
  <si>
    <t>Dietary Carbohydrates administration &amp; dosage; Exercise; Periodicity; Physical Endurance drug effects; Sports Nutritional Physiological Phenomena; Adolescent; Adult; Athletes; Bicycling physiology; Diet; Exercise Test; Humans; Male; Oxygen Consumption; Young Adult</t>
  </si>
  <si>
    <t>Background: "Sleep-low" consists of a sequential periodization of carbohydrate (CHO) availability-low glycogen recovery after "train high" glycogen-depleting interval training, followed by an overnight-fast and light intensity training ("train low") the following day. This strategy leads to an upregulation of several exercise-responsive signaling proteins, but the chronic effect on performance has received less attention. We investigated the effects of short-term exposure to this strategy on endurance performance. Methods: Following training familiarization, 11 trained cyclists were divided into two groups for a one-week intervention-one group implemented three cycles of periodized CHO intake to achieve the sleep-low strategy over six training sessions (SL, CHO intake: 6 g·kg -1 ·day -1 ), whereas the control group consumed an even distribution of CHO over the day (CON). Tests were a 2 h submaximal ride and a 20 km time trial. Results: SL improved their performance (mean: +3.2%; p &lt; 0.05) compared to CON. The improvement was associated with a change in pacing strategy with higher power output during the second part of the test. No change in substrate utilization was observed after the training period for either group. Conclusion: Implementing the "sleep-low" strategy for one week improved performance by the same magnitude previously seen in a three-week intervention, without any significant changes in selected markers of metabolism. Competing Interests: The authors declare that they have no conflicts of interest.</t>
  </si>
  <si>
    <t>https://search.ebscohost.com/login.aspx?direct=true&amp;db=mdc&amp;AN=27897989&amp;site=ehost-live</t>
  </si>
  <si>
    <t>Physical Activity Performed in the Evening Increases the Overnight Muscle Protein Synthetic Response to Presleep Protein Ingestion in Older Men.</t>
  </si>
  <si>
    <t>Holwerda AM; Kouw IW; Trommelen J; Halson SL; Wodzig WK; Verdijk LB; van Loon LJ</t>
  </si>
  <si>
    <t>10.3945/jn.116.230086</t>
  </si>
  <si>
    <t>Dietary Proteins administration &amp; dosage; Exercise physiology; Gene Expression Regulation physiology; Muscle Proteins metabolism; Sleep physiology; Aged; Amino Acids; Carbon Isotopes; Dietary Supplements; Digestion; Humans; Male; Muscle Proteins genetics; Muscle, Skeletal metabolism</t>
  </si>
  <si>
    <t>Background: The age-related decline in skeletal muscle mass is partly attributed to anabolic resistance to food intake. Dietary protein ingestion before sleep could be used as a nutritional strategy to compensate for anabolic resistance. Objective: The present study assessed whether physical activity performed in the evening can augment the overnight muscle protein synthetic response to presleep protein ingestion in older men. Methods: In a parallel group design, 23 healthy older men (mean ± SEM age: 71 ± 1 y) were randomly assigned to ingest 40 g protein intrinsically labeled with l-[1-(13)C]-phenylalanine and l-[1-(13)C]-leucine before going to sleep with (PRO+EX) or without (PRO) performing physical activity earlier in the evening. Overnight protein digestion and absorption kinetics and myofibrillar protein synthesis rates were assessed by combining primed, continuous infusions of l-[ring-(2)H5]-phenylalanine, l-[1-(13)C]-leucine, and l-[ring-(2)H2]-tyrosine with the ingestion of intrinsically labeled casein protein. Muscle and blood samples were collected throughout overnight sleep. Results: Protein ingested before sleep was normally digested and absorbed, with 54% ± 2% of the protein-derived amino acids appearing in the circulation throughout overnight sleep. Overnight myofibrillar protein synthesis rates were 31% (0.058% ± 0.002%/h compared with 0.044% ± 0.003%/h; P &lt; 0.01; based on l-[ring-(2)H5]-phenylalanine) and 27% (0.074% ± 0.004%/h compared with 0.058% ± 0.003%/h; P &lt; 0.01; based on l-[1-(13)C]-leucine) higher in the PRO+EX than in the PRO treatment. More dietary protein-derived amino acids were incorporated into de novo myofibrillar protein during overnight sleep in PRO+EX than in PRO treatment (0.042 ± 0.002 compared with 0.033 ± 0.002 mole percent excess; P &lt; 0.05). Conclusions: Physical activity performed in the evening augments the overnight muscle protein synthetic response to presleep protein ingestion and allows more of the ingested protein-derived amino acids to be used for de novo muscle protein synthesis during overnight sleep in older men. This trial was registered at Nederlands Trial Register as NTR3885. © 2016 American Society for Nutrition.</t>
  </si>
  <si>
    <t>https://search.ebscohost.com/login.aspx?direct=true&amp;db=mdc&amp;AN=27281811&amp;site=ehost-live</t>
  </si>
  <si>
    <t>Physiological and perceptual effects of precooling in wheelchair basketball athletes.</t>
  </si>
  <si>
    <t>Forsyth P; Pumpa K; Knight E; Miller J</t>
  </si>
  <si>
    <t>10.1080/10790268.2016.1180098</t>
  </si>
  <si>
    <t>Basketball physiology; Hypothermia, Induced methods; Paraplegia rehabilitation; Physical Conditioning, Human methods; Spinal Cord Injuries rehabilitation; Wheelchairs; Adult; Athletes; Heart Rate; Humans; Hypothermia, Induced adverse effects; Male; Perception; Physical Conditioning, Human adverse effects; Skin Temperature</t>
  </si>
  <si>
    <t>Objective: To investigate the physiological and perceptual effects of three precooling strategies during pre-exercise rest in athletes with a spinal cord injury (SCI). Design: Randomized, counterbalanced. Participants were precooled, then rested for 60 minutes (22.7 ± 0.2°C, 64.2 ± 2.6%RH). Setting: National Wheelchair Basketball Training Centre, Australia. Participants: Sixteen wheelchair basketball athletes with a SCI. Interventions: Participants were precooled through; 1) 10 minutes of 15.8°C cold water immersion (CWI), 2) ingestion of 6.8 g/kg -1 of slushie (S) from sports drink; 3) ingestion of 6.8 g/kg -1 of slushie with application of iced towels to the legs, torso and back/arms (ST); or 4) ingestion of 6.8 g/kg -1 of room temperature (22.3°C) sports drink (CON). Outcome Measures: Core temperature (T gi ), skin temperature (T sk ), heart rate (HR), and thermal and gastrointestinal comfort. Results: Following CWI, a significant reduction in T gi was observed compared to CON, with a greatest reduction of 1.58°C occurring 40 minutes post-cooling (95% CI [1.07, 2.10]). A significant reduction in T gi following ST compared to CON was also observed at 20 minutes (0.56°C; [0.03, 1.09]) and 30 minutes (0.56°C; [0.04, 1.09]) post-cooling. Additionally, a significant interaction between impairment level and time was observed for T gi and HR, demonstrating athletes with a higher level of impairment experienced a greater reduction in HR and significant decrease in rate of decline in T gi , compared to lesser impaired athletes. Conclusion: CWI and ST can effectively lower body temperature in athletes with a SCI, and may assist in tolerating warm conditions.</t>
  </si>
  <si>
    <t>https://search.ebscohost.com/login.aspx?direct=true&amp;db=mdc&amp;AN=27192132&amp;site=ehost-live</t>
  </si>
  <si>
    <t>Physiological profile of a professional boxer preparing for Title Bout: A case study.</t>
  </si>
  <si>
    <t>Halperin I; Hughes S; Chapman DW</t>
  </si>
  <si>
    <t>10.1080/02640414.2016.1143110</t>
  </si>
  <si>
    <t>Athletic Performance; Boxing physiology; Muscle Strength; Muscle, Skeletal physiology; Rest physiology; Adult; Arm; Body Composition; Exercise; Exercise Test; Humans; Leg; Male; Movement; Muscle Fatigue; Oxygen Consumption; Young Adult</t>
  </si>
  <si>
    <t>This study aimed to (1) profile a professional boxer (23 years and 80 kg) with boxing-specific, muscle function, aerobic capacity and body composition tests, and (2) quantify how these measures varied during an 8-week preparation phase leading to, and post a state-Title Bout fought in the 76.2-kg class. A series of boxing-specific and muscle function tests were completed on 11 occasions: 9 prior and twice after the bout, each separated by approximately 2 weeks. The boxing test included 36 maximal punches (9 of each: lead and rear straights, lead and rear hooks) to a punching integrator measuring forces and velocity. Muscle function tests included countermovement jump, drop-jumps, isometric mid-thigh pull and isometric bench-press. Body composition was assessed using skin-fold measurements on three occasions and one dual energy X-ray absorptiometry scan. Aerobic capacity was assessed using 2 VO2 max tests. Leading up to the bout, performance decreased in isometric mid-thigh pull (8%), isometric bench-press (5%), countermovement jump (15%) and impact forces in 3 of 4 punches (4%-7%). Whereas measures of dynamic and isometric muscle function remained depressed or unchanged post competition, punching forces (6%-15%) and aerobic power (6%) increased. Data suggest the athlete may have super-compensated following rest as fatigue dissipated and further adaptation occurred.</t>
  </si>
  <si>
    <t>https://search.ebscohost.com/login.aspx?direct=true&amp;db=mdc&amp;AN=26881871&amp;site=ehost-live</t>
  </si>
  <si>
    <t>Position of the Academy of Nutrition and Dietetics, Dietitians of Canada, and the American College of Sports Medicine: Nutrition and Athletic Performance.</t>
  </si>
  <si>
    <t>Thomas DT; Erdman KA; Burke LM</t>
  </si>
  <si>
    <t>Journal of the Academy of Nutrition and Dietetics</t>
  </si>
  <si>
    <t>10.1016/j.jand.2015.12.006</t>
  </si>
  <si>
    <t>Canada; United States; Academies and Institutes; Dietetics; Nutritionists; Sports Nutritional Physiological Phenomena; Alcohol Drinking; Athletic Performance; Body Composition; Body Weight; Canada; Dietary Carbohydrates administration &amp; dosage; Dietary Fats administration &amp; dosage; Dietary Proteins administration &amp; dosage; Dietary Supplements; Energy Intake; Energy Metabolism; Evidence-Based Medicine; Exercise; Humans; Micronutrients administration &amp; dosage; Nutritional Status; Physical Endurance; Recommended Dietary Allowances; United States; Water-Electrolyte Balance</t>
  </si>
  <si>
    <t>It is the position of the Academy of Nutrition and Dietetics (Academy), Dietitians of Canada (DC), and the American College of Sports Medicine (ACSM) that the performance of, and recovery from, sporting activities are enhanced by well-chosen nutrition strategies. These organizations provide guidelines for the appropriate type, amount, and timing of intake of food, fluids, and supplements to promote optimal health and performance across different scenarios of training and competitive sport. This position paper was prepared for members of the Academy, DC, and ACSM, other professional associations, government agencies, industry, and the public. It outlines the Academy's, DC's, and ACSM's stance on nutrition factors that have been determined to influence athletic performance and emerging trends in the field of sports nutrition. Athletes should be referred to a registered dietitian nutritionist for a personalized nutrition plan. In the United States and in Canada, the Certified Specialist in Sports Dietetics is a registered dietitian nutritionist and a credentialed sports nutrition expert. Copyright © 2016 Academy of Nutrition and Dietetics, American College of Sports Medicine, and Dietitians of Canada. Published by Elsevier Inc. All rights reserved.</t>
  </si>
  <si>
    <t>https://search.ebscohost.com/login.aspx?direct=true&amp;db=mdc&amp;AN=26920240&amp;site=ehost-live</t>
  </si>
  <si>
    <t>Prevalence of poor sleep quality, sleepiness and obstructive sleep apnoea risk factors in athletes.</t>
  </si>
  <si>
    <t>Swinbourne R; Gill N; Vaile J; Smart D</t>
  </si>
  <si>
    <t>10.1080/17461391.2015.1120781</t>
  </si>
  <si>
    <t>Athletes statistics &amp; numerical data; Fatigue epidemiology; Sleep physiology; Sleep Apnea, Obstructive epidemiology; Australia epidemiology; Cohort Studies; Female; Humans; Male; Prevalence; Risk Factors</t>
  </si>
  <si>
    <t>Purpose: Despite the perceived importance of sleep for athletes, little is known regarding athlete sleep quality, their prevalence of daytime sleepiness or risk factors for obstructive sleep apnoea (OSA) such as snoring and witnessed apnoeic episodes. The purpose of the present study was to characterise normative sleep quality among highly trained team sport athletes. Methodology: 175 elite or highly trained rugby sevens, rugby union and cricket athletes completed the Pittsburgh Sleep Quality Index (PSQI), Epworth Sleepiness Score (ESS) and Quality of Life questionnaires and an OSA risk factor screen. Results: On average, athletes reported 7.9 ± 1.3 h of sleep per night. The average PSQI score was 5.9 ± 2.6, and 50% of athletes were found to be poor sleepers (PSQI &gt; 5). Daytime sleepiness was prevalent throughout the population (average global score of 8.5) and clinically significant (ESS score of ≥10) in 28% of athletes. OSA may be an important clinical consideration within athletic populations, as a considerable number of athletes (38%) defined themselves as snorers and 8% reported having a witnessed apnoeic episode. The relationship between self-rated sleep quality and actual PSQI score was strong (Pearson correlation of 0.4 ± 0.1, 90% confidence limits). Conclusion: These findings suggest that this cohort of team sport athletes suffer a preponderance of poor sleep quality, with associated high levels of daytime sleepiness. Athletes should receive education about how to improve sleep wake schedules, extend total sleep time and improve sleep quality.</t>
  </si>
  <si>
    <t>https://search.ebscohost.com/login.aspx?direct=true&amp;db=mdc&amp;AN=26697921&amp;site=ehost-live</t>
  </si>
  <si>
    <t>Probiotic supplementation has little effect on peripheral blood regulatory T cells.</t>
  </si>
  <si>
    <t>West NP; Horn PL; Pyne DB; Warren HS; Asad S; Cox AJ; Lahtinen SJ; Lehtinen MJ; Fricker PA; Cripps AW; Fazekas de St Groth B</t>
  </si>
  <si>
    <t>The Journal of allergy and clinical immunology</t>
  </si>
  <si>
    <t>10.1016/j.jaci.2016.06.055</t>
  </si>
  <si>
    <t>Mosby</t>
  </si>
  <si>
    <t>Probiotics administration &amp; dosage; T-Lymphocytes, Regulatory drug effects; Adult; CD4-Positive T-Lymphocytes drug effects; Dietary Supplements; Double-Blind Method; Female; Humans; Male; Respiratory Tract Infections drug therapy</t>
  </si>
  <si>
    <t>https://search.ebscohost.com/login.aspx?direct=true&amp;db=mdc&amp;AN=27554813&amp;site=ehost-live</t>
  </si>
  <si>
    <t>Redistribution of Mechanical Work at the Knee and Ankle Joints During Fast Running in Minimalist Shoes.</t>
  </si>
  <si>
    <t>Fuller JT; Buckley JD; Tsiros MD; Brown NA; Thewlis D</t>
  </si>
  <si>
    <t>10.4085/1062-6050-51.12.05</t>
  </si>
  <si>
    <t>Ankle Injuries prevention &amp; control; Ankle Joint physiology; Athletic Injuries prevention &amp; control; Athletic Performance physiology; Knee Injuries prevention &amp; control; Knee Joint physiology; Running physiology; Shoes classification; Shoes standards; Adolescent; Adult; Ankle Injuries etiology; Ankle Injuries physiopathology; Athletic Injuries etiology; Athletic Injuries physiopathology; Biomechanical Phenomena physiology; Cross-Over Studies; Decision Making, Computer-Assisted; Female; Humans; Knee Injuries etiology; Knee Injuries physiopathology; Male</t>
  </si>
  <si>
    <t>Context: Minimalist shoes have been suggested as a way to alter running biomechanics to improve running performance and reduce injuries. However, to date, researchers have only considered the effect of minimalist shoes at slow running speeds. Objective: To determine if runners change foot-strike pattern and alter the distribution of mechanical work at the knee and ankle joints when running at a fast speed in minimalist shoes compared with conventional running shoes. Design: Crossover study. Setting: Research laboratory. Patients or Other Participants: Twenty-six trained runners (age = 30.0 ± 7.9 years [age range, 18-40 years], height = 1.79 ± 0.06 m, mass = 75.3 ± 8.2 kg, weekly training distance = 27 ± 15 km) who ran with a habitual rearfoot foot-strike pattern and had no experience running in minimalist shoes. Intervention(s): Participants completed overground running trials at 18 km/h in minimalist and conventional shoes. Main Outcome Measure(s): Sagittal-plane kinematics and joint work at the knee and ankle joints were computed using 3-dimensional kinematic and ground reaction force data. Foot-strike pattern was classified as rearfoot, midfoot, or forefoot strike based on strike index and ankle angle at initial contact. Results: We observed no difference in foot-strike classification between shoes (χ 2 1 = 2.29, P = .13). Ankle angle at initial contact was less (2.46° versus 7.43°; t 25 = 3.34, P = .003) and strike index was greater (35.97% versus 29.04%; t 25 = 2.38, P = .03) when running in minimalist shoes compared with conventional shoes. We observed greater negative (52.87 J versus 42.46 J; t 24 = 2.29, P = .03) and positive work (68.91 J versus 59.08 J; t 24 = 2.65, P = .01) at the ankle but less negative (59.01 J versus 67.02 J; t 24 = 2.25, P = .03) and positive work (40.37 J versus 47.09 J; t 24 = 2.11, P = .046) at the knee with minimalist shoes compared with conventional shoes. Conclusions: Running in minimalist shoes at a fast speed caused a redistribution of work from the knee to the ankle joint. This finding suggests that runners changing from conventional to minimalist shoes for short-distance races could be at an increased risk of ankle and calf injuries but a reduced risk of knee injuries.</t>
  </si>
  <si>
    <t>https://search.ebscohost.com/login.aspx?direct=true&amp;db=mdc&amp;AN=27834504&amp;site=ehost-live</t>
  </si>
  <si>
    <t>Reliability of estimating active drag in swimming using the assisted towing method with fluctuating speed.</t>
  </si>
  <si>
    <t>Hazrati P; Sinclair PJ; Ferdinands RE; Mason BR</t>
  </si>
  <si>
    <t>10.1080/14763141.2016.1161064</t>
  </si>
  <si>
    <t>Athletic Performance physiology; Swimming physiology; Acceleration; Adolescent; Biomechanical Phenomena; Female; Humans; Hydrodynamics; Male; Muscle Strength Dynamometer; Reproducibility of Results; Young Adult</t>
  </si>
  <si>
    <t>The reliability of active drag values was examined using a method that compared free swim speed with measurements taken by towing swimmers slightly faster than their maximum swim speed, while allowing their intra-stroke speed fluctuations. Twelve national age and open level swimmers were tested on two alternate days (Day 1 and Day 2). All participants completed four maximum swim speed, three passive drag and five active drag trials on each of the days. The reliability was determined using within-participant intra-class correlation coefficients (ICC) within each day and between the days. The ICCs for Day 1 and Day 2 were 0.82 and 0.85, respectively, while the comparison of the mean active drag values between days was 0.93. The data showed that the assisted towing method (ATM) with fluctuating speed was only moderately reliable within a single test. However, this method was more reliable when using the average value of active drag from both days (ICC = 0.93). This study identified that the ATM method with fluctuating speed had moderate reliability within-participant trials on values in a single day but high reliability for the average active drag values across different days.</t>
  </si>
  <si>
    <t>https://search.ebscohost.com/login.aspx?direct=true&amp;db=mdc&amp;AN=27126742&amp;site=ehost-live</t>
  </si>
  <si>
    <t>Reliability of externally fixed dynamometry hamstring strength testing in elite youth football players.</t>
  </si>
  <si>
    <t>Wollin M; Purdam C; Drew MK</t>
  </si>
  <si>
    <t>10.1016/j.jsams.2015.01.012</t>
  </si>
  <si>
    <t>Muscle Strength; Muscle Strength Dynamometer; Adolescent; Football physiology; Healthy Volunteers; Humans; Male; Reproducibility of Results</t>
  </si>
  <si>
    <t>Objectives: To investigate inter and intra-tester reliability of an externally fixed dynamometry unilateral hamstring strength test, in the elite sports setting. Design: Reliability study. Methods: Sixteen, injury-free, elite male youth football players (age=16.81±0.54 years, height=180.22±5.29cm, weight 73.88±6.54kg, BMI=22.57±1.42) gave written informed consent. Unilateral maximum isometric peak hamstring force was evaluated by externally fixed dynamometry for inter-tester, intra-day and intra-tester, inter-week reliability. The test position was standardised to correlate with the terminal swing phase of the gait running cycle. Results: Inter and intra-tester values demonstrated good to high levels of reliability. The intra-class coefficient (ICC) for inter-tester, intra-day reliability was 0.87 (95% CI=0.75-0.93) with standard error of measure percentage (SEM%) 4.7 and minimal detectable change percentage (MDC%) 12.9. Intra-tester, inter-week reliability results were ICC 0.86 (95% CI, 0.74-0.93), SEM% 5.0 and MDC% 14.0. Conclusions: This study demonstrates good to high inter and intra-tester reliability of isometric externally fixed dynamometry unilateral hamstring strength testing in the regular elite sport setting involving elite male youth football players. The intra-class coefficient in association with the low standard error of measure and minimal detectable change percentages suggest that this procedure is appropriate for clinical and academic use as well as monitoring hamstring strength in the elite sport setting. Crown Copyright © 2015. Published by Elsevier Ltd. All rights reserved.</t>
  </si>
  <si>
    <t>https://search.ebscohost.com/login.aspx?direct=true&amp;db=mdc&amp;AN=25683733&amp;site=ehost-live</t>
  </si>
  <si>
    <t>Resistance Exercise Augments Postprandial Overnight Muscle Protein Synthesis Rates.</t>
  </si>
  <si>
    <t>Trommelen J; Holwerda AM; Kouw IW; Langer H; Halson SL; Rollo I; Verdijk LB; VAN Loon LJ</t>
  </si>
  <si>
    <t>10.1249/MSS.0000000000001045</t>
  </si>
  <si>
    <t>Dietary Proteins administration &amp; dosage; Muscle Proteins biosynthesis; Muscle, Skeletal metabolism; Resistance Training; Sleep physiology; Amino Acids metabolism; Blood Glucose metabolism; Caseins administration &amp; dosage; Caseins blood; Humans; Insulin blood; Male; Phenylalanine administration &amp; dosage; Phenylalanine blood; Postprandial Period; Tyrosine administration &amp; dosage; Tyrosine blood; Young Adult</t>
  </si>
  <si>
    <t>Introduction: We have previously shown that protein ingestion before sleep increases overnight muscle protein synthesis rates. Whether prior exercise further augments the muscle protein synthetic response to presleep protein ingestion remains to be established. Objective: This study aimed to assess whether resistance-type exercise performed in the evening increases the overnight muscle protein synthetic response to presleep protein ingestion. Methods: Twenty-four healthy young men were randomly assigned to ingest 30 g intrinsically L-[1-C]-phenylalanine and L-[1-C]-leucine-labeled casein protein before going to sleep with (PRO + EX, n = 12) or without (PRO, n = 12) prior resistance-type exercise performed in the evening. Continuous intravenous L-[ring-H5]-phenylalanine, L-[1-C]-leucine, and L-[ring-H2]-tyrosine infusions were applied. Blood and muscle tissue samples were collected to assess whole-body protein balance, myofibrillar protein synthesis rates, and overnight incorporation of dietary protein-derived amino acids into de novo myofibrillar protein. Results: A total of 57% ± 1% of the ingested protein-derived phenylalanine appeared in the circulation during overnight sleep. Overnight myofibrillar protein synthesis rates were 37% (0.055%·h ± 0.002%·h vs. 0.040%·h ± 0.003%·h, P &lt; 0.001, based on L-[ring- H5]-phenylalanine) and 31% (0.073%·h ± 0.004%·h vs. 0.055%·h ± 0.006%·h, P = 0.024, based on L-[1-C]-leucine) higher in PRO + EX compared with PRO. Substantially more of the dietary protein-derived amino acids were incorporated into de novo myofibrillar protein during overnight sleep in PRO + EX compared with PRO (0.026 ± 0.003 vs. 0.015 ± 0.003 molar percent excess, P = 0.012). Conclusions: Resistance-type exercise performed in the evening augments the overnight muscle protein synthetic response to presleep protein ingestion and allows more of the ingested protein-derived amino acids to be used for de novo myofibrillar protein synthesis during overnight sleep.</t>
  </si>
  <si>
    <t>https://search.ebscohost.com/login.aspx?direct=true&amp;db=mdc&amp;AN=27643743&amp;site=ehost-live</t>
  </si>
  <si>
    <t>Resisted adduction in hip neutral is a superior provocation test to assess adductor longus pain: An experimental pain study.</t>
  </si>
  <si>
    <t>Drew MK; Palsson TS; Izumi M; Hirata RP; Lovell G; Chiarelli P; Osmotherly PG; Graven-Nielsen T</t>
  </si>
  <si>
    <t>10.1111/sms.12529</t>
  </si>
  <si>
    <t>Groin; Musculoskeletal Pain physiopathology; Physical Examination methods; Tendons physiopathology; Adult; Hip; Humans; Isotonic Solutions pharmacology; Likelihood Functions; Male; Muscle Contraction; Musculoskeletal Pain diagnosis; Musculoskeletal Pain etiology; Pain Measurement; Patient Positioning; ROC Curve; Saline Solution, Hypertonic pharmacology; Tendons drug effects; Young Adult</t>
  </si>
  <si>
    <t>The criterion of long-standing groin pain diagnoses in athletes usually relies on palpation and clinical tests. An experimental pain model was developed to examine the clinical tests under standardized conditions. Pain was induced by hypertonic saline injected into the proximal adductor longus (AL) tendon or rectus femoris (RF) tendon in 15 healthy male participants. Isotonic saline was injected contralaterally as a control. Pain intensity was assessed on a visual analog scale (VAS). Resisted hip adduction at three different angles and trunk flexion were completed before, during, and after injections. Pain provocation in the presence of experimental pain was recorded as a true positive compared with pain provocation in the non-pain conditions. Similar peak VAS scores were found after hypertonic saline injections into the AL and RF and both induced higher VAS scores than isotonic saline (P &lt; 0.01). Adduction at 0° had the greatest positive likelihood ratio (+LR = 2.8, 95%CI: 1.09-7.32) with 45° (-LR = 0.0, 95%CI: 0.00-1.90) and 90° (-LR = 0.0, 95%CI: 0.00-0.94) having the lowest negative LR. This study indicates that the 0° hip adduction test resisted at the ankles optimizes the diagnostic procedure without compromising diagnostic capacity to identify experimental groin pain. Validation in clinical populations is warranted. © 2015 John Wiley &amp; Sons A/S. Published by John Wiley &amp; Sons Ltd.</t>
  </si>
  <si>
    <t>https://search.ebscohost.com/login.aspx?direct=true&amp;db=mdc&amp;AN=26247618&amp;site=ehost-live</t>
  </si>
  <si>
    <t>Respiratory inflammation and infections in high-performance athletes.</t>
  </si>
  <si>
    <t>Gleeson M; Pyne DB</t>
  </si>
  <si>
    <t>Immunology and cell biology</t>
  </si>
  <si>
    <t>10.1038/icb.2015.100</t>
  </si>
  <si>
    <t>Asthma, Exercise-Induced immunology; Athletes; Athletic Performance; Exercise physiology; Respiratory Tract Infections epidemiology; Respiratory Tract Infections immunology; Animals; Anti-Inflammatory Agents therapeutic use; Antioxidants therapeutic use; Asthma, Exercise-Induced therapy; Dietary Supplements; Humans; Inflammation epidemiology; Inflammation immunology; Inflammation therapy; Probiotics therapeutic use; Respiratory Tract Infections therapy</t>
  </si>
  <si>
    <t>Upper respiratory illness is the most common reason for non-injury-related presentation to a sports medicine clinic, accounting for 35-65% of illness presentations. Recurrent or persistent respiratory illness can have a negative impact on health and performance of athletes undertaking high levels of strenuous exercise. The cause of upper respiratory symptoms (URS) in athletes can be uncertain but the majority of cases are related to common respiratory viruses, viral reactivation, allergic responses to aeroallergens and exercise-related trauma to the integrity of respiratory epithelial membranes. Bacterial respiratory infections are uncommon in athletes. Undiagnosed or inappropriately treated asthma and/or allergy are common findings in clinical assessments of elite athletes experiencing recurrent URS. High-performance athletes with recurrent episodes of URS should undergo a thorough clinical assessment to exclude underlying treatable conditions of respiratory inflammation. Identifying athletes at risk of recurrent URS is important in order to prescribe preventative clinical, training and lifestyle strategies. Monitoring secretion rates and falling concentrations of salivary IgA can identify athletes at risk of URS. Therapeutic interventions are limited by the uncertainty of the underlying cause of inflammation. Topical anti-inflammatory sprays can be beneficial for some athletes. Dietary supplementation with bovine colostrum, probiotics and selected antioxidants can reduce the incidence or severity of URS in some athletes. Preliminary studies on athletes prone to URS indicate a genetic predisposition to a pro-inflammatory response and a dysregulated anti-inflammatory cytokine response to intense exercise as a possible mechanism of respiratory inflammation. This review focuses on respiratory infections and inflammation in elite/professional athletes.</t>
  </si>
  <si>
    <t>https://search.ebscohost.com/login.aspx?direct=true&amp;db=mdc&amp;AN=26568028&amp;site=ehost-live</t>
  </si>
  <si>
    <t>Revisiting the continuum model of tendon pathology: what is its merit in clinical practice and research?</t>
  </si>
  <si>
    <t>Cook JL; Rio E; Purdam CR; Docking SI</t>
  </si>
  <si>
    <t>10.1136/bjsports-2015-095422</t>
  </si>
  <si>
    <t>Myalgia physiopathology; Tendinopathy diagnosis; Tendinopathy physiopathology; Tendons pathology; Collagen physiology; Humans; Inflammation; Models, Biological; Myalgia therapy; Tendinopathy therapy</t>
  </si>
  <si>
    <t>The pathogenesis of tendinopathy and the primary biological change in the tendon that precipitates pathology have generated several pathoaetiological models in the literature. The continuum model of tendon pathology, proposed in 2009, synthesised clinical and laboratory-based research to guide treatment choices for the clinical presentations of tendinopathy. While the continuum has been cited extensively in the literature, its clinical utility has yet to be fully elucidated. The continuum model proposed a model for staging tendinopathy based on the changes and distribution of disorganisation within the tendon. However, classifying tendinopathy based on structure in what is primarily a pain condition has been challenged. The interplay between structure, pain and function is not yet fully understood, which has partly contributed to the complex clinical picture of tendinopathy. Here we revisit and assess the merit of the continuum model in the context of new evidence. We (1) summarise new evidence in tendinopathy research in the context of the continuum, (2) discuss tendon pain and the relevance of a model based on structure and (3) describe relevant clinical elements (pain, function and structure) to begin to build a better understanding of the condition. Our goal is that the continuum model may help guide targeted treatments and improved patient outcomes. Published by the BMJ Publishing Group Limited. For permission to use (where not already granted under a licence) please go to http://www.bmj.com/company/products-services/rights-and-licensing/</t>
  </si>
  <si>
    <t>https://search.ebscohost.com/login.aspx?direct=true&amp;db=mdc&amp;AN=27127294&amp;site=ehost-live</t>
  </si>
  <si>
    <t>Scaling Tennis Racquets During PE in Primary School to Enhance Motor Skill Acquisition.</t>
  </si>
  <si>
    <t>Buszard T; Reid M; Masters RS; Farrow D</t>
  </si>
  <si>
    <t>10.1080/02701367.2016.1216653</t>
  </si>
  <si>
    <t>Athletic Performance physiology; Motor Skills physiology; Physical Education and Training methods; Sports Equipment; Tennis physiology; Child; Female; Humans; Male</t>
  </si>
  <si>
    <t>Purpose: Research supporting the skill acquisition benefits of scaling sports equipment for children in a real-world setting where child-to-coach ratios are high is scarce. Thus, the aim of this study was to examine the influence of scaling the tennis racquet on children's skill acquisition in a primary school setting. Method: Children aged 6 to 7 years old practiced for 5 weeks during physical education classes using either a small racquet (SR group; n = 23) or a large racquet (LR group; n = 23). Measures of hitting technique, hitting performance, and general hand-eye coordination were administered before and after the practice period. Results: The high child-to-coach ratio (22:2) seemingly led to a small number of practice opportunities for children. Despite this finding, children in the SR group displayed greater improvements in hitting technique for the forehand and backhand. This finding did not translate to better hitting performance (i.e., skill outcome), however, with similar results found for both groups during the pretest and posttest. Conversely, the LR group showed greater improvements in the hand-eye coordination measure of bouncing the ball on the ground. Conclusion: Scaling equipment for children enhanced the acquisition of a more desirable technique in a real-world setting. We speculate that this technique acquisition would also lead to improved hitting performance following a longer practice period, whereby children are exposed to more practice opportunities.</t>
  </si>
  <si>
    <t>https://search.ebscohost.com/login.aspx?direct=true&amp;db=mdc&amp;AN=27586426&amp;site=ehost-live</t>
  </si>
  <si>
    <t>Scaling the Equipment and Play Area in Children's Sport to improve Motor Skill Acquisition: A Systematic Review.</t>
  </si>
  <si>
    <t>Buszard T; Reid M; Masters R; Farrow D</t>
  </si>
  <si>
    <t>10.1007/s40279-015-0452-2</t>
  </si>
  <si>
    <t>Motor Skills physiology; Play and Playthings; Sports Equipment; Youth Sports physiology; Athletic Performance physiology; Biomechanical Phenomena; Child; Cognition physiology; Humans; Youth Sports psychology</t>
  </si>
  <si>
    <t>Background: This review investigated the influence of scaling sports equipment and play area (e.g., field size) on children's motor skill acquisition. Methods: Peer-reviewed studies published prior to February 2015 were searched using SPORTDiscus and MEDLINE. Studies were included if the research (a) was empirical, (b) involved participants younger than 18 years, (c) assessed the efficacy of scaling in relation to one or more factors affecting skill learning (psychological factors, skill performance and skill acquisition factors, biomechanical factors, cognitive processing factors), and (d) had a sport or movement skills context. Risk of bias was assessed in relation to selection bias, detection bias, attrition bias, reporting bias and other bias. Results: Twenty-five studies involving 989 children were reviewed. Studies revealed that children preferred using scaled equipment over adult equipment (n = 3), were more engaged in the task (n = 1) and had greater self-efficacy to execute skills (n = 2). Eighteen studies demonstrated that children performed skills better when the equipment and play area were scaled. Children also acquired skills faster in such conditions (n = 2); albeit the practice interventions were relatively short. Five studies showed that scaling led to children adopting more desirable movement patterns, and one study associated scaling with implicit motor learning. Conclusion: Most of the studies reviewed provide evidence in support of equipment and play area scaling. However, the conclusions are limited by the small number of studies that examined learning (n = 5), poor ecological validity and skills tests of few trials.</t>
  </si>
  <si>
    <t>https://search.ebscohost.com/login.aspx?direct=true&amp;db=mdc&amp;AN=26780345&amp;site=ehost-live</t>
  </si>
  <si>
    <t>Seven days of high carbohydrate ingestion does not attenuate post-exercise IL-6 and hepcidin levels.</t>
  </si>
  <si>
    <t>Badenhorst CE; Dawson B; Cox GR; Sim M; Laarakkers CM; Swinkels DW; Peeling P</t>
  </si>
  <si>
    <t>10.1007/s00421-016-3426-7</t>
  </si>
  <si>
    <t>Dietary Carbohydrates administration &amp; dosage; Dietary Carbohydrates immunology; Exercise physiology; Hepcidins blood; Inflammation Mediators blood; Interleukin-6 blood; Adult; Hepcidins immunology; Humans; Inflammation Mediators immunology; Interleukin-6 immunology; Male</t>
  </si>
  <si>
    <t>Purpose: This investigation examined if a high carbohydrate (CHO) diet, maintained across a seven-day training period, could attenuate post-exercise interleukin-6 (IL-6) and serum hepcidin levels. Methods: Twelve endurance-trained male athletes completed two seven-day running training blocks whilst consuming either a high (8 g kg(-1)) versus a low (3 g kg(-1)) CHO isoenergetic diet. Each training block consisted of five running sessions performed on days 1, 2, 4, 5, and 7, with the intensity and duration of each session matched between training weeks. Serum levels of Interleukin-6 (IL-6) and hepcidin were measured pre- and either immediately (IL-6) or 3-h (hepcidin) post-exercise on days 1 and 7 of each training week. Results: During each training week, the immediate post-exercise IL-6 and 3-h post-exercise serum hepcidin levels were significantly elevated (both p = 0.001) from pre-exercise on days 1 and 7. These increases were not different between trials. Conclusions: These results suggest that the ingestion of a high (compared to low) CHO diet over a seven-day training period is ineffective in attenuating post-exercise IL-6 and hepcidin responses. Such results may be due to the modest training load, the increased protein intake in the low-CHO trial, and a 48 h recovery period prior to sample collection on day 7, allowing a full recovery of muscle glycogen status between exercise sessions.</t>
  </si>
  <si>
    <t>https://search.ebscohost.com/login.aspx?direct=true&amp;db=mdc&amp;AN=27379793&amp;site=ehost-live</t>
  </si>
  <si>
    <t>Sleep, anxiety and electronic device use by athletes in the training and competition environments.</t>
  </si>
  <si>
    <t>Romyn G; Robey E; Dimmock JA; Halson SL; Peeling P</t>
  </si>
  <si>
    <t>10.1080/17461391.2015.1023221</t>
  </si>
  <si>
    <t>Anxiety; Athletes; Computers, Handheld statistics &amp; numerical data; Sleep; Smartphone statistics &amp; numerical data; Actigraphy methods; Adolescent; Female; Humans; Sleep Hygiene; Young Adult</t>
  </si>
  <si>
    <t>This study subjectively assessed sleep quality and quantity, state anxiety and electronic device use during a 7-day training week (TRAIN) and a 7-day competitive tournament (COMP). Eight state-level netball players used wrist-watch actigraphy to provide indirect sleep measures of bedtime, wake time, sleep duration, sleep onset latency, sleep efficiency, wake after sleep onset and fragmentation index. State anxiety was reported using the anxiety sub-scale in the Profile of Mood States-Adolescents. Before bed duration of electronic device use and the estimated time to sleep after finishing electronic device use was also recorded. Significant main effects showed that sleep efficiency (p = 0.03) was greater in COMP as compared to TRAIN. Furthermore, the bedtime and wake time were earlier (p = 0.01) during COMP. No further differences existed between conditions (p &gt; 0.05). However, strong negative associations were seen between state anxiety and the sleep quality rating. Here, sleep efficiency was likely greater in COMP due to the homeostatic need for recovery sleep, resulting from the change in environment from training to competition. Furthermore, an increased anxiety before bed seems to influence sleep quality and should be considered in athletes portraying poor sleep habits.</t>
  </si>
  <si>
    <t>https://search.ebscohost.com/login.aspx?direct=true&amp;db=mdc&amp;AN=25790844&amp;site=ehost-live</t>
  </si>
  <si>
    <t>Sports-related workload and injury risk: simply knowing the risks will not prevent injuries: Narrative review.</t>
  </si>
  <si>
    <t>Drew MK; Cook J; Finch CF</t>
  </si>
  <si>
    <t>10.1136/bjsports-2015-095871</t>
  </si>
  <si>
    <t>Training loads contribute to sports injury risk but their mitigation has rarely been considered in a sports injury prevention framework. A key concept behind monitoring training loads for injury prevention is to screen for those at increased risk of injury so that workloads can be adjusted to minimise these risks. This review describes how advances in management of workload can be applied as a preventive measure. Primary prevention involves screening for preparticipation load risk factors, such as low training loads, prior to a training period or competition. Secondary prevention involves screening for workloads that are known to precede an injury developing so that modification can be undertaken to mitigate this risk. Tertiary prevention involves rehabilitation practices that include a graded return to training programme to reduce the risk of sustaining a subsequent injury. The association of training loads with injury incidence is now established. Prevention measures such as rule changes that affect the workload of an athlete are universal whereas those that address risk factors of an asymptomatic subgroup are more selective. Prevention measures, when implemented for asymptomatic individuals exhibiting possible injury risk factors, are indicated for an athlete at risk of developing a sports injury. Seven key indicated risks and associated prevention measures are proposed. Competing Interests: Competing interests: None declared. Published by the BMJ Publishing Group Limited. For permission to use (where not already granted under a licence) please go to http://www.bmj.com/company/products-services/rights-and-licensing/.</t>
  </si>
  <si>
    <t>https://search.ebscohost.com/login.aspx?direct=true&amp;db=mdc&amp;AN=27166288&amp;site=ehost-live</t>
  </si>
  <si>
    <t>Superior Inhibitory Control and Resistance to Mental Fatigue in Professional Road Cyclists.</t>
  </si>
  <si>
    <t>Martin K; Staiano W; Menaspà P; Hennessey T; Marcora S; Keegan R; Thompson KG; Martin D; Halson S; Rattray B</t>
  </si>
  <si>
    <t>e0159907</t>
  </si>
  <si>
    <t>10.1371/journal.pone.0159907</t>
  </si>
  <si>
    <t>Bicycling psychology; Mental Fatigue psychology; Adolescent; Adult; Humans; Male; Perception; Reaction Time; Stroop Test; Young Adult</t>
  </si>
  <si>
    <t>Purpose: Given the important role of the brain in regulating endurance performance, this comparative study sought to determine whether professional road cyclists have superior inhibitory control and resistance to mental fatigue compared to recreational road cyclists. Methods: After preliminary testing and familiarization, eleven professional and nine recreational road cyclists visited the lab on two occasions to complete a modified incongruent colour-word Stroop task (a cognitive task requiring inhibitory control) for 30 min (mental exertion condition), or an easy cognitive task for 10 min (control condition) in a randomized, counterbalanced cross-over order. After each cognitive task, participants completed a 20-min time trial on a cycle ergometer. During the time trial, heart rate, blood lactate concentration, and rating of perceived exertion (RPE) were recorded. Results: The professional cyclists completed more correct responses during the Stroop task than the recreational cyclists (705±68 vs 576±74, p = 0.001). During the time trial, the recreational cyclists produced a lower mean power output in the mental exertion condition compared to the control condition (216±33 vs 226±25 W, p = 0.014). There was no difference between conditions for the professional cyclists (323±42 vs 326±35 W, p = 0.502). Heart rate, blood lactate concentration, and RPE were not significantly different between the mental exertion and control conditions in both groups. Conclusion: The professional cyclists exhibited superior performance during the Stroop task which is indicative of stronger inhibitory control than the recreational cyclists. The professional cyclists also displayed a greater resistance to the negative effects of mental fatigue as demonstrated by no significant differences in perception of effort and time trial performance between the mental exertion and control conditions. These findings suggest that inhibitory control and resistance to mental fatigue may contribute to successful road cycling performance. These psychobiological characteristics may be either genetic and/or developed through the training and lifestyle of professional road cyclists.</t>
  </si>
  <si>
    <t>https://search.ebscohost.com/login.aspx?direct=true&amp;db=mdc&amp;AN=27441380&amp;site=ehost-live</t>
  </si>
  <si>
    <t>Supplement Use of Elite Australian Swimmers.</t>
  </si>
  <si>
    <t>Shaw G; Slater G; Burke LM</t>
  </si>
  <si>
    <t>10.1123/ijsnem.2015-0182</t>
  </si>
  <si>
    <t>Dietary Supplements; Performance-Enhancing Substances administration &amp; dosage; Swimming; Adult; Antioxidants administration &amp; dosage; Athletes; Athletic Performance; Australia; Evidence-Based Practice; Female; Health Knowledge, Attitudes, Practice; Humans; Male; Micronutrients administration &amp; dosage; Pilot Projects; Reproducibility of Results; Risk Factors; Sports; Surveys and Questionnaires; Young Adult</t>
  </si>
  <si>
    <t>This study examined the influence the Australian Institute of Sport (AIS) Sport Supplement Program had on supplement practices of elite Australian swimmers, comparing those guided by the Program with others in the same national team. Thirty-nine elite swimmers (13 AIS, 26 Other; 20 female, 19 male; age 21.8 ± 3.3 y) completed a questionnaire investigating supplement use. Ninety-seven percent of swimmers reported taking supplements or sports foods over the preceding 12 months. AIS swimmers reported using more total brands (p = .02) and supplements considered Ergogenic (p = .001) than Other swimmers who used more supplements considered to be lacking scientific support (p = .028). Swimmers rated the risk of a negative outcome from the use of supplements available in Australia (Mdn = 3.0) as less than the risk of supplements from international sources (Mdn = 4.0; p &lt; .001). AIS swimmers were more likely to report dietitians (p &lt; .001) and sports physicians (p = .017) as advisors of their supplement use. Other swimmers more frequently reported fellow athletes as a source of supplement advice (p = .03). AIS swimmers sourced a greater percentage of their supplements from an organized program (94 ± 16%) compared with Other (40 ± 32%; p &lt; .001) who sourced a greater percentage (30 ± 30%) of their dietary supplements from supermarkets. These findings suggest that swimmers influenced by this sport supplement program more frequently use supplements that are recommended by allied health trained individuals, classified as evidence based and provided by the program.</t>
  </si>
  <si>
    <t>https://search.ebscohost.com/login.aspx?direct=true&amp;db=mdc&amp;AN=26630501&amp;site=ehost-live</t>
  </si>
  <si>
    <t>Swimming Training Assessment: The Critical Velocity and the 400-m Test for Age-Group Swimmers.</t>
  </si>
  <si>
    <t>Zacca R; Fernandes RJ; Pyne DB; Castro FA</t>
  </si>
  <si>
    <t>10.1519/JSC.0000000000001239</t>
  </si>
  <si>
    <t>Exercise Test methods; Heart Rate physiology; Oxygen Consumption physiology; Swimming physiology; Adolescent; Female; Humans; Lactic Acid blood; Male; Reproducibility of Results</t>
  </si>
  <si>
    <t>To verify the metabolic responses of oxygen consumption (V[Combining Dot Above]O2), heart rate (HR), blood lactate concentrations [La], and rate of perceived exertion (RPE) when swimming at an intensity corresponding to the critical velocity (CV) assessed by a 4-parameter model (CV4par), and to check the reliability when using only a single 400-m maximal front crawl bout (T400) for CV4par assessment in age-group swimmers. Ten age-group swimmers (14-16 years old) performed 50-, 100-, 200-, 400- (T400), 800-, and 1,500-m maximal front crawl bouts to calculate CV4par. V[Combining Dot Above]O2, HR, [La], and RPE were measured immediately after bouts. Swimmers then performed 3 × 10-minute front crawl (45 seconds rest) at CV4par. V[Combining Dot Above]O2, HR, [La], and RPE were measured after 10 minutes of rest (Rest), warm-up (Pre), each 10-minute repetition, and at the end of the test (Post). CV4par was 1.33 ± 0.08 m·s. V[Combining Dot Above]O2, HR, [La], and RPE were similar between first 10-minute and Post time points in the 3 × 10-minute protocol. CV4par was equivalent to 92 ± 2% of the mean swimming speed of T400 (v400) for these swimmers. CV4par calculated through a single T400 (92%v400) showed excellent agreement (r = 0.30; 95% CI: -0.04 to 0.05 m·s, p = 0.39), low coefficient of variation (2%), and root mean square error of 0.02 ± 0.01 m·s when plotted against CV4par assessed through a 4-parameter model. These results generated the equation CV4par = 0.92 × v400. A single T400 can be used reliably to estimate the CV4par typically derived with 6 efforts in age-group swimmers.</t>
  </si>
  <si>
    <t>https://search.ebscohost.com/login.aspx?direct=true&amp;db=mdc&amp;AN=26473520&amp;site=ehost-live</t>
  </si>
  <si>
    <t>Tendon neuroplastic training: changing the way we think about tendon rehabilitation: a narrative review.</t>
  </si>
  <si>
    <t>Rio E; Kidgell D; Moseley GL; Gaida J; Docking S; Purdam C; Cook J</t>
  </si>
  <si>
    <t>10.1136/bjsports-2015-095215</t>
  </si>
  <si>
    <t>Resistance Training methods; Tendinopathy rehabilitation; Achilles Tendon injuries; Athletic Injuries physiopathology; Athletic Injuries rehabilitation; Biomechanical Phenomena physiology; Humans; Motor Cortex physiology; Muscle Strength physiology; Neuronal Plasticity physiology; Psychomotor Performance physiology; Quadriceps Muscle physiology; Tendinopathy physiopathology</t>
  </si>
  <si>
    <t>Tendinopathy can be resistant to treatment and often recurs, implying that current treatment approaches are suboptimal. Rehabilitation programmes that have been successful in terms of pain reduction and return to sport outcomes usually include strength training. Muscle activation can induce analgesia, improving self-efficacy associated with reducing one's own pain. Furthermore, strength training is beneficial for tendon matrix structure, muscle properties and limb biomechanics. However, current tendon rehabilitation may not adequately address the corticospinal control of the muscle, which may result in altered control of muscle recruitment and the consequent tendon load, and this may contribute to recalcitrance or symptom recurrence. Outcomes of interest include the effect of strength training on tendon pain, corticospinal excitability and short interval cortical inhibition. The aims of this concept paper are to: (1) review what is known about changes to the primary motor cortex and motor control in tendinopathy, (2) identify the parameters shown to induce neuroplasticity in strength training and (3) align these principles with tendon rehabilitation loading protocols to introduce a combination approach termed as tendon neuroplastic training. Strength training is a powerful modulator of the central nervous system. In particular, corticospinal inputs are essential for motor unit recruitment and activation; however, specific strength training parameters are important for neuroplasticity. Strength training that is externally paced and akin to a skilled movement task has been shown to not only reduce tendon pain, but modulate excitatory and inhibitory control of the muscle and therefore, potentially tendon load. An improved understanding of the methods that maximise the opportunity for neuroplasticity may be an important progression in how we prescribe exercise-based rehabilitation in tendinopathy for pain modulation and potentially restoration of the corticospinal control of the muscle-tendon complex. Published by the BMJ Publishing Group Limited. For permission to use (where not already granted under a licence) please go to http://www.bmj.com/company/products-services/rights-and-licensing/</t>
  </si>
  <si>
    <t>https://search.ebscohost.com/login.aspx?direct=true&amp;db=mdc&amp;AN=26407586&amp;site=ehost-live</t>
  </si>
  <si>
    <t>The Chronotype of Elite Athletes.</t>
  </si>
  <si>
    <t>Lastella M; Roach GD; Halson SL; Sargent C</t>
  </si>
  <si>
    <t>10.1515/hukin-2016-0049</t>
  </si>
  <si>
    <t>The aims of this study were (i) to compare the chronotype distribution of elite athletes to a young adult population and (ii) to determine if there was a tendency for athletes to select and/or participate in sports which suited their chronotype. A total of 114 elite athletes from five sports (cricket, cycling, hockey, soccer and triathlon) participated in this study. The participants' chronotype, sleepiness, sleep satisfaction and sleep quality were determined using the Horne and Östberg Morningness and Eveningness questionnaire, the Epworth Sleepiness Scale and questions concerning their sleep satisfaction and quality. All questionnaires were administered during a typical training phase that was not in the lead up to competition and/or post competition. No differences between chronotype group for sleepiness, sleep satisfaction or sleep quality were found. There was a significantly higher proportion of triathletes that were morning and intermediate types compared to the control group χ 2 (2) = 7.5, p = 0.02. A significant relationship between sport and chronotype group (χ 2 (4)=15.9, p = 0.04) was observed, with a higher frequency of morning types involved in sports that required morning training. There was a clear indication that athletes tended to select and pursue sports that suited their chronotype. This was evident by the amount of morning types involved in morning sports. Given that athletes are more likely to pursue and excel in sports which suit their chronotype, it is recommended that coaches consider the athlete's chronotype during selection processes or if possible design and implement changes to training schedules to either suit the athletes' chronotype or the timing of an upcoming competition.</t>
  </si>
  <si>
    <t>https://search.ebscohost.com/login.aspx?direct=true&amp;db=mdc&amp;AN=28031772&amp;site=ehost-live</t>
  </si>
  <si>
    <t>The effect of high versus low intensity heat acclimation on performance and neuromuscular responses.</t>
  </si>
  <si>
    <t>Wingfield GL; Gale R; Minett GM; Marino FE; Skein M</t>
  </si>
  <si>
    <t>10.1016/j.jtherbio.2016.02.006</t>
  </si>
  <si>
    <t>Acclimatization; Bicycling; Exercise; Adult; Body Temperature; Heart Rate; Hot Temperature; Humans; Male; Oxygen Consumption; Physical Exertion; Running; Skin Temperature; Young Adult</t>
  </si>
  <si>
    <t>This study examined the effect of exercise intensity and duration during 5-day heat acclimation (HA) on cycling performance and neuromuscular responses. 20 recreationally trained males completed a 'baseline' trial followed by 5 consecutive days HA, and a 'post-acclimation' trial. Baseline and post-acclimation trials consisted of maximal voluntary contractions (MVC), a single and repeated countermovement jump protocol, 20km cycling time trial (TT) and 5×6s maximal sprints (SPR). Cycling trials were undertaken in 33.0 ± 0.8°C and 60 ± 3% relative humidity. Core (Tcore), and skin temperatures (Tskin), heart rate (HR), rating of perceived exertion (RPE) and thermal sensation were recorded throughout cycling trials. Participants were assigned to either 30min high-intensity (30HI) or 90min low-intensity (90LI) cohorts for HA, conducted in environmental conditions of 32.0 ± 1.6°C. Percentage change time to complete the 20km TT for the 90LI cohort was significantly improved post-acclimation (-5.9 ± 7.0%; P=0.04) compared to the 30HI cohort (-0.18 ± 3.9%; P&lt;0.05). The 30HI cohort showed greatest improvements in power output (PO) during post-acclimation SPR 1 and 2 compared to 90LI (546 ± 128W and 517 ± 87W, respectively; P&lt;0.02). No differences were evident for MVC within 30HI cohort, however, a reduced performance indicated by % change within the 90LI (P=0.04). Compared to baseline, mean Tcore was reduced post-acclimation within the 30HI cohort (P=0.05) while mean Tcore and HR were significantly reduced within the 90LI cohort (P=0.01 and 0.04, respectively). Greater physiological adaptations and performance improvements were noted within the 90LI cohort compared to the 30HI. However, 30HI did provide some benefit to anaerobic performance including sprint PO and MVC. These findings suggest specifying training duration and intensity during heat acclimation may be useful for specific post-acclimation performance. Copyright © 2016 Elsevier Ltd. All rights reserved.</t>
  </si>
  <si>
    <t>https://search.ebscohost.com/login.aspx?direct=true&amp;db=mdc&amp;AN=27157334&amp;site=ehost-live</t>
  </si>
  <si>
    <t>The effect of pose variability and repeated reliability of segmental centres of mass acquisition when using 3D photonic scanning.</t>
  </si>
  <si>
    <t>Chiu CY; Pease DL; Sanders RH</t>
  </si>
  <si>
    <t>10.1080/00140139.2016.1161245</t>
  </si>
  <si>
    <t>Anthropometry methods; Imaging, Three-Dimensional methods; Adult; Biomechanical Phenomena; Humans; Lasers; Male; Middle Aged; Reproducibility of Results</t>
  </si>
  <si>
    <t>Three-dimensional (3D) photonic scanning is an emerging technique to acquire accurate body segment parameter data. This study established the repeated reliability of segmental centres of mass when using 3D photonic scanning (3DPS). Seventeen male participants were scanned twice by a 3D whole-body laser scanner. The same operators conducted the reconstruction and segmentation processes to obtain segmental meshes for calculating the segmental centres of mass. The segmental centres of mass obtained from repeated 3DPS were compared by relative technical error of measurement (TEM). Hypothesis tests were conducted to determine the size of change required for each segment to be determined a true variation. The relative TEMs for all segments were less than 5%. The relative changes in centres of mass at ±1.5% for most segments can be detected (p &lt; 0.05). The arm segments which are difficult to keep in the same scanning pose generated more error than other segments. Practitioner Summary: Three-dimensional photonic scanning is an emerging technique to acquire body segment parameter data. This study established the repeated reliability of segmental centres of mass when using 3D photonic scanning and emphasised that the error for arm segments need to be considered while using this technique to acquire centres of mass.</t>
  </si>
  <si>
    <t>https://search.ebscohost.com/login.aspx?direct=true&amp;db=mdc&amp;AN=27004589&amp;site=ehost-live</t>
  </si>
  <si>
    <t>The Effects of Attentional Focusing Instructions on Force Production During the Isometric Midthigh Pull.</t>
  </si>
  <si>
    <t>Halperin I; Williams KJ; Martin DT; Chapman DW</t>
  </si>
  <si>
    <t>10.1519/JSC.0000000000001194</t>
  </si>
  <si>
    <t>Attention; Isometric Contraction; Muscle Strength; Adolescent; Adult; Exercise Test methods; Female; Humans; Male; Movement; Random Allocation; Single-Blind Method; Young Adult</t>
  </si>
  <si>
    <t>Verbal instructions play a key role in motor learning and performance. Whereas directing one's attention toward bodily movements or muscles (internal focus) tends to hinder performance, instructing persons to focus on the movement outcome, or an external object related to the performed task (external focus) enhances performance. The study's purpose was to examine whether focus of attention affects maximal force production during an isometric midthigh pull (IMTP) among 18 trained athletes (8F &amp; 10M). Athletes performed 3 IMTP trials a day for 3 consecutive days. The first day was a familiarization session in which athlete's received only control instructions. The following 2 days athletes received either control, internal, or external focus of attention instructions in a randomized, within-subject design. Compared to performance with an internal focus of attention, athletes applied 9% greater force when using an external focus of attention (p &lt; 0.001, effect size [ES] = 0.33) and 5% greater force with control instructions (p = 0.001, ES = 0.28). A small positive 3% advantage was observed between performances with an external focus of attention compared with control instructions (p = 0.03, ES = 0.13). Focusing internally on body parts and/or muscle groups during a movement task that requires maximal force hinders performance, whereas focusing on an object external to the self leads to enhanced force production, even when using a simple multijoint static task such as the IMTP.</t>
  </si>
  <si>
    <t>https://search.ebscohost.com/login.aspx?direct=true&amp;db=mdc&amp;AN=27003451&amp;site=ehost-live</t>
  </si>
  <si>
    <t>The Effects of Either a Mirror, Internal or External Focus Instructions on Single and Multi-Joint Tasks.</t>
  </si>
  <si>
    <t>Halperin I; Hughes S; Panchuk D; Abbiss C; Chapman DW</t>
  </si>
  <si>
    <t>e0166799</t>
  </si>
  <si>
    <t>10.1371/journal.pone.0166799</t>
  </si>
  <si>
    <t>Attention; Joints physiology; Muscles physiology; Adult; Female; Humans; Isometric Contraction; Male</t>
  </si>
  <si>
    <t>Training in front of mirrors is common, yet little is known about how the use of mirrors effects muscle force production. Accordingly, we investigated how performing in front of a mirror influences performance in single and multi-joint tasks, and compared the mirror condition to the established performance effects of internal focus (IF) and external focus (EF) instructions in a two part experiment. In the single-joint experiment 28 resistance-trained participants (14 males and 14 females) completed two elbow flexion maximal voluntary isometric contractions under four conditions: mirror, IF, EF and neutral instructions. During these trials, surface EMG activity of the biceps and triceps were recorded. In the multi-joint experiment the same participants performed counter-movement jumps on a force plate under the same four conditions. Single-joint experiment: EF led to greater normalized force production compared to all conditions (P≤0.02, effect-size range [ES] = 0.46-1.31). No differences were observed between neutral and mirror conditions (P = 0.15, ES = 0.15), but both were greater than IF (P&lt;0.01, ES = 0.79-1.84). Surface EMG activity was comparable across conditions (P≥0.1, ES = 0.10-0.21). Multi-joint experiment: Despite no statistical difference (P = 0.10), a moderate effect size was observed for jump height whereby EF was greater than IF (ES = 0.51). No differences were observed between neutral and mirror conditions (ES = 0.01), but both were greater than IF (ES = 0.20-22). The mirror condition led to superior performance compared to IF, inferior performance compared to EF, and was equal to a neutral condition in both tasks. These results provide novel and practical evidence concerning mirror training during resistance type training. Competing Interests: The authors have declared that no competing interests exist.</t>
  </si>
  <si>
    <t>https://search.ebscohost.com/login.aspx?direct=true&amp;db=mdc&amp;AN=27898743&amp;site=ehost-live</t>
  </si>
  <si>
    <t>The Influence of Training Phase on Error of Measurement in Jump Performance.</t>
  </si>
  <si>
    <t>Taylor KL; Hopkins WG; Chapman DW; Cronin JB</t>
  </si>
  <si>
    <t>10.1123/ijspp.2015-0115</t>
  </si>
  <si>
    <t>Athletic Performance physiology; Exercise Test methods; Muscle Strength physiology; Resistance Training methods; Adult; Athletes; Female; Humans; Male; Reproducibility of Results; Young Adult</t>
  </si>
  <si>
    <t>The purpose of this study was to calculate the coefficients of variation in jump performance for individual participants in multiple trials over time to determine the extent to which there are real differences in the error of measurement between participants. The effect of training phase on measurement error was also investigated. Six subjects participated in a resistance-training intervention for 12 wk with mean power from a countermovement jump measured 6 d/wk. Using a mixed-model meta-analysis, differences between subjects, within-subject changes between training phases, and the mean error values during different phases of training were examined. Small, substantial factor differences of 1.11 were observed between subjects; however, the finding was unclear based on the width of the confidence limits. The mean error was clearly higher during overload training than baseline training, by a factor of ×/÷ 1.3 (confidence limits 1.0-1.6). The random factor representing the interaction between subjects and training phases revealed further substantial differences of ×/÷ 1.2 (1.1-1.3), indicating that on average, the error of measurement in some subjects changes more than in others when overload training is introduced. The results from this study provide the first indication that within-subject variability in performance is substantially different between training phases and, possibly, different between individuals. The implications of these findings for monitoring individuals and estimating sample size are discussed.</t>
  </si>
  <si>
    <t>https://search.ebscohost.com/login.aspx?direct=true&amp;db=mdc&amp;AN=26181005&amp;site=ehost-live</t>
  </si>
  <si>
    <t>The mind-muscle connection in resistance training: friend or foe?</t>
  </si>
  <si>
    <t>Halperin I; Vigotsky AD</t>
  </si>
  <si>
    <t>10.1007/s00421-016-3341-y</t>
  </si>
  <si>
    <t>Muscle, Skeletal; Resistance Training; Diaphragm; Exercise; Humans; Muscle Strength; Pectoralis Muscles</t>
  </si>
  <si>
    <t>The results of Calatayud et al. (Eur J Appl Physiol, 2015. doi: 10.1007/s00421-015-3305-7 ) indicate that focusing on the pectoralis major and triceps brachii muscles during bench press exercise selectively enhanced their activation, and thus suggest a training strategy. However, the authors did not discuss the well-established negative effects that focusing on specific muscle groups has on exercise performance. For proper perspective of the results and their practical utility, it is helpful to note the interplay between negative and positive effects of different focus conditions.</t>
  </si>
  <si>
    <t>https://search.ebscohost.com/login.aspx?direct=true&amp;db=mdc&amp;AN=26896956&amp;site=ehost-live</t>
  </si>
  <si>
    <t>The Relationship Between Training Load and Injury, Illness and Soreness: A Systematic and Literature Review.</t>
  </si>
  <si>
    <t>Drew MK; Finch CF</t>
  </si>
  <si>
    <t>10.1007/s40279-015-0459-8</t>
  </si>
  <si>
    <t>Athletic Injuries epidemiology; Physical Conditioning, Human methods; Athletic Injuries prevention &amp; control; Athletic Injuries psychology; Competitive Behavior physiology; Humans; Perception physiology; Physical Conditioning, Human adverse effects; Physical Exertion; Risk Factors; Weight-Bearing</t>
  </si>
  <si>
    <t>Background: Clinically it is understood that rapid increases in training loads expose an athlete to an increased risk of injury; however, there are no systematic reviews to qualify this statement. Objective: The aim of this systematic review was to determine training and competition loads, and the relationship between injury, illness and soreness. Methods: The MEDLINE, SPORTDiscus, CINAHL and EMBASE databases were searched using a predefined search strategy. Studies were included if they analysed the relationship between training or competition loads and injury or illness, and were published prior to October 2015. Participants were athletes of any age or level of competition. The quality of the studies included in the review was evaluated using the Newcastle-Ottawa Scale (NOS). The level of evidence was defined as strong, 'consistent findings among multiple high-quality randomised controlled trials (RCTs)'; moderate, 'consistent findings among multiple low-quality RCTs and/or non-randomised controlled trials (CCTs) and/or one high-quality RCT'; limited, 'one low-quality RCT and/or CCTs, conflicting evidence'; conflicting, 'inconsistent findings among multiple trials (RCTs and/or CCTs)'; or no evidence, 'no RCTs or CCTs'. Results: A total of 799 studies were identified; 23 studies met the inclusion criteria, and a further 12 studies that were not identified in the search but met the inclusion criteria were subsequently added to the review. The largest number of studies evaluated the relationship between injuries and training load in rugby league players (n = 9) followed by cricket (n = 5), football (n = 3), Australian Football (n = 3), rugby union (n = 2),volleyball (n = 2), baseball (n = 2), water polo (n = 1), rowing (n = 1), basketball (n = 1), swimming (n = 1), middle-distance runners (n = 1) and various sports combined (n = 1). Moderate evidence for a significant relationship was observed between training loads and injury incidence in the majority of studies (n = 27, 93 %). In addition, moderate evidence exists for a significant relationship between training loads and illness incidence (n = 6, 75 %). Training loads were reported to have a protective effect against injury (n = 9, 31 %) and illness (n = 1, 13 %). The median (range) NOS score for injury and illness was 8 (5-9) and 6 (5-9), respectively. Limitations: A limitation of this systematic review was the a priori search strategy. Twelve further studies were included that were not identified in the search strategy, thus potentially introducing bias. The quality assessment was completed by only one author. Conclusions: The results of this systematic review highlight that there is emerging moderate evidence for the relationship between the training load applied to an athlete and the occurrence of injury and illness. Implications: The training load applied to an athlete appears to be related to their risk of injury and/or illness. Sports science and medicine professionals working with athletes should monitor this load and avoid acute spikes in loads. It is recommended that internal load as the product of the rate of perceived exertion (10-point modified Borg) and duration be used when determining injury risk in team-based sports. External loads measured as throw counts should also be monitored and collected across a season to determine injury risk in throwing populations. Global positioning system-derived distances should be utilised in team sports, and injury monitoring should occur for at least 4 weeks after spikes in loads.</t>
  </si>
  <si>
    <t>https://search.ebscohost.com/login.aspx?direct=true&amp;db=mdc&amp;AN=26822969&amp;site=ehost-live</t>
  </si>
  <si>
    <t>The role of a vertical reference point in changing gait regulation in cricket run-ups.</t>
  </si>
  <si>
    <t>Greenwood D; Davids K; Renshaw I</t>
  </si>
  <si>
    <t>10.1080/17461391.2016.1151943</t>
  </si>
  <si>
    <t>Athletic Performance physiology; Gait physiology; Running physiology; Sports physiology; Adult; Humans; Young Adult</t>
  </si>
  <si>
    <t>The need to identify information sources which facilitate a functional coupling of perception and action in representative practice contexts is an important challenge for sport scientists and coaches. The current study investigated the role of visual information in regulating athlete gait behaviours during a locomotor pointing task in cricket. Integration of experiential knowledge of elite coaches and theoretical understanding from previous empirical research led us to investigate whether the presence of an umpire would act as a vertical informational constraint that could constrain the emergent coordination tendencies of cricket bowlers' run-up patterns. To test this idea, umpire presence was manipulated during run-ups of 10 elite medium-fast bowlers. As hypothesised, removal of the umpire from the performance environment did not result in an inability to regulate gait to intercept a target, however, the absence of this informational constraint resulted in the emergence of different movement patterns in participant run-ups. Significantly lower standard deviation values of heel-to-crease distances were observed in the umpire condition at multiple steps, compared to performance in the no-umpire condition. Manipulation of this informational constraint altered gait regulation of participants, offering a mechanism to understand how perception-action couplings can be varied during performance in locomotor pointing tasks in sport.</t>
  </si>
  <si>
    <t>https://search.ebscohost.com/login.aspx?direct=true&amp;db=mdc&amp;AN=26902778&amp;site=ehost-live</t>
  </si>
  <si>
    <t>The role of human ankle plantar flexor muscle-tendon interaction and architecture in maximal vertical jumping examined in vivo.</t>
  </si>
  <si>
    <t>The Journal of experimental biology</t>
  </si>
  <si>
    <t>Pt 4</t>
  </si>
  <si>
    <t>10.1242/jeb.126854</t>
  </si>
  <si>
    <t>Company Of Biologists Limited</t>
  </si>
  <si>
    <t>Ankle Joint physiology; Locomotion physiology; Muscle, Skeletal physiology; Tendons physiology; Biomechanical Phenomena; Elasticity; Electromyography; Humans; Imaging, Three-Dimensional; Male; Muscle, Skeletal anatomy &amp; histology; Tendons anatomy &amp; histology; Young Adult</t>
  </si>
  <si>
    <t>Humans utilise elastic tendons of lower limb muscles to store and return energy during walking, running and jumping. Anuran and insect species use skeletal structures and/or dynamics in conjunction with similarly compliant structures to amplify muscle power output during jumping. We sought to examine whether human jumpers use similar mechanisms to aid elastic energy usage in the plantar flexor muscles during maximal vertical jumping. Ten male athletes performed maximal vertical squat jumps. Three-dimensional motion capture and a musculoskeletal model were used to determine lower limb kinematics that were combined with ground reaction force data in an inverse dynamics analysis. B-mode ultrasound imaging of the lateral gastrocnemius (GAS) and soleus (SOL) muscles was used to measure muscle fascicle lengths and pennation angles during jumping. Our results highlighted that both GAS and SOL utilised stretch and recoil of their series elastic elements (SEEs) in a catapult-like fashion, which likely serves to maximise ankle joint power. The resistance of supporting of body weight allowed initial stretch of both GAS and SOL SEEs. A proximal-to-distal sequence of joint moments and decreasing effective mechanical advantage early in the extension phase of the jumping movement were observed. This facilitated a further stretch of the SEE of the biarticular GAS and delayed recoil of the SOL SEE. However, effective mechanical advantage did not increase late in the jump to aid recoil of elastic tissues. © 2016. Published by The Company of Biologists Ltd.</t>
  </si>
  <si>
    <t>https://search.ebscohost.com/login.aspx?direct=true&amp;db=mdc&amp;AN=26685172&amp;site=ehost-live</t>
  </si>
  <si>
    <t>The validity of activity monitors for measuring sleep in elite athletes.</t>
  </si>
  <si>
    <t>Sargent C; Lastella M; Halson SL; Roach GD</t>
  </si>
  <si>
    <t>10.1016/j.jsams.2015.12.007</t>
  </si>
  <si>
    <t>Actigraphy instrumentation; Athletes; Polysomnography instrumentation; Sleep physiology; Actigraphy methods; Adult; Bicycling physiology; Humans; Male; Polysomnography methods; Sensitivity and Specificity; Young Adult</t>
  </si>
  <si>
    <t>Objectives: There is a growing interest in monitoring the sleep of elite athletes. Polysomnography is considered the gold standard for measuring sleep, however this technique is impractical if the aim is to collect data simultaneously with multiple athletes over consecutive nights. Activity monitors may be a suitable alternative for monitoring sleep, but these devices have not been validated against polysomnography in a population of elite athletes. Design: Participants (n=16) were endurance-trained cyclists participating in a 6-week training camp. Methods: A total of 122 nights of sleep were recorded with polysomnography and activity monitors simultaneously. Agreement, sensitivity, and specificity were calculated from epoch-for-epoch comparisons of polysomnography and activity monitor data. Sleep variables derived from polysomnography and activity monitors were compared using paired t-tests. Activity monitor data were analysed using low, medium, and high sleep-wake thresholds. Results: Epoch-for-epoch comparisons showed good agreement between activity monitors and polysomnography for each sleep-wake threshold (81-90%). Activity monitors were sensitive to sleep (81-92%), but specificity differed depending on the threshold applied (67-82%). Activity monitors underestimated sleep duration (18-90min) and overestimated wake duration (4-77min) depending on the threshold applied. Conclusions: Applying the correct sleep-wake threshold is important when using activity monitors to measure the sleep of elite athletes. For example, the default sleep-wake threshold (&gt;40 activity counts=wake) underestimates sleep duration by ∼50min and overestimates wake duration by ∼40min. In contrast, sleep-wake thresholds that have a high sensitivity to sleep (&gt;80 activity counts=wake) yield the best combination of agreement, sensitivity, and specificity. Copyright © 2015 Sports Medicine Australia. Published by Elsevier Ltd. All rights reserved.</t>
  </si>
  <si>
    <t>https://search.ebscohost.com/login.aspx?direct=true&amp;db=mdc&amp;AN=26794719&amp;site=ehost-live</t>
  </si>
  <si>
    <t>Time Course of Improvements in Power Characteristics in Elite Development Netball Players Entering a Full-Time Training Program.</t>
  </si>
  <si>
    <t>McKeown I; Chapman DW; Taylor KL; Ball NB</t>
  </si>
  <si>
    <t>10.1519/JSC.0000000000001212</t>
  </si>
  <si>
    <t>Athletic Performance physiology; Muscle Strength physiology; Resistance Training; Sports physiology; Female; Humans; Young Adult</t>
  </si>
  <si>
    <t>We describe the time course of adaptation to structured resistance training on entering a full-time high-performance sport program. Twelve international caliber female netballers (aged 19.9 ± 0.4 years) were monitored for 18 weeks with countermovement (CMJ: performed with body weight and 15 kg) and drop jumps (0.35-m box at body weight) at the start of each training week. Performance did not improve linearly or concurrently with loaded CMJ power improving 11% by Week 5 (effect size [ES] 0.93 ± 0.72) in contrast, substantial positive changes were observed for unloaded CMJ power (12%; ES 0.78 ± 0.39), and CMJ velocity (unloaded: 7.1%; ES 0.66 ± 0.34; loaded: 7.5%; ES 0.90 ± 0.41) by week 7. Over the investigation duration, large improvements were observed in unloaded CMJ power (24%; ES 1.45 ± 1.11) and velocity (12%; ES 1.13 ± 0.76). Loaded CMJ power also showed a large improvement (19%; ES 1.49 ± 0.97) but only moderate changes were observed for loaded CMJ velocity (8.4%; ES 1.01 ± 0.67). Jump height changes in either unloaded or loaded CMJ were unclear over the 18-week period. Drop jump performance improved throughout the investigation period with moderate positive changes in reactive strength index observed (35%; ES 0.97 ± 0.69). The adaptation response to a structured resistance training program does not occur linearly in young female athletes. Caution should be taken if assessing jump height only, as this will provide a biased observation to a training response. Frequently assessing CMJ performance can aid program design coaching decisions to ensure improvements are seen past the initial neuromuscular learning phase in performance training.</t>
  </si>
  <si>
    <t>https://search.ebscohost.com/login.aspx?direct=true&amp;db=mdc&amp;AN=26439781&amp;site=ehost-live</t>
  </si>
  <si>
    <t>Time for a new metric for hypoxic dose?</t>
  </si>
  <si>
    <t>10.1152/japplphysiol.00579.2015</t>
  </si>
  <si>
    <t>Adaptation, Physiological; Hemoglobins; Hypoxia; Altitude; Athletes; Humans; Models, Theoretical</t>
  </si>
  <si>
    <t>https://search.ebscohost.com/login.aspx?direct=true&amp;db=mdc&amp;AN=26917695&amp;site=ehost-live</t>
  </si>
  <si>
    <t>Time to bin the term 'overuse' injury: is 'training load error' a more accurate term?</t>
  </si>
  <si>
    <t>Drew MK; Purdam C</t>
  </si>
  <si>
    <t>10.1136/bjsports-2015-095543</t>
  </si>
  <si>
    <t>https://search.ebscohost.com/login.aspx?direct=true&amp;db=mdc&amp;AN=26843537&amp;site=ehost-live</t>
  </si>
  <si>
    <t>Using Modification to Generate Emergent Performance (and Learning?) in Sports.</t>
  </si>
  <si>
    <t>Farrow D; Buszard T; Reid M; Masters R</t>
  </si>
  <si>
    <t>87 Suppl 1</t>
  </si>
  <si>
    <t>S21</t>
  </si>
  <si>
    <t>10.1080/02701367.2016.1200421</t>
  </si>
  <si>
    <t>Learning; Motor Skills; Physical Education and Training methods; Sports education; Sports Equipment; Biomechanical Phenomena; Child; Humans</t>
  </si>
  <si>
    <t>https://search.ebscohost.com/login.aspx?direct=true&amp;db=mdc&amp;AN=27435555&amp;site=ehost-live</t>
  </si>
  <si>
    <t>Validation of Body Volume Acquisition by Using Elliptical Zone Method.</t>
  </si>
  <si>
    <t>10.1055/s-0042-112589</t>
  </si>
  <si>
    <t>Anthropometry methods; Body Size; Imaging, Three-Dimensional; Adult; Arm; Foot; Hand; Humans; Leg; Male; Middle Aged; Somatotypes; Torso</t>
  </si>
  <si>
    <t>The elliptical zone method (E-Zone) can be used to obtain reliable body volume data including total body volume and segmental volumes with inexpensive and portable equipment. The purpose of this research was to assess the accuracy of body volume data obtained from E-Zone by comparing them with those acquired from the 3D photonic scanning method (3DPS). 17 male participants with diverse somatotypes were recruited. Each participant was scanned twice on the same day by a 3D whole-body scanner and photographed twice for the E-Zone analysis. The body volume data acquired from 3DPS was regarded as the reference against which the accuracy of the E-Zone was assessed. The relative technical error of measurement (TEM) of total body volume estimations was around 3% for E-Zone. E-Zone can estimate the segmental volumes of upper torso, lower torso, thigh, shank, upper arm and lower arm accurately (relative TEM&lt;10%) but the accuracy for small segments including the neck, hand and foot were poor. In summary, E-Zone provides a reliable, inexpensive, portable, and simple method to obtain reasonable estimates of total body volume and to indicate segmental volume distribution. © Georg Thieme Verlag KG Stuttgart · New York.</t>
  </si>
  <si>
    <t>https://search.ebscohost.com/login.aspx?direct=true&amp;db=mdc&amp;AN=27676147&amp;site=ehost-live</t>
  </si>
  <si>
    <t>Vascular Occlusion and Sequential Compression for Recovery After Resistance Exercise.</t>
  </si>
  <si>
    <t>Northey JM; Rattray B; Argus CK; Etxebarria N; Driller MW</t>
  </si>
  <si>
    <t>10.1519/JSC.0000000000001080</t>
  </si>
  <si>
    <t>Intermittent Pneumatic Compression Devices; Myalgia prevention &amp; control; Pressure; Quadriceps Muscle physiopathology; Resistance Training adverse effects; Adult; Cross-Over Studies; Exercise physiology; Fatigue physiopathology; Humans; Male; Myalgia physiopathology; Quadriceps Muscle blood supply; Resistance Training methods; Torque; Treatment Outcome</t>
  </si>
  <si>
    <t>The purpose of this study was to evaluate vascular occlusion (OCC) and sequential intermittent pneumatic compression (SIPC) as recovery strategies after fatiguing resistance exercise. Twelve strength-trained male participants (age: 24.0 ± 6.3 years, height: 180.4 ± 9.7 cm, and weight: 84.8 ± 9.6 kg) participated in a randomized cross-over study. Participants performed a fatiguing resistance exercise bout consisting of 10 sets with 10 repetitions of back squats at 70% 1 repetition maximum with 3-minute rest between sets. Outcome measures of perceived recovery status, muscle soreness, concentric peak isokinetic torque of the quadriceps, squat jump (SJ) height, and countermovement jump (CMJ) height were taken before the fatiguing resistance exercise bout and repeated immediately post, 1 hour, and 24 hours later. Immediately after the postexercise measures, participants undertook 1 of the 3 recovery strategies: OCC, SIPC, and a passive control (CON). Concentric peak isokinetic torque of the quadriceps was decreased significantly immediately post and 1 hour after the fatiguing resistance exercise bout compared with baseline values (p ≤ 0.05). Mean SJ and CMJ jump height decreased significantly immediately post and 1 hour compared with baseline measures, but only the SJ was significantly decreased at 24 hours. There were no significant differences between conditions for any of the postexercise measures (p &gt; 0.05). In conclusion, this study indicates that OCC and SIPC are not effective for attenuating muscle performance loss after a fatiguing resistance exercise bout relative to passive recovery.</t>
  </si>
  <si>
    <t>https://search.ebscohost.com/login.aspx?direct=true&amp;db=mdc&amp;AN=26154154&amp;site=ehost-live</t>
  </si>
  <si>
    <t>Ventilatory acclimatisation is beneficial for high-intensity exercise at altitude in elite cyclists.</t>
  </si>
  <si>
    <t>Townsend NE; Gore CJ; Ebert TR; Martin DT; Hahn AG; Chow CM</t>
  </si>
  <si>
    <t>10.1080/17461391.2016.1139190</t>
  </si>
  <si>
    <t>Acclimatization physiology; Athletes; Bicycling physiology; Oxygen Consumption physiology; Physical Endurance physiology; Respiration; Adult; Altitude; Cohort Studies; Humans; Hypoxia physiopathology; Male; Young Adult</t>
  </si>
  <si>
    <t>Aim: The aim of this study was to examine the relationship between ventilatory adaptation and performance during altitude training at 2700 m. Methods: Seven elite cyclists (age: 21.2 ± 1.1 yr, body mass: 69.9 ± 5.6 kg, height 176.3 ± 4.9 cm) participated in this study. A hypoxic ventilatory response (HVR) test and a submaximal exercise test were performed at sea level prior to the training camp and again after 15 d at altitude (ALT15). Ventilation (VE), end-tidal carbon-dioxide partial pressure (PETCO2) and oxyhaemoglobin saturation via pulse oximetry (SpO2) were measured at rest and during submaximal cycling at 250 W. A hill climb (HC) performance test was conducted at sea level and after 14 d at altitude (ALT14) using a road of similar length (5.5-6 km) and gradient (4.8-5.3%). Power output was measured using SRM cranks. Average HC power at ALT14 was normalised to sea level power (HC%). Multiple regression was used to identify significant predictors of performance at altitude. Results: At ALT15, there was a significant increase in resting VE (10.3 ± 1.9 vs. 12.2 ± 2.4 L·min(-1)) and HVR (0.34 ± 0.24 vs. 0.71 ± 0.49 L·min(-1)·%(-1)), while PETCO2 (38.4 ± 2.3 vs. 32.1 ± 3.3 mmHg) and SpO2 (97.9 ± 0.7 vs. 94.0 ± 1.7%) were reduced (P &lt; .05). Multiple regression revealed ΔHVR and exercise VE at altitude as significant predictors of HC% (adjusted r(2) = 0.913; P = 0.003). Conclusions: Ventilatory acclimatisation occurred during a 2 wk altitude training camp in elite cyclists and a higher HVR was associated with better performance at altitude, relative to sea level. These results suggest that ventilatory acclimatisation is beneficial for cycling performance at altitude.</t>
  </si>
  <si>
    <t>https://search.ebscohost.com/login.aspx?direct=true&amp;db=mdc&amp;AN=26894371&amp;site=ehost-live</t>
  </si>
  <si>
    <t>Within-subject haemoglobin variation in elite athletes: a longitudinal investigation of 13 887 haemoglobin concentration readings.</t>
  </si>
  <si>
    <t>Lobigs LM; Knight EJ; Schumacher YO; Gore CJ</t>
  </si>
  <si>
    <t>10.1002/dta.1809</t>
  </si>
  <si>
    <t>Athletes; Hemoglobins analysis; Disabled Persons; Doping in Sports; Female; Humans; Linear Models; Male; Physical Endurance; Reference Standards; Reproducibility of Results; Sex Factors; Sports; Young Adult</t>
  </si>
  <si>
    <t>The Athlete Biological Passport (ABP) estimates individualized reference ranges for key blood markers, such as haemoglobin concentration ([Hb]), using predetermined population mean, between- and within-subject variances. Here, we aim to reassess previously published estimates for within-subject [Hb] variance and determine whether sex-, analyzer-, sport-, or season-specific values are required. Our reference population contains 7723 male (mean ± SD, 22.3 ± 4.6 years of age) and 6164 female (21.6 ± 4.3) athlete observations from 49 sports. [Hb] was calculated using one of three cytometers; Bayer-H3 (1997-1999, n = 4554), ADVIA-120 (1999-2010, n = 8636) and Sysmex XT-2000i (2010-2012, n = 697). The final model was a linear mixed model for [Hb] with analyzer (H3, ADVIA, Sysmex), sex (male, female), sport (power-endurance, endurance, skill, team, disabled and non-athletes), season (summer, winter), and the interaction between sex and sport as fixed effects and athlete as a random effect. The model included an exponential correlation structure to allow for within-subject autocorrelation, and allowed different within-subject variances for each sport. Within-subject [Hb] variance (g(2) /L(2) ) was significantly less for power endurance (35.09, 95% CI 33.50 to 36.76), disabled (25.82, 95% CI 21.71 to 35.28) and non-athletes (34.30, 95% CI 28.53 to 35.87) than for endurance (40.35, 95% CI 39.62 to 47.22) and team sports (38.70, 95% CI 37.68 to 39.76) athletes. No new evidence was found to justify adjusting the current within-subject [Hb] variance estimate. Copyright © 2015 John Wiley &amp; Sons, Ltd.</t>
  </si>
  <si>
    <t>https://search.ebscohost.com/login.aspx?direct=true&amp;db=mdc&amp;AN=25990883&amp;site=ehost-live</t>
  </si>
  <si>
    <t>Working With the Coach.</t>
  </si>
  <si>
    <t>Pyne DB</t>
  </si>
  <si>
    <t>10.1123/IJSPP.2016-0034</t>
  </si>
  <si>
    <t>Athletic Performance; Mentors; Physical Education and Training; Sports; Athletes; Humans</t>
  </si>
  <si>
    <t>https://search.ebscohost.com/login.aspx?direct=true&amp;db=mdc&amp;AN=26950948&amp;site=ehost-live</t>
  </si>
  <si>
    <t>A comparative analysis of accelerometer and time-motion data in elite men's hockey training and competition.</t>
  </si>
  <si>
    <t>Polglaze T; Dawson B; Hiscock DJ; Peeling P</t>
  </si>
  <si>
    <t>10.1123/ijspp.2014-0233</t>
  </si>
  <si>
    <t>Hockey physiology; Physical Education and Training methods; Physical Exertion; Acceleration; Adult; Athletic Performance; Geographic Information Systems; Humans; Male; Running physiology; Time and Motion Studies</t>
  </si>
  <si>
    <t>Purpose: To determine the relationship between distance covered and player load (PL: sum of accelerations in all 3 planes of movement) in hockey training and competition. Methods: Elite male hockey players (N=24) wore player-tracking devices in 7 international matches and 7 training sessions. Players were arranged in 4 positional groups (strikers, attacking midfielders, defensive midfielders, defenders) in competition but had generic roles in training. Relationships between distance and PL were assessed in both absolute (m, AU) and relative (m/min, AU/min) terms and were compared between matches and training and between positions within matches, using the Fisher Z test. Results: In competition, the absolute distance-PL relationship was very large overall (r=.868), with no differences between positions. The relative distance-PL relationship was moderate overall (r=.486) and weaker in strikers than in defensive midfielders (Z=1.785, P=.037) and defenders (Z=1.690, P=.045). In training, the absolute distance-PL relationship was very large (r=.742), and large (r=.633) in relative terms. The relationship was stronger in competition than training for absolute values (Z=2.824, P=.005) but not different for relative values. Conclusions: The strong relationship between these variables suggests that PL in hockey is mostly accumulated through running and other locomotor actions, such that PL is not effective in quantifying other activities (evasion, low stance) that contribute to physiological demands, particularly in training.</t>
  </si>
  <si>
    <t>https://search.ebscohost.com/login.aspx?direct=true&amp;db=mdc&amp;AN=25364940&amp;site=ehost-live</t>
  </si>
  <si>
    <t>A systematic review of concussion in rugby league.</t>
  </si>
  <si>
    <t>Gardner A; Iverson GL; Levi CR; Schofield PW; Kay-Lambkin F; Kohler RM; Stanwell P</t>
  </si>
  <si>
    <t>10.1136/bjsports-2013-093102</t>
  </si>
  <si>
    <t>Brain Concussion etiology; Football injuries; Athletic Injuries economics; Athletic Injuries epidemiology; Athletic Injuries etiology; Brain Concussion economics; Brain Concussion epidemiology; Cost of Illness; Football economics; Health Knowledge, Attitudes, Practice; Humans; Incidence</t>
  </si>
  <si>
    <t>Objectives: Concussion remains one of the inherent risks of participation in rugby league. While other injuries incurred by rugby league players have been well studied, less focus and attention has been directed towards concussion. Review Method: The current review examined all articles published in English from 1900 up to June 2013 pertaining to concussion in rugby league players. Data Sources: Publications were retrieved via six databases using the key search terms: rugby league, league, football; in combination with injury terms: athletic injuries, concussion, sports concussion, sports-related concussion, brain concussion, brain injury, brain injuries, mild traumatic brain injury, mTBI, traumatic brain injury, TBI, craniocerebral trauma, head injury and brain damage. Observational, cohort, correlational, cross-sectional and longitudinal studies were all included. Results: 199 rugby league injury publications were identified. 39 (20%) were related in some way to concussion. Of the 39 identified articles, 6 (15%) had the main aim of evaluating concussion, while the other 33 reported on concussion incidence as part of overall injury data analyses. Rugby league concussion incidence rates vary widely from 0.0 to 40.0/1000 playing hours, depending on the definition of injury (time loss vs no time loss). The incidence rates vary across match play versus training session, seasons (winter vs summer) and playing position (forwards vs backs). The ball carrier has been found to be at greater risk for injury than tacklers. Concussion accounts for 29% of all injuries associated with illegal play, but only 9% of injuries sustained in legal play. Conclusions: In comparison with other collision sports, research evaluating concussion in rugby league is limited. With such limited published rugby league data, there are many aspects of concussion that require attention, and future research may be directed towards these unanswered questions. Published by the BMJ Publishing Group Limited. For permission to use (where not already granted under a licence) please go to http://group.bmj.com/group/rights-licensing/permissions.</t>
  </si>
  <si>
    <t>https://search.ebscohost.com/login.aspx?direct=true&amp;db=mdc&amp;AN=24723636&amp;site=ehost-live</t>
  </si>
  <si>
    <t>Activity profile of high-level Australian lacrosse players.</t>
  </si>
  <si>
    <t>Polley CS; Cormack SJ; Gabbett TJ; Polglaze T</t>
  </si>
  <si>
    <t>10.1519/JSC.0000000000000599</t>
  </si>
  <si>
    <t>Athletic Performance physiology; Racquet Sports physiology; Acceleration; Deceleration; Geographic Information Systems; Humans; Jogging; Male; Microtechnology; Running; Walking</t>
  </si>
  <si>
    <t>Despite lacrosse being one of the fastest growing team sports in the world, there is a paucity of information detailing the activity profile of high-level players. Microtechnology systems (global positioning systems and accelerometers) provide the opportunity to obtain detailed information on the activity profile in lacrosse. Therefore, this study aimed to analyze the activity profile of lacrosse match-play using microtechnology. Activity profile variables assessed relative to minutes of playing time included relative distance (meter per minute), distance spent standing (0-0.1 m·min), walking (0.2-1.7 m·min), jogging (1.8-3.2 m·min), running (3.3-5.6 m·min), sprinting (≥5.7 m·min), number of high, moderate, low accelerations and decelerations, and player load (PL per minute), calculated as the square root of the sum of the squared instantaneous rate of change in acceleration in 3 vectors (medio-lateral, anterior-posterior, and vertical). Activity was recorded from 14 lacrosse players over 4 matches during a national tournament. Players were separated into positions of attack, midfield, or defense. Differences (effect size [ES] ± 90% confidence interval) between positions and periods of play were considered likely positive when there was ≥75% likelihood of the difference exceeding an ES threshold of 0.2. Midfielders had likely covered higher (mean ± SD) meters per minute (100 ± 11) compared with attackers (87 ± 14; ES = 0.89 ± 1.04) and defenders (79 ± 14; ES = 1.54 ± 0.94) and more moderate and high accelerations and decelerations. Almost all variables across positions were reduced in quarter 4 compared with quarter 1. Coaches should accommodate for positional differences when preparing lacrosse players for competition.</t>
  </si>
  <si>
    <t>https://search.ebscohost.com/login.aspx?direct=true&amp;db=mdc&amp;AN=25264672&amp;site=ehost-live</t>
  </si>
  <si>
    <t>Acute dietary carbohydrate manipulation and the subsequent inflammatory and hepcidin responses to exercise.</t>
  </si>
  <si>
    <t>Badenhorst CE; Dawson B; Cox GR; Laarakkers CM; Swinkels DW; Peeling P</t>
  </si>
  <si>
    <t>10.1007/s00421-015-3252-3</t>
  </si>
  <si>
    <t>Dietary Carbohydrates adverse effects; Exercise; Hepcidins blood; Interleukin-6 blood; Adolescent; Adult; Dietary Carbohydrates administration &amp; dosage; Ferritins blood; Humans; Iron blood; Male</t>
  </si>
  <si>
    <t>Purpose: To examine the effects of 24-h controlled carbohydrate intake on next day pre- and post-exercise inflammatory and hepcidin responses. Methods: In a crossover design, 12 well-trained endurance athletes (Ht 181.08 ± 7.68 cm; Wt 74.8 ± 11.5 kg, VO 2peak 68.9 ± 7.2 ml kg(-1) min(-1)) completed two experimental (2-day) trials. On day 1, participants completed a glycogen depletion task, including a 16-km run (80 % vVO 2peak) and 5 × 1 min efforts (130 % vVO 2peak) separated by 2-min recovery. Subsequently, strict dietary control was enforced for 24 h, where low carbohydrate (LCHO 3 g kg(-1)) or high carbohydrate (HCHO 10 g kg(-1)) diets were provided. Twenty-four hours later, participants completed an 8 × 3 min interval running session at 85 % vVO 2peak followed by 3-h monitored recovery. Venous blood samples were collected pre-, immediately post- and 3-h post-exercise, which were analyzed for interleukin-6, serum iron, ferritin and hepcidin. Results: Interleukin-6 was elevated (p &lt; 0.001) immediately post-exercise compared to baseline in both conditions, but was lower in HCHO (p = 0.015). Hepcidin levels were also lower at baseline (p = 0.049) in HCHO, and a large effect (d = 0.72) indicated a trend for lower levels at 3-h post-exercise compared to LCHO. Serum iron was increased post-exercise for both trials (p = 0.001), whereas serum ferritin remained unchanged. Conclusions: Twenty-four hours of controlled low carbohydrate intake resulted in higher baseline hepcidin levels and post-exercise IL-6 responses than a high carbohydrate intake. Such hormone increases may be induced by gluconeogenic signaling of the liver, and may negatively impact an athlete's iron metabolism.</t>
  </si>
  <si>
    <t>https://search.ebscohost.com/login.aspx?direct=true&amp;db=mdc&amp;AN=26335627&amp;site=ehost-live</t>
  </si>
  <si>
    <t>Altitude Exposure at 1800 m Increases Haemoglobin Mass in Distance Runners.</t>
  </si>
  <si>
    <t>Garvican-Lewis LA; Halliday I; Abbiss CR; Saunders PU; Gore CJ</t>
  </si>
  <si>
    <t>The influence of low natural altitudes (&lt; 2000 m) on erythropoietic adaptation is currently unclear, with current recommendations indicating that such low altitudes may be insufficient to stimulate significant increases in haemoglobin mass (Hbmass). As such, the purpose of this study was to determine the influence of 3 weeks of live high, train high exposure (LHTH) at low natural altitude (i.e. 1800 m) on Hbmass, red blood cell count and iron profile. A total of 16 elite or well-trained runners were assigned into either a LHTH (n = 8) or CONTROL (n = 8) group. Venous blood samples were drawn prior to, at 2 weeks and at 3 weeks following exposure. Hbmass was measured in duplicate prior to exposure and at 2 weeks and at 3 weeks following exposure via carbon monoxide rebreathing. The percentage change in Hbmass from baseline was significantly greater in LHTH, when compared with the CONTROL group at 2 (3.1% vs 0.4%; p = 0.01;) and 3 weeks (3.0% vs -1.1%; p &lt; 0.02, respectively) following exposure. Haematocrit was greater in LHTH than CONTROL at 2 (p = 0.01) and 3 weeks (p = 0.04) following exposure. No significant interaction effect was observed for haemoglobin concentration (p = 0.06), serum ferritin (p = 0.43), transferrin (p = 0.52) or reticulocyte percentage (p = 0.16). The results of this study indicate that three week of natural classic (i.e. LHTH) low altitude exposure (1800 m) results in a significant increase in Hbmass of elite distance runners, which is likely due to the continuous exposure to hypoxia. Key pointsTwo and three weeks of LHTH altitude exposure (1800 m) results in a significant increase in HbmassLHTH altitude exposure increased Hbmass by 3.1% after 2 weeks, and 3.0% after 3 weeks of exposureLHTH altitude exposure may be a practical method to increase Hbmass in well-trained athletes.</t>
  </si>
  <si>
    <t>https://search.ebscohost.com/login.aspx?direct=true&amp;db=mdc&amp;AN=25983592&amp;site=ehost-live</t>
  </si>
  <si>
    <t>Australian Institute of Sport and the Australian Paralympic Committee position statement: urinary tract infection in spinal cord injured athletes.</t>
  </si>
  <si>
    <t>Compton S; Trease L; Cunningham C; Hughes D</t>
  </si>
  <si>
    <t>10.1136/bjsports-2014-094527</t>
  </si>
  <si>
    <t>Australia; Spinal Cord Injuries complications; Urinary Tract Infections prevention &amp; control; Anti-Bacterial Agents therapeutic use; Anti-Infective Agents, Urinary therapeutic use; Antibiotic Prophylaxis methods; Australia; Consensus; Hand Disinfection; Humans; Methenamine therapeutic use; Patient Education as Topic methods; Phytotherapy methods; Point-of-Care Systems; Professional Practice; Reagent Strips; Sports Medicine; Sports for Persons with Disabilities; Urinary Catheterization; Urinary Tract Infections complications; Urine microbiology; Vaccinium macrocarpon</t>
  </si>
  <si>
    <t>Patients with spinal cord injuries are at increased risk of developing symptomatic urinary tract infections. Current evidence-based knowledge regarding prevention and treatment of urinary tract infection in the spinal cord injured population is limited. There are currently no urinary tract infection prevention and management guidelines specifically targeted towards elite spinal cord injured athletes. This position statement represents a set of recommendations intended to provide clinical guidelines for sport and exercise medicine physicians and other healthcare providers for the prevention and treatment of urinary tract infection in spinal cord injured athletes. It has been endorsed by the Australian Institute of Sport (AIS) and the Australian Paralympic Committee (APC). Published by the BMJ Publishing Group Limited. For permission to use (where not already granted under a licence) please go to http://group.bmj.com/group/rights-licensing/permissions.</t>
  </si>
  <si>
    <t>https://search.ebscohost.com/login.aspx?direct=true&amp;db=mdc&amp;AN=25869093&amp;site=ehost-live</t>
  </si>
  <si>
    <t>Changes in Running Performance After Four Weeks of Interval Hypoxic Training in Australian Footballers: A Single-Blind Placebo-Controlled Study.</t>
  </si>
  <si>
    <t>McLean BD; Tofari PJ; Gore CJ; Kemp JG</t>
  </si>
  <si>
    <t>10.1519/JSC.0000000000000984</t>
  </si>
  <si>
    <t>Athletic Performance physiology; Hypoxia physiopathology; Physical Conditioning, Human methods; Running physiology; Adolescent; Adult; Australia; Exercise Test; Football physiology; Humans; Male; Oxygen Consumption physiology; Physical Endurance physiology; Single-Blind Method; Young Adult</t>
  </si>
  <si>
    <t>There is a paucity of data examining the impact of high-intensity interval hypoxic training (IHT) on intermittent running performance. This study assessed the effects of IHT on 17 amateur Australian Footballers, who completed 8 interval treadmill running sessions (IHT [FIO2 = 15.1%] or PLACEBO) over 4 weeks, in addition to normoxic football (2 per week) and resistance (2 per week) training sessions. To match relative training intensity, absolute IHT intensity reduced by 6% of normoxic vV[Combining Dot Above]O2peak compared with PLACEBO. Before and after the intervention, performance was assessed by Yo-Yo intermittent recovery test level 2 (Yo-Yo IR2) and a self-paced team sport running protocol. Standardized effect size statistics were calculated using Cohen's d to compare between the interventions. Compared with PLACEBO, IHT subjects experienced (a) smaller improvements in Yo-Yo IR2 performance (Cohen's d = -0.42 [-0.82 to -0.02; 90% confidence interval]); (b) similar increases in high-intensity running distance during the team sport protocol (d = 0.17 [-0.50 to 0.84]); and (c) greater improvements in total distance (d = 0.72 [0.33-1.10]) and distance covered during low-intensity activity (d = 0.59 [-0.07 to 1.11]) during the team sport protocol. The lower absolute training intensity of IHT may explain the smaller improvements in Yo-Yo IR2 performance in the hypoxic group. Conversely, the data from the self-paced protocol suggest that IHT may positively influence pacing strategies in team sport athletes. In conclusion, IHT alters pacing strategies in team sport athletes (i.e., increased distance covered during low-intensity activity). However, IHT leads to smaller improvements in externally paced high-intensity intermittent running performance (i.e., Yo-Yo IR2), which may be related to a reduced absolute training intensity during IHT sessions.</t>
  </si>
  <si>
    <t>https://search.ebscohost.com/login.aspx?direct=true&amp;db=mdc&amp;AN=25944456&amp;site=ehost-live</t>
  </si>
  <si>
    <t>Commentaries on Viewpoint: Can elite athletes benefit from dietary nitrate supplementation?</t>
  </si>
  <si>
    <t>Hultström M; Amorim de Paula C; Antônio Peliky Fontes M; Porcelli S; Bellistri G; Pugliese L; Rasica L; Marzorati M; Pavei G; Ferguson SK; Holdsworth CT; Musch TI; Poole DC; Bourdillon N; Hoon MW; Burke LM; Michielli DW; Faiss R; Millet GP; Corona BT; Green MS; da Silveira AL; Sindler AL; Casey DP; Johnson BD; Wheatley CM; Carlson-Phillips A; Kunces LJ; Bescos R; Johnson LC; Martens CR; Justice JN; Ballak SB; Ballak DB; Wanner SP; Coimbra CC; Rehman S</t>
  </si>
  <si>
    <t>10.1152/japplphysiol.00640.2015</t>
  </si>
  <si>
    <t>Exercise physiology; Nitrates administration &amp; dosage; Nitrates metabolism; Humans</t>
  </si>
  <si>
    <t>https://search.ebscohost.com/login.aspx?direct=true&amp;db=mdc&amp;AN=26374877&amp;site=ehost-live</t>
  </si>
  <si>
    <t>Comparing three underwater trajectories of the swimming start.</t>
  </si>
  <si>
    <t>Tor E; Pease DL; Ball KA</t>
  </si>
  <si>
    <t>10.1016/j.jsams.2014.10.005</t>
  </si>
  <si>
    <t>Athletic Performance physiology; Diving physiology; Swimming physiology; Adolescent; Biomechanical Phenomena; Deceleration; Female; Humans; Immersion; Male; Task Performance and Analysis; Time Factors; Young Adult</t>
  </si>
  <si>
    <t>Unlabelled: Once a swimmer enters the water they will not increase velocity, instead they will decelerate. One factor that will influence the velocity maintained during the underwater phase is the trajectory the swimmer adopts. Objectives: Once a swimmer enters the water they will not increase velocity, instead they will decelerate. One factor that will influence the velocity maintained during the underwater phase is the trajectory the swimmer adopts. This study aimed to identify how different underwater trajectories affect start time in elite swimmers. Methods: Fourteen swimmers performed three dives: a shallow dive with little underwater time (Dive 1), a flatter dive with intermediate time underwater (Dive 2) and a deep dive with lengthy underwater time (Dive 3). The proprietary 'Wetplate' analysis system was used to collect performance time (time to 15 m) and other dive parameters. Results: A mixed modelling approach found Dive 1 was significantly slower than Dive 2 and 3 (time to 15 m). This indicated that both a shallow or deep dive slowed overall performance, with shallower dives adversely affecting performance the most. Conclusions: On average, using a flatter trajectory with a maximum depth of -0.92 ± 0.16 m similar to Dive 2 may prove to be beneficial to start performance. More research is needed to examine the interaction between drag and depth for individual swimmers to better understand the mechanisms influencing these findings and to further explore the notion of an ideal underwater trajectory. Copyright © 2014 Sports Medicine Australia. Published by Elsevier Ltd. All rights reserved.</t>
  </si>
  <si>
    <t>https://search.ebscohost.com/login.aspx?direct=true&amp;db=mdc&amp;AN=25455956&amp;site=ehost-live</t>
  </si>
  <si>
    <t>Confounding compression: the effects of posture, sizing and garment type on measured interface pressure in sports compression clothing.</t>
  </si>
  <si>
    <t>Brophy-Williams N; Driller MW; Shing CM; Fell JW; Halson SL</t>
  </si>
  <si>
    <t>10.1080/02640414.2014.990489</t>
  </si>
  <si>
    <t>Clothing; Lower Extremity physiology; Posture; Adult; Boxing; Humans; Male; Pressure; Stockings, Compression; Young Adult</t>
  </si>
  <si>
    <t>The purpose of this investigation was to measure the interface pressure exerted by lower body sports compression garments, in order to assess the effect of garment type, size and posture in athletes. Twelve national-level boxers were fitted with sports compression garments (tights and leggings), each in three different sizes (undersized, recommended size and oversized). Interface pressure was assessed across six landmarks on the lower limb (ranging from medial malleolus to upper thigh) as athletes assumed sitting, standing and supine postures. Sports compression leggings exerted a significantly higher mean pressure than sports compression tights (P &lt; 0.001). Oversized tights applied significantly less pressure than manufacturer-recommended size or undersized tights (P &lt; 0.001), yet no significant differences were apparent between different-sized leggings. Standing posture resulted in significantly higher mean pressure application than a seated posture for both tights and leggings (P &lt; 0.001 and P = 0.002, respectively). Pressure was different across landmarks, with analyses revealing a pressure profile that was neither strictly graduated nor progressive in nature. The pressure applied by sports compression garments is significantly affected by garment type, size and posture assumed by the wearer.</t>
  </si>
  <si>
    <t>https://search.ebscohost.com/login.aspx?direct=true&amp;db=mdc&amp;AN=25530213&amp;site=ehost-live</t>
  </si>
  <si>
    <t>Considerations for determining the time course of post-activation potentiation.</t>
  </si>
  <si>
    <t>Nibali ML; Chapman DW; Robergs RA; Drinkwater EJ</t>
  </si>
  <si>
    <t>10.1139/apnm-2015-0175</t>
  </si>
  <si>
    <t>Muscle Contraction; Muscle Strength; Muscle, Skeletal physiology; Resistance Training; Adaptation, Physiological; Adult; Biomechanical Phenomena; Cross-Over Studies; Exercise Test; Humans; Kinetics; Male; Young Adult</t>
  </si>
  <si>
    <t>We sought to determine the efficacy of using a continuous time course trial to assess the temporal profile of post-activation potentiation and to determine the time course of potentiation of discrete jump squat kinetic and kinematic variables. Eight physically trained men performed jump squats before and 4, 8, and 12 min after a 5-repetition maximum back squat. Time intervals were assessed in 3 discontinuous trials (each time interval assessed in a separate trial) and in 1 continuous trial (all time intervals assessed in a single trial). Percentage differences between continuous and discontinuous trials at each time interval were mostly insubstantial. Discrete variables displayed a diverse time course (effect size: trivial to large); time to maximal values ranged between 5.00 ± 2.53 min (concentric peak force) and 9.50 ± 2.98 min (eccentric mean force). Eccentric variables (8.58 ± 3.56 min) took longer to peak than concentric variables (6.64 ± 2.93 min) (effect size: small). Individual subjects attained maximal values for kinetic and kinematic variables at different time intervals, yet the 4-min interval typically displayed the greatest magnitude and frequency of potentiation. We conclude that a continuous time course trial does not substantially influence performance of subsequent jumps and is appropriate for determining the temporal profile of potentiation, which is influenced by discrete jump squat kinetic and kinematic variables and individual differences.</t>
  </si>
  <si>
    <t>https://search.ebscohost.com/login.aspx?direct=true&amp;db=mdc&amp;AN=26466081&amp;site=ehost-live</t>
  </si>
  <si>
    <t>Contraction velocity influence the magnitude and etiology of neuromuscular fatigue during repeated maximal contractions.</t>
  </si>
  <si>
    <t>Morel B; Clémençon M; Rota S; Millet GY; Bishop DJ; Brosseau O; Rouffet DM; Hautier CA</t>
  </si>
  <si>
    <t>e432</t>
  </si>
  <si>
    <t>10.1111/sms.12358</t>
  </si>
  <si>
    <t>Isometric Contraction physiology; Motor Neurons physiology; Muscle Fatigue physiology; Physical Exertion physiology; Quadriceps Muscle physiopathology; Electric Stimulation; Electromyography; Femoral Nerve physiology; Humans; Male; Neuromuscular Junction physiopathology; Oxygen Consumption; Pulmonary Gas Exchange; Time Factors; Torque; Young Adult</t>
  </si>
  <si>
    <t>This study aimed to compare the magnitude and etiology of neuromuscular fatigue during maximal repeated contractions performed in two contraction modes (concentric vs isometric) and at two contraction velocities (30/s vs 240°/s). Eleven lower limb-trained males performed 20 sets of maximal contractions at three different angular velocities: 0°/s (KE0), 30/s (KE30), and 240°/s (KE240). Cumulated work, number of contraction, duty cycle, and contraction time were controlled. Torque, superimposed and resting twitches, as well as gas exchange, were analyzed. Increasing contraction velocity was associated with greater maximal voluntary torque loss (KE0: -9.8 ± 3.9%; KE30: -16.4 ± 8.5%; KE240: -32.6 ± 6.3%; P &lt; 0.05). Interestingly, the torque decrease was similar for a given cumulated work. Compared with KE0, KE240 generated a greater evoked torque loss (Db100: -24.3 ± 5.3% vs -5.9 ± 6.9%; P &lt; 0.001), a higher O2 consumption (23.7 ± 6.4 mL/min/kg vs 15.7 ± 3.8 mL/min/kg; P &lt; 0.001), but a lower voluntary activation (VA) loss (-4.3 ± 1.6% vs -11.2 ± 4.9%; P &lt; 0.001). The neuromuscular perturbations were intermediate for KE30 (Db100: -10.0 ± 6.8%; VA: -7.2 ± 2.8%). Although the amount of mechanical work cumulated strongly determined the magnitude of torque decrease, the contraction velocity and mode influenced the origin of the neuromuscular fatigue. The metabolic stress and peripheral fatigue increased but reduction of VA is attenuated when the contraction velocity increased from 0°/s to 240°/s. © 2014 John Wiley &amp; Sons A/S. Published by John Wiley &amp; Sons Ltd.</t>
  </si>
  <si>
    <t>https://search.ebscohost.com/login.aspx?direct=true&amp;db=mdc&amp;AN=25556533&amp;site=ehost-live</t>
  </si>
  <si>
    <t>Doha agreement meeting on terminology and definitions in groin pain in athletes.</t>
  </si>
  <si>
    <t>Weir A; Brukner P; Delahunt E; Ekstrand J; Griffin D; Khan KM; Lovell G; Meyers WC; Muschaweck U; Orchard J; Paajanen H; Philippon M; Reboul G; Robinson P; Schache AG; Schilders E; Serner A; Silvers H; Thorborg K; Tyler T; Verrall G; de Vos RJ; Vuckovic Z; Hölmich P</t>
  </si>
  <si>
    <t>10.1136/bjsports-2015-094869</t>
  </si>
  <si>
    <t>Abdominal Pain etiology; Athletic Injuries etiology; Groin injuries; Sports physiology; Terminology as Topic; Athletic Injuries prevention &amp; control; Athletic Injuries therapy; Consensus; Diagnostic Imaging; Female; Femoracetabular Impingement rehabilitation; Femoracetabular Impingement surgery; Forecasting; Hip Injuries etiology; Humans; Male; Medical History Taking methods; Patient Outcome Assessment; Physical Examination methods; Risk Factors</t>
  </si>
  <si>
    <t>Background: Heterogeneous taxonomy of groin injuries in athletes adds confusion to this complicated area. Aim: The 'Doha agreement meeting on terminology and definitions in groin pain in athletes' was convened to attempt to resolve this problem. Our aim was to agree on a standard terminology, along with accompanying definitions. Methods: A one-day agreement meeting was held on 4 November 2014. Twenty-four international experts from 14 different countries participated. Systematic reviews were performed to give an up-to-date synthesis of the current evidence on major topics concerning groin pain in athletes. All members participated in a Delphi questionnaire prior to the meeting. Results: Unanimous agreement was reached on the following terminology. The classification system has three major subheadings of groin pain in athletes: 1. Defined clinical entities for groin pain: Adductor-related, iliopsoas-related, inguinal-related and pubic-related groin pain. 2. Hip-related groin pain. 3. Other causes of groin pain in athletes. The definitions are included in this paper. Conclusions: The Doha agreement meeting on terminology and definitions in groin pain in athletes reached a consensus on a clinically based taxonomy using three major categories. These definitions and terminology are based on history and physical examination to categorise athletes, making it simple and suitable for both clinical practice and research. Published by the BMJ Publishing Group Limited. For permission to use (where not already granted under a licence) please go to http://group.bmj.com/group/rights-licensing/permissions.</t>
  </si>
  <si>
    <t>https://search.ebscohost.com/login.aspx?direct=true&amp;db=mdc&amp;AN=26031643&amp;site=ehost-live</t>
  </si>
  <si>
    <t>Effectiveness of a dry-land resistance training program on strength, power, and swimming performance in paralympic swimmers.</t>
  </si>
  <si>
    <t>Dingley AA; Pyne DB; Youngson J; Burkett B</t>
  </si>
  <si>
    <t>10.1519/JSC.0000000000000684</t>
  </si>
  <si>
    <t>Athletic Performance physiology; Muscle Strength physiology; Resistance Training; Swimming physiology; Disabled Persons; Female; Humans; Male; Postural Balance physiology; Young Adult</t>
  </si>
  <si>
    <t>This study evaluated the effectiveness of a dry-land resistance training program in Paralympic swimmers to increase swimming power and strength measures, and how these changes affect swimming performance. Seven elite-level Paralympic swimmers (1 man and 6 women; age: 19.4 ± 6.5 years; body mass: 57 ± 12 kg; height: 1.66 ± 0.21 m) performed a 6-week coach-prescribed strength training intervention program designed to improve power, flexibility, and postural control. Exercises targeted the main swimming movements: the start and turn, postural control in the water, and the pull and kick focusing on the gluteals, upper body, and trunk. Swimming-specific tests, involving a 50-m time trial, and timed dive starts were conducted at baseline and after the 6-week program. A bilateral swim-bench ergometer and jump tests were conducted to quantify arm and leg strength and power. After the 6-week intervention, 50-m time trials improved by 1.2%, ± 1.5% (mean, ± 90% confidence limits). Increases in both mean power (6.1%, ± 5.9%) and acceleration (3.7%, ± 3.7%) generated during the dive start enabled swimmers to substantially improve start times to the 5-m (5.5%, ± 3.2) and 15-m (1.8%, ± 1.1%) marks. The resistance training intervention resulted in a very large (r = 0.78, ± 0.37) correlation between dive start velocity and the counter movement jump mean velocity. The 6-week resistance training program for Paralympic swimmers yielded substantial improvements in dry-land measures that corresponded with improvements in both timed dive starts and 50-m time trial performance, thus highlighting the usefulness of dry-land training for enhancing swimming performance in Paralympic swimming.</t>
  </si>
  <si>
    <t>https://search.ebscohost.com/login.aspx?direct=true&amp;db=mdc&amp;AN=25226306&amp;site=ehost-live</t>
  </si>
  <si>
    <t>Effects of simulated domestic and international air travel on sleep, performance, and recovery for team sports.</t>
  </si>
  <si>
    <t>Fowler P; Duffield R; Vaile J</t>
  </si>
  <si>
    <t>10.1111/sms.12227</t>
  </si>
  <si>
    <t>Affect; Air Travel psychology; Athletic Performance physiology; Fatigue physiopathology; Hypoxia physiopathology; Motor Activity; Posture; Sleep; Adult; Aerospace Medicine; Altitude; Athletic Performance psychology; Cross-Over Studies; Fatigue psychology; Humans; Hypoxia psychology; Male; Recovery of Function; Young Adult</t>
  </si>
  <si>
    <t>The present study examined effects of simulated air travel on physical performance. In a randomized crossover design, 10 physically active males completed a simulated 5-h domestic flight (DOM), 24-h simulated international travel (INT), and a control trial (CON). The mild hypoxia, seating arrangements, and activity levels typically encountered during air travel were simulated in a normobaric, hypoxic altitude room. Physical performance was assessed in the afternoon of the day before (D - 1 PM) and in the morning (D + 1 AM) and afternoon (D + 1 PM) of the day following each trial. Mood states and physiological and perceptual responses to exercise were also examined at these time points, while sleep quantity and quality were monitored throughout each condition. Sleep quantity and quality were significantly reduced during INT compared with CON and DOM (P &lt; 0.01). Yo-Yo Intermittent Recovery level 1 test performance was significantly reduced at D + 1 PM following INT compared with CON and DOM (P &lt; 0.01), where performance remained unchanged (P &gt; 0.05). Compared with baseline, physiological and perceptual responses to exercise, and mood states were exacerbated following the INT trial (P &lt; 0.05). Attenuated intermittent-sprint performance following simulated international air travel may be due to sleep disruption during travel and the subsequent exacerbated physiological and perceptual markers of fatigue. © 2014 John Wiley &amp; Sons A/S. Published by John Wiley &amp; Sons Ltd.</t>
  </si>
  <si>
    <t>https://search.ebscohost.com/login.aspx?direct=true&amp;db=mdc&amp;AN=24750359&amp;site=ehost-live</t>
  </si>
  <si>
    <t>Effects of sleeping with reduced carbohydrate availability on acute training responses.</t>
  </si>
  <si>
    <t>Lane SC; Camera DM; Lassiter DG; Areta JL; Bird SR; Yeo WK; Jeacocke NA; Krook A; Zierath JR; Burke LM; Hawley JA</t>
  </si>
  <si>
    <t>10.1152/japplphysiol.00857.2014</t>
  </si>
  <si>
    <t>Dietary Carbohydrates metabolism; Exercise physiology; Physical Endurance physiology; Sleep physiology; AMP-Activated Protein Kinases metabolism; Adaptation, Physiological physiology; Adult; DNA Methylation physiology; Glycogen metabolism; Humans; Male; Muscle, Skeletal metabolism; Muscle, Skeletal physiology; Phosphorylation physiology; Protein Kinases metabolism; RNA, Messenger metabolism; p38 Mitogen-Activated Protein Kinases metabolism</t>
  </si>
  <si>
    <t>We determined the effects of "periodized nutrition" on skeletal muscle and whole body responses to a bout of prolonged exercise the following morning. Seven cyclists completed two trials receiving isoenergetic diets differing in the timing of ingestion: they consumed either 8 g/kg body mass (BM) of carbohydrate (CHO) before undertaking an evening session of high-intensity training (HIT) and slept without eating (FASTED), or consumed 4 g/kg BM of CHO before HIT, then 4 g/kg BM of CHO before sleeping (FED). The next morning subjects completed 2 h of cycling (120SS) while overnight fasted. Muscle biopsies were taken on day 1 (D1) before and 2 h after HIT and on day 2 (D2) pre-, post-, and 4 h after 120SS. Muscle [glycogen] was higher in FED at all times post-HIT (P &lt; 0.001). The cycling bouts increased PGC1α mRNA and PDK4 mRNA (P &lt; 0.01) in both trials, with PDK4 mRNA being elevated to a greater extent in FASTED (P &lt; 0.05). Resting phosphorylation of AMPK(Thr172), p38MAPK(Thr180/Tyr182), and p-ACC(Ser79) (D2) was greater in FASTED (P &lt; 0.05). Fat oxidation during 120SS was higher in FASTED (P = 0.01), coinciding with increases in ACC(Ser79) and CPT1 as well as mRNA expression of CD36 and FABP3 (P &lt; 0.05). Methylation on the gene promoter for COX4I1 and FABP3 increased 4 h after 120SS in both trials, whereas methylation of the PPARδ promoter increased only in FASTED. We provide evidence for shifts in DNA methylation that correspond with inverse changes in transcription for metabolically adaptive genes, although delaying postexercise feeding failed to augment markers of mitochondrial biogenesis. Copyright © 2015 the American Physiological Society.</t>
  </si>
  <si>
    <t>https://search.ebscohost.com/login.aspx?direct=true&amp;db=mdc&amp;AN=26112242&amp;site=ehost-live</t>
  </si>
  <si>
    <t>Evidence of different underlying processes in pattern recall and decision-making.</t>
  </si>
  <si>
    <t>Quarterly journal of experimental psychology (2006)</t>
  </si>
  <si>
    <t>10.1080/17470218.2014.992797</t>
  </si>
  <si>
    <t>Sage in association with Experimental Psychology Society</t>
  </si>
  <si>
    <t>Decision Making physiology; Mental Recall physiology; Pattern Recognition, Visual physiology; Practice, Psychological; Psychomotor Performance physiology; Adolescent; Adult; Athletic Performance physiology; Athletic Performance psychology; Basketball psychology; Eye Movements physiology; Humans; Male; Photic Stimulation; Time Factors; Young Adult</t>
  </si>
  <si>
    <t>The visual search characteristics of expert and novice basketball players were recorded during pattern recall and decision-making tasks to determine whether the two tasks shared common visual-perceptual processing strategies. The order in which participants entered the pattern elements in the recall task was also analysed to further examine the nature of the visual-perceptual strategies and the relative emphasis placed upon particular pattern features. The experts demonstrated superior performance across the recall and decision-making tasks [see also Gorman, A. D., Abernethy, B., &amp; Farrow, D. (2012). Classical pattern recall tests and the prospective nature of expert performance. The Quarterly Journal of Experimental Psychology, 65, 1151-1160; Gorman, A. D., Abernethy, B., &amp; Farrow, D. (2013a). Is the relationship between pattern recall and decision-making influenced by anticipatory recall? The Quarterly Journal of Experimental Psychology, 66, 2219-2236)] but a number of significant differences in the visual search data highlighted disparities in the processing strategies, suggesting that recall skill may utilize different underlying visual-perceptual processes than those required for accurate decision-making performance in the natural setting. Performance on the recall task was characterized by a proximal-to-distal order of entry of the pattern elements with participants tending to enter the players located closest to the ball carrier earlier than those located more distal to the ball carrier. The results provide further evidence of the underlying perceptual processes employed by experts when extracting visual information from complex and dynamic patterns.</t>
  </si>
  <si>
    <t>https://search.ebscohost.com/login.aspx?direct=true&amp;db=mdc&amp;AN=25662705&amp;site=ehost-live</t>
  </si>
  <si>
    <t>Exercise Modality Effect on Bioenergetical Performance at V˙O2max Intensity.</t>
  </si>
  <si>
    <t>Sousa A; Figueiredo P; Zamparo P; Pyne DB; Vilas-Boas JP; Fernandes RJ</t>
  </si>
  <si>
    <t>10.1249/MSS.0000000000000580</t>
  </si>
  <si>
    <t>Energy Metabolism physiology; Exercise Test methods; Oxygen Consumption physiology; Physical Exertion physiology; Adolescent; Humans; Male; Time Factors</t>
  </si>
  <si>
    <t>Purpose: A bioenergetical analysis of different exercise modes near maximal oxygen consumption (V˙O2max) intensity is scarce, hampering the prescription of training to enhance performance. We assessed the time sustained in swimming, rowing, running, and cycling at an intensity eliciting V˙O2max and determined the specific oxygen uptake (V˙O2) kinetics and total energy expenditure (Etot-tlim). Methods: Four subgroups of 10 swimmers, 10 rowers, 10 runners, and 10 cyclists performed (i) an incremental protocol to assess the velocity (vV˙O2max) or power (wV˙O2max) associated with V˙O2max and (ii) a square wave transition exercise from rest to vV˙O2max/wV˙O2max to assess the time to voluntary exhaustion (Tlim-100%V˙O2max). The V˙O2 was measured using a telemetric portable gas analyzer (K4b, Cosmed, Rome, Italy) and V˙O2 kinetics analyzed using a double exponential curve fit. Etot-tlim was computed as the sum of its three components: aerobic (Aer), anaerobic lactic (Analac), and anaerobic alactic (Anaalac) contributions. Results: No differences were evident in Tlim-100% V˙O2max between exercise modes (mean ± SD: swimming, 187 ± 25; rowing, 199 ± 52; running, 245 ± 46; and cycling, 227 ± 48 s). In contrast, the V˙O2 kinetics profile exhibited a slower response in swimming (21 ± 3 s) compared with the other three modes of exercise (rowing, 12 ± 3; running, 10 ± 3; and cycling, 16 ± 4 s) (P &lt; 0.001). Etot-tlim was similar between exercise modes even if the Analac contribution was smaller in swimming compared with the other sports (P &lt; 0.001). Conclusion: Although there were different V˙O2 kinetics and ventilatory patterns, the Tlim-100%V˙O2max was similar between exercise modes most likely related to the common central and peripheral level of fitness in our athletes.</t>
  </si>
  <si>
    <t>https://search.ebscohost.com/login.aspx?direct=true&amp;db=mdc&amp;AN=25412298&amp;site=ehost-live</t>
  </si>
  <si>
    <t>Exercise-Induced Tendon and Bone Injury in Recreational Runners: A Test-Retest Reliability Study.</t>
  </si>
  <si>
    <t>Domaschenz R; Vlahovich N; Keogh J; Compton S; Hughes DC</t>
  </si>
  <si>
    <t>e117</t>
  </si>
  <si>
    <t>10.2196/resprot.4585</t>
  </si>
  <si>
    <t>Background: Long-distance runners are prone to injuries including Achilles tendinopathy and medial tibial stress syndrome. We have developed an Internet comprehensive self-report questionnaire examining the medical history, injury history, and running habits of adult recreational runners. Objective: The objective of the study was to evaluate two alternative forms of test-retest reliability of a comprehensive self-report Internet questionnaire retrospectively examining the medical history, injury history, and running habits among a sample of adult recreational runners. This will contribute to the broad aims of a wider study investigating genetics and running injury. Methods: Invitations to complete an Internet questionnaire were sent by email to a convenience pilot population (test group 1). Inclusion criteria required participants to be a recreational runner age 18 or over, who ran over 15 km per week on a consistent basis. The survey questions addressed regular running habits and any injuries (including signs, symptoms, and diagnosis) of the lower limbs that resulted in discontinuation of running for a period of 2 consecutive weeks or more, within the last 2 years. Questions also addressed general health, age, sex, height, weight, and ethnic background. Participants were then asked to repeat the survey using the Internet platform again after 10-14 days. Following analysis of test group 1, we soft-launched the survey to a larger population (test group 2), through a local running club of 900 members via email platform. The same inclusion criteria applied, however, participants were asked to complete a repeat of the survey by telephone interview after 7-10 days. Selected key questions, important to clarify inclusion or exclusion from the wider genetics study, were selected to evaluate test-retest reliability. Reliability was quantified using the kappa coefficient for categorical data. Results: In response to the invitation, 28 participants accessed the survey from test group 1, 23 completed the Internet survey on the first occasion, and 20 completed the Internet retest within 10-21 days. Test-retest reliability scored moderate to almost perfect (kappa=.41 to .99) for 19/19 of the key questions analyzed. Following the invitation, 122 participants accessed the survey from test group 2, 101 completed the Internet survey on the first occasion, and 50 were randomly selected and contacted by email inviting them to repeat the survey by telephone interview. There were 33 participants that consented to the telephone interview and 30 completed the questionnaire within 7-10 days. Test-retest reliability scored moderate to almost perfect for 18/19 (kappa=.41 to .99) and slight for 1/19 of the key questions analyzed. ©Renae Domaschenz, Nicole Vlahovich, Justin Keogh, Stacey Compton, David C Hughes, Collaborative Research Network For Advancing Exercise &amp; Sports Science Scientific Committee. Originally published in JMIR Research Protocols (http://www.researchprotocols.org), 07.10.2015.</t>
  </si>
  <si>
    <t>https://search.ebscohost.com/login.aspx?direct=true&amp;db=mdc&amp;AN=36262008&amp;site=ehost-live</t>
  </si>
  <si>
    <t>Exploring the kinaesthetic sensitivity of skilled performers for implementing movement instructions.</t>
  </si>
  <si>
    <t>10.1016/j.humov.2015.02.006</t>
  </si>
  <si>
    <t>Athletes; Kinesthesis; Knee physiology; Movement; Tennis; Adolescent; Biomechanical Phenomena; Humans; Learning; Male; Motor Skills; Proprioception; Psychomotor Performance</t>
  </si>
  <si>
    <t>The capability to effectively control or adapt a movement pattern based on instructional feedback is essential for effective motor skill learning in high-level sport, as it is in other domains such as rehabilitation or music. Despite this, little is known about the capabilities of skilled athletes to use kinematic feedback to purposefully modify complex movements. This study examined the accuracy with which skilled junior tennis players could translate specific kinematic feedback into appropriate modifications of their service actions. Participants were required to either increase or decrease maximum knee flexion or shift impact position laterally by incremental amounts. Further, participants were required to execute their serve with the smallest increase and decrease in these kinematic components as they could consciously produce. Inherent variability within the desired target parameters was calculated to add context to the athlete's accuracy. Results demonstrated that while participants had considerable control over their movements, only some instructions were executed with accuracy greater the variability normally present within their movement. As the required change in knee flexion and impact position increased, absolute accuracy of implementation decreased. These findings are discussed with reference to the smallest controllable changes produced by the athletes and the variability within their actions. Copyright © 2015 Elsevier B.V. All rights reserved.</t>
  </si>
  <si>
    <t>https://search.ebscohost.com/login.aspx?direct=true&amp;db=mdc&amp;AN=25746370&amp;site=ehost-live</t>
  </si>
  <si>
    <t>Fundamental Movement Skills Are More than Run, Throw and Catch: The Role of Stability Skills.</t>
  </si>
  <si>
    <t>Rudd JR; Barnett LM; Butson ML; Farrow D; Berry J; Polman RC</t>
  </si>
  <si>
    <t>e0140224</t>
  </si>
  <si>
    <t>10.1371/journal.pone.0140224</t>
  </si>
  <si>
    <t>Child Development physiology; Motor Skills; Movement; Child; Humans</t>
  </si>
  <si>
    <t>Introduction: In motor development literature fundamental movement skills are divided into three constructs: locomotive, object control and stability skills. Most fundamental movement skills research has focused on children's competency in locomotor and object control skills. The first aim of this study was to validate a test battery to assess the construct of stability skills, in children aged 6 to 10 (M age = 8.2, SD = 1.2). Secondly we assessed how the stability skills construct fitted into a model of fundamental movement skill. Method: The Delphi method was used to select the stability skill battery. Confirmatory factor analysis (CFA) was used to assess if the skills loaded onto the same construct and a new model of FMS was developed using structural equation modelling. Results: Three postural control tasks were selected (the log roll, rock and back support) because they had good face and content validity. These skills also demonstrated good predictive validity with gymnasts scoring significantly better than children without gymnastic training and children from a high SES school performing better than those from a mid and low SES schools and the mid SES children scored better than the low SES children (all p &lt; .05). Inter rater reliability tests were excellent for all three skills (ICC = 0.81, 0.87, 0.87) as was test re-test reliability (ICC 0.87-0.95). CFA provided good construct validity, and structural equation modelling revealed stability skills to be an independent factor in an overall FMS model which included locomotor (r = .88), object control (r = .76) and stability skills (r = .81). Discussion: This study provides a rationale for the inclusion of stability skills in FMS assessment. The stability skills could be used alongside other FMS assessment tools to provide a holistic assessment of children's fundamental movement skills.</t>
  </si>
  <si>
    <t>https://search.ebscohost.com/login.aspx?direct=true&amp;db=mdc&amp;AN=26468644&amp;site=ehost-live</t>
  </si>
  <si>
    <t>How does drag affect the underwater phase of a swimming start?</t>
  </si>
  <si>
    <t>10.1123/jab.2014-0081</t>
  </si>
  <si>
    <t>Swimming physiology; Water; Adult; Biomechanical Phenomena; Female; Humans; Male; Models, Biological; Stress, Mechanical; Task Performance and Analysis; Water Movements; Young Adult</t>
  </si>
  <si>
    <t>During the underwater phase of the swimming start drag forces are constantly acting to slow the swimmer down. The current study aimed to quantify total drag force as well as the specific contribution of wave drag during the underwater phase of the swimming start. Swimmers were towed at three different depths (surface, 0.5 m, 1.0 m) and four speeds (1.6, 1.9, 2.0, 2.5 m · s(-1)), totaling 12 conditions. Wave drag and total drag were measured for each trial. Mixed modeling and plots were then used to determine the relationships between each towing condition and the amount of drag acting on the swimmer. The results of this study show large decreases in total drag as depth increases, regardless of speed (-19.7% at 0.5 m and -23.8% at 1.0 m). This is largely due to the significant reduction in wave drag as the swimmers traveled at greater depth. It is recommended that swimmers travel at least 0.5 m below the surface to avoid excessive drag forces. Swimmers should also perform efficient breakouts when transitioning into free swimming to reduce the duration spent just below the surface where drag values are reported at their highest.</t>
  </si>
  <si>
    <t>https://search.ebscohost.com/login.aspx?direct=true&amp;db=mdc&amp;AN=25134424&amp;site=ehost-live</t>
  </si>
  <si>
    <t>Hypoenergetic diet-induced reductions in myofibrillar protein synthesis are restored with resistance training and balanced daily protein ingestion in older men.</t>
  </si>
  <si>
    <t>Murphy CH; Churchward-Venne TA; Mitchell CJ; Kolar NM; Kassis A; Karagounis LG; Burke LM; Hawley JA; Phillips SM</t>
  </si>
  <si>
    <t>E734</t>
  </si>
  <si>
    <t>10.1152/ajpendo.00550.2014</t>
  </si>
  <si>
    <t>Caloric Restriction adverse effects; Dietary Proteins pharmacology; Muscle Proteins biosynthesis; Protein Biosynthesis drug effects; Resistance Training; Aged; Aging metabolism; Body Composition drug effects; Diet, Reducing adverse effects; Eating; Humans; Male; Middle Aged; Motor Activity physiology; Muscle Proteins drug effects; Muscular Atrophy etiology; Muscular Atrophy metabolism; Muscular Atrophy rehabilitation</t>
  </si>
  <si>
    <t>Strategies to enhance weight loss with a high fat-to-lean ratio in overweight/obese older adults are important since lean loss could exacerbate sarcopenia. We examined how dietary protein distribution affected muscle protein synthesis during energy balance (EB), energy restriction (ER), and energy restriction plus resistance training (ER + RT). A 4-wk ER diet was provided to overweight/obese older men (66 ± 4 yr, 31 ± 5 kg/m(2)) who were randomized to either a balanced (BAL: 25% daily protein/meal × 4) or skewed (SKEW: 7:17:72:4% daily protein/meal; n = 10/group) pattern. Myofibrillar and sarcoplasmic protein fractional synthetic rates (FSR) were measured during a 13-h primed continuous infusion of l-[ring-(13)C6]phenylalanine with BAL and SKEW pattern of protein intake in EB, after 2 wk ER, and after 2 wk ER + RT. Fed-state myofibrillar FSR was lower in ER than EB in both groups (P &lt; 0.001), but was greater in BAL than SKEW (P = 0.014). In ER + RT, fed-state myofibrillar FSR increased above ER in both groups and in BAL was not different from EB (P = 0.903). In SKEW myofibrillar FSR remained lower than EB (P = 0.002) and lower than BAL (P = 0.006). Fed-state sarcoplasmic protein FSR was reduced similarly in ER and ER + RT compared with EB (P &lt; 0.01) in both groups. During ER in overweight/obese older men a BAL consumption of protein stimulated the synthesis of muscle contractile proteins more effectively than traditional, SKEW distribution. Combining RT with a BAL protein distribution "rescued" the lower rates of myofibrillar protein synthesis during moderate ER. Copyright © 2015 the American Physiological Society.</t>
  </si>
  <si>
    <t>https://search.ebscohost.com/login.aspx?direct=true&amp;db=mdc&amp;AN=25738784&amp;site=ehost-live</t>
  </si>
  <si>
    <t>Impact of Altitude on Power Output during Cycling Stage Racing.</t>
  </si>
  <si>
    <t>Garvican-Lewis LA; Clark B; Martin DT; Schumacher YO; McDonald W; Stephens B; Ma F; Thompson KG; Gore CJ; Menaspà P</t>
  </si>
  <si>
    <t>e0143028</t>
  </si>
  <si>
    <t>10.1371/journal.pone.0143028</t>
  </si>
  <si>
    <t>Altitude; Bicycling physiology; Athletes; Heart Rate; Humans; Lakes; Male</t>
  </si>
  <si>
    <t>Purpose: The purpose of this study was to quantify the effects of moderate-high altitude on power output, cadence, speed and heart rate during a multi-day cycling tour. Methods: Power output, heart rate, speed and cadence were collected from elite male road cyclists during maximal efforts of 5, 15, 30, 60, 240 and 600 s. The efforts were completed in a laboratory power-profile assessment, and spontaneously during a cycling race simulation near sea-level and an international cycling race at moderate-high altitude. Matched data from the laboratory power-profile and the highest maximal mean power output (MMP) and corresponding speed and heart rate recorded during the cycling race simulation and cycling race at moderate-high altitude were compared using paired t-tests. Additionally, all MMP and corresponding speeds and heart rates were binned per 1000 m (&lt;1000 m, 1000-2000, 2000-3000 and &gt;3000 m) according to the average altitude of each ride. Mixed linear modelling was used to compare cycling performance data from each altitude bin. Results: Power output was similar between the laboratory power-profile and the race simulation, however MMPs for 5-600 s and 15, 60, 240 and 600 s were lower (p ≤ 0.005) during the race at altitude compared with the laboratory power-profile and race simulation, respectively. Furthermore, peak power output and all MMPs were lower (≥ 11.7%, p ≤ 0.001) while racing &gt;3000 m compared with rides completed near sea-level. However, speed associated with MMP 60 and 240 s was greater (p &lt; 0.001) during racing at moderate-high altitude compared with the race simulation near sea-level. Conclusion: A reduction in oxygen availability as altitude increases leads to attenuation of cycling power output during competition. Decrement in cycling power output at altitude does not seem to affect speed which tended to be greater at higher altitudes.</t>
  </si>
  <si>
    <t>https://search.ebscohost.com/login.aspx?direct=true&amp;db=mdc&amp;AN=26629912&amp;site=ehost-live</t>
  </si>
  <si>
    <t>In vivo behavior of the human soleus muscle with increasing walking and running speeds.</t>
  </si>
  <si>
    <t>Lai A; Lichtwark GA; Schache AG; Lin YC; Brown NA; Pandy MG</t>
  </si>
  <si>
    <t>10.1152/japplphysiol.00128.2015</t>
  </si>
  <si>
    <t>Muscle, Skeletal physiology; Running physiology; Walking physiology; Adult; Ankle physiology; Biomechanical Phenomena; Elasticity physiology; Electromyography; Female; Humans; Joints anatomy &amp; histology; Joints physiology; Male; Muscle Contraction physiology; Muscle, Skeletal anatomy &amp; histology; Muscle, Skeletal diagnostic imaging; Tendons physiology; Torque; Ultrasonography</t>
  </si>
  <si>
    <t>The interaction between the muscle fascicle and tendon components of the human soleus (SO) muscle influences the capacity of the muscle to generate force and mechanical work during walking and running. In the present study, ultrasound-based measurements of in vivo SO muscle fascicle behavior were combined with an inverse dynamics analysis to investigate the interaction between the muscle fascicle and tendon components over a broad range of steady-state walking and running speeds: slow-paced walking (0.7 m/s) through to moderate-paced running (5.0 m/s). Irrespective of a change in locomotion mode (i.e., walking vs. running) or an increase in steady-state speed, SO muscle fascicles were found to exhibit minimal shortening compared with the muscle-tendon unit (MTU) throughout stance. During walking and running, the muscle fascicles contributed only 35 and 20% of the overall MTU length change and shortening velocity, respectively. Greater levels of muscle activity resulted in increasingly shorter SO muscle fascicles as locomotion speed increased, both of which facilitated greater tendon stretch and recoil. Thus the elastic tendon contributed the majority of the MTU length change during walking and running. When transitioning from walking to running near the preferred transition speed (2.0 m/s), greater, more economical ankle torque development is likely explained by the SO muscle fascicles shortening more slowly and operating on a more favorable portion (i.e., closer to the plateau) of the force-length curve. Copyright © 2015 the American Physiological Society.</t>
  </si>
  <si>
    <t>https://search.ebscohost.com/login.aspx?direct=true&amp;db=mdc&amp;AN=25814636&amp;site=ehost-live</t>
  </si>
  <si>
    <t>Increased Hypoxic Dose After Training at Low Altitude with 9h Per Night at 3000m Normobaric Hypoxia.</t>
  </si>
  <si>
    <t>Carr AJ; Saunders PU; Vallance BS; Garvican-Lewis LA; Gore CJ</t>
  </si>
  <si>
    <t>This study examined effects of low altitude training and a live-high: train-low protocol (combining both natural and simulated modalities) on haemoglobin mass (Hbmass), maximum oxygen consumption (VO2max), time to exhaustion, and submaximal exercise measures. Eighteen elite-level race-walkers were assigned to one of two experimental groups; lowHH (low Hypobaric Hypoxia: continuous exposure to 1380 m for 21 consecutive days; n = 10) or a combined low altitude training and nightly Normobaric Hypoxia (lowHH+NHnight: living and training at 1380 m, plus 9 h.night(-1) at a simulated altitude of 3000 m using hypoxic tents; n = 8). A control group (CON; n = 10) lived and trained at 600 m. Measurement of Hbmass, time to exhaustion and VO2max was performed before and after the training intervention. Paired samples t-tests were used to assess absolute and percentage change pre and post-test differences within groups, and differences between groups were assessed using a one-way ANOVA with least significant difference post-hoc testing. Statistical significance was tested at p &lt; 0.05. There was a 3.7% increase in Hbmass in lowHH+NHnight compared with CON (p = 0.02). In comparison to baseline, Hbmass increased by 1.2% (±1.4%) in the lowHH group, 2.6% (±1.8%) in lowHH+NHnight, and there was a decrease of 0.9% (±4.9%) in CON. VO2max increased by ~4% within both experimental conditions but was not significantly greater than the 1% increase in CON. There was a ~9% difference in pre and post-intervention values in time to exhaustion after lowHH+NH-night (p = 0.03) and a ~8% pre to post-intervention difference (p = 0.006) after lowHH only. We recommend low altitude (1380 m) combined with sleeping in altitude tents (3000 m) as one effective alternative to traditional altitude training methods, which can improve Hbmass. Key pointsIn some countries, it may not be possible to perform classical altitude training effectively, due to the low elevation at altitude training venues. An additional hypoxic stimulus can be provided by simulating higher altitudes overnight, using altitude tents.Three weeks of combined (living and training at 1380 m) and simulated altitude exposure (at 3000 m) can improve haemoglobin mass by over 3% in comparison to control values, and can also improve time to exhaustion by ~9% in comparison to baseline.We recommend that, in the context of an altitude training camp at low altitudes (~1400 m) the addition of a relatively short exposure to simulated altitudes of 3000 m can elicit physiological and performance benefits, without compromise to training intensity or competition preparation. However, the benefits will not be greater than conducting a traditional altitude training camp at low altitudes.</t>
  </si>
  <si>
    <t>https://search.ebscohost.com/login.aspx?direct=true&amp;db=mdc&amp;AN=26664274&amp;site=ehost-live</t>
  </si>
  <si>
    <t>International Olympic Committee consensus statement on youth athletic development.</t>
  </si>
  <si>
    <t>Bergeron MF; Mountjoy M; Armstrong N; Chia M; Côté J; Emery CA; Faigenbaum A; Hall G Jr; Kriemler S; Léglise M; Malina RM; Pensgaard AM; Sanchez A; Soligard T; Sundgot-Borgen J; van Mechelen W; Weissensteiner JR; Engebretsen L</t>
  </si>
  <si>
    <t>10.1136/bjsports-2015-094962</t>
  </si>
  <si>
    <t>Consensus Development Conference, NIH</t>
  </si>
  <si>
    <t>Youth Sports physiology; Acute Disease; Adolescent; Adolescent Development physiology; Aptitude physiology; Athletic Injuries etiology; Athletic Injuries prevention &amp; control; Athletic Performance physiology; Child; Chronic Disease; Clinical Competence standards; Diosgenin; Environment; Exercise physiology; Fatigue physiopathology; Female; Health Status; Humans; Male; Muscle Strength physiology; Muscle, Skeletal metabolism; Nutrition Disorders prevention &amp; control; Oxygen Consumption physiology; Physical Abuse prevention &amp; control; Physical Education and Training methods; Physical Fitness physiology; Phytosterols; Puberty physiology; Sex Offenses prevention &amp; control; Sleep physiology; Sports Medicine standards; Stress, Psychological etiology</t>
  </si>
  <si>
    <t>The health, fitness and other advantages of youth sports participation are well recognised. However, there are considerable challenges for all stakeholders involved-especially youth athletes-in trying to maintain inclusive, sustainable and enjoyable participation and success for all levels of individual athletic achievement. In an effort to advance a more unified, evidence-informed approach to youth athlete development, the IOC critically evaluated the current state of science and practice of youth athlete development and presented recommendations for developing healthy, resilient and capable youth athletes, while providing opportunities for all levels of sport participation and success. The IOC further challenges all youth and other sport governing bodies to embrace and implement these recommended guiding principles. Published by the BMJ Publishing Group Limited. For permission to use (where not already granted under a licence) please go to http://group.bmj.com/group/rights-licensing/permissions.</t>
  </si>
  <si>
    <t>https://search.ebscohost.com/login.aspx?direct=true&amp;db=mdc&amp;AN=26084524&amp;site=ehost-live</t>
  </si>
  <si>
    <t>Isometric exercise induces analgesia and reduces inhibition in patellar tendinopathy.</t>
  </si>
  <si>
    <t>Rio E; Kidgell D; Purdam C; Gaida J; Moseley GL; Pearce AJ; Cook J</t>
  </si>
  <si>
    <t>10.1136/bjsports-2014-094386</t>
  </si>
  <si>
    <t>Analgesia methods; Exercise Therapy methods; Tendinopathy therapy; Volleyball injuries; Action Potentials physiology; Adolescent; Adult; Cross-Over Studies; Electromyography; Exercise; Humans; Male; Musculoskeletal Pain prevention &amp; control; Patellar Ligament; Single-Blind Method; Young Adult</t>
  </si>
  <si>
    <t>Background: Few interventions reduce patellar tendinopathy (PT) pain in the short term. Eccentric exercises are painful and have limited effectiveness during the competitive season. Isometric and isotonic muscle contractions may have an immediate effect on PT pain. Methods: This single-blinded, randomised cross-over study compared immediate and 45 min effects following a bout of isometric and isotonic muscle contractions. Outcome measures were PT pain during the single-leg decline squat (SLDS, 0-10), quadriceps strength on maximal voluntary isometric contraction (MVIC), and measures of corticospinal excitability and inhibition. Data were analysed using a split-plot in time-repeated measures analysis of variance (ANOVA). Results: 6 volleyball players with PT participated. Condition effects were detected with greater pain relief immediately from isometric contractions: isometric contractions reduced SLDS (mean±SD) from 7.0±2.04 to 0.17±0.41, and isotonic contractions reduced SLDS (mean±SD) from 6.33±2.80 to 3.75±3.28 (p&lt;0.001). Isometric contractions released cortical inhibition (ratio mean±SD) from 27.53%±8.30 to 54.95%±5.47, but isotonic contractions had no significant effect on inhibition (pre 30.26±3.89, post 31.92±4.67; p=0.004). Condition by time analysis showed pain reduction was sustained at 45 min postisometric but not isotonic condition (p&lt;0.001). The mean reduction in pain scores postisometric was 6.8/10 compared with 2.6/10 postisotonic. MVIC increased significantly following the isometric condition by 18.7±7.8%, and was significantly higher than baseline (p&lt;0.001) and isotonic condition (p&lt;0.001), and at 45 min (p&lt;0.001). Conclusions: A single resistance training bout of isometric contractions reduced tendon pain immediately for at least 45 min postintervention and increased MVIC. The reduction in pain was paralleled by a reduction in cortical inhibition, providing insight into potential mechanisms. Isometric contractions can be completed without pain for people with PT. The clinical implications are that isometric muscle contractions may be used to reduce pain in people with PT without a reduction in muscle strength. Published by the BMJ Publishing Group Limited. For permission to use (where not already granted under a licence) please go to http://group.bmj.com/group/rights-licensing/permissions.</t>
  </si>
  <si>
    <t>https://search.ebscohost.com/login.aspx?direct=true&amp;db=mdc&amp;AN=25979840&amp;site=ehost-live</t>
  </si>
  <si>
    <t>Key parameters of the swimming start and their relationship to start performance.</t>
  </si>
  <si>
    <t>10.1080/02640414.2014.990486</t>
  </si>
  <si>
    <t>Athletic Performance physiology; Swimming physiology; Biomechanical Phenomena; Female; Humans; Male; Regression Analysis; Retrospective Studies; Task Performance and Analysis; Young Adult</t>
  </si>
  <si>
    <t>The swimming start is typically broken into three sub-phases; on-block, flight, and underwater phases. While overall start performance is highly important to elite swimming, the contribution of each phase and important technical components within each phase, particularly with the new kick-start technique, has not been established. The aim of this study was to identify technical factors associated with overall start performance, with a particular focus on the underwater phase. A number of parameters were calculated from 52 starts performed by elite freestyle and butterfly swimmers. These parameters were split into above-water and underwater groupings, before factor analysis was used to reduce parameter numbers for multiple regression. For the above-water phases, 81% of variance in start performance was accounted for by take-off horizontal velocity. For the underwater water phase, 96% of variance was accounted for with time underwater in descent, time underwater in ascent and time to 10 m. Therefore, developing greater take-off horizontal velocity and focussing on the underwater phase by finding the ideal trajectory will lead to improved start performance.</t>
  </si>
  <si>
    <t>https://search.ebscohost.com/login.aspx?direct=true&amp;db=mdc&amp;AN=25555171&amp;site=ehost-live</t>
  </si>
  <si>
    <t>Learning the Hang Power Clean: Kinetic, Kinematic, and Technical Changes in Four Weightlifting Naive Athletes.</t>
  </si>
  <si>
    <t>Haug WB; Drinkwater EJ; Chapman DW</t>
  </si>
  <si>
    <t>10.1519/JSC.0000000000000826</t>
  </si>
  <si>
    <t>Learning physiology; Weight Lifting physiology; Adolescent; Biomechanical Phenomena; Female; Humans; Male; Movement physiology; Muscle, Skeletal physiology; Task Performance and Analysis; Young Adult</t>
  </si>
  <si>
    <t>The investment in learning required to reach benefit with weightlifting training is currently not well understood in elite athletes. The purpose of this investigation was to quantify changes in vertical jump power production and kinematic variables in hang power clean (HPC) performance during the learning process from a naive state in a multiple single-subject research design. Four elite athletes undertook HPC learning for approximately 20-30 minutes twice per week over a 169-day period. Changes in parameters of vertical power production during squat jump (SJ) and countermovement jump (CMJ) were monitored from baseline (day 0) and at 3 additional occasions. Hang power clean movement kinematics and bar path traces were monitored from day 35 and at 3 additional occasions particular to the individual's periodized training plan. Descriptive statistics were reported within athletes as mean ± SD. We observed a 14.1-35.7% (SJ) and a -14.4 to 20.5% (CMJ) gain in peak power across the 4 jump testing occasions with improvements over the first 4 weeks (SJ: 9.2-32.6%; CMJ: -2.91 to 20.79%). Changes in HPC movement kinematics and barbell path traces occurred for each athlete indicating a more rearward-directed center of pressure over the concentric phase, greater double knee bend during the transition phase, decreased maximal plantar flexion, and minimal vertical displacement of body mass with HPC learning. Considering the minimal investment of 4 weeks to achieve increases in vertical power production, the benefits of training with HPC justified the associated time costs for these 4 elite athletes.</t>
  </si>
  <si>
    <t>https://search.ebscohost.com/login.aspx?direct=true&amp;db=mdc&amp;AN=25559908&amp;site=ehost-live</t>
  </si>
  <si>
    <t>"Magnitude-based inference": a statistical review.</t>
  </si>
  <si>
    <t>Welsh AH; Knight EJ</t>
  </si>
  <si>
    <t>10.1249/MSS.0000000000000451</t>
  </si>
  <si>
    <t>Bayes Theorem; Data Interpretation, Statistical; Sports Medicine statistics &amp; numerical data; Humans</t>
  </si>
  <si>
    <t>Purpose: We consider "magnitude-based inference" and its interpretation by examining in detail its use in the problem of comparing two means. Methods: We extract from the spreadsheets, which are provided to users of the analysis (http://www.sportsci.org/), a precise description of how "magnitude-based inference" is implemented. We compare the implemented version of the method with general descriptions of it and interpret the method in familiar statistical terms. Results and Conclusions: We show that "magnitude-based inference" is not a progressive improvement on modern statistics. The additional probabilities introduced are not directly related to the confidence interval but, rather, are interpretable either as P values for two different nonstandard tests (for different null hypotheses) or as approximate Bayesian calculations, which also lead to a type of test. We also discuss sample size calculations associated with "magnitude-based inference" and show that the substantial reduction in sample sizes claimed for the method (30% of the sample size obtained from standard frequentist calculations) is not justifiable so the sample size calculations should not be used. Rather than using "magnitude-based inference," a better solution is to be realistic about the limitations of the data and use either confidence intervals or a fully Bayesian analysis.</t>
  </si>
  <si>
    <t>https://search.ebscohost.com/login.aspx?direct=true&amp;db=mdc&amp;AN=25051387&amp;site=ehost-live</t>
  </si>
  <si>
    <t>Maximal Sprint Power in Road Cyclists After Variable and Nonvariable High-Intensity Exercise.</t>
  </si>
  <si>
    <t>Menaspà P; Martin DT; Victor J; Abbiss CR</t>
  </si>
  <si>
    <t>10.1519/JSC.0000000000000972</t>
  </si>
  <si>
    <t>Athletic Performance physiology; Bicycling physiology; Physical Exertion physiology; Heart Rate physiology; Humans; Lactic Acid blood; Male; Rest physiology; Young Adult</t>
  </si>
  <si>
    <t>This study compared the sprint performance of professional cyclists after 10 minutes of variable (VAR) or nonvariable (N-VAR) high-intensity cycling with sprint performance in a rested state. Ten internationally competitive male cyclists (mean ± SD: age, 20.1 ± 1.3 years; stature, 1.81 ± 0.07 m; body weight, 69.5 ± 4.9 kg; and V[Combining Dot Above]O2peak, 72.5 ± 4.4 ml·kg·min) performed a 12-second maximal sprint in 3 conditions: (a) a rested state, (b) after 10 minutes of N-VAR cycling, and (c) after 10 minutes of VAR cycling. The intensity during the 10-minute efforts gradually increased to replicate power output observed in the final section of cycling road races. During the VAR cycling, participants performed short (2 seconds) accelerations at 80% of their sprint peak power, every 30 seconds. Average power output, cadence, and maximal heart rate (HR) during the 10-minute efforts were similar between conditions (5.3 ± 0.2 W·kg, 102 ± 1 rpm, and 93 ± 3% HRmax). Postexercise blood lactate concentration and sessional perceived exertion were also similar (8.3 ± 1.6 mmol·L, 15.4 ± 1.3 [6-20 scale]). Peak and average power output and cadence during the subsequent maximal sprint were not different between the 3 experimental conditions (p &gt; 0.05). In conclusion, this study showed that neither the VAR nor the N-VAR 10-minute efforts ridden in this study impaired sprint performance in elite competitive cyclists.</t>
  </si>
  <si>
    <t>https://search.ebscohost.com/login.aspx?direct=true&amp;db=mdc&amp;AN=25932988&amp;site=ehost-live</t>
  </si>
  <si>
    <t>Methodology review: using dual-energy X-ray absorptiometry (DXA) for the assessment of body composition in athletes and active people.</t>
  </si>
  <si>
    <t>Nana A; Slater GJ; Stewart AD; Burke LM</t>
  </si>
  <si>
    <t>10.1123/ijsnem.2013-0228</t>
  </si>
  <si>
    <t>Athletes; Body Composition; Exercise; Models, Biological; Sports; Absorptiometry, Photon methods; Humans; Reproducibility of Results</t>
  </si>
  <si>
    <t>Dual energy X-ray absorptiometry (DXA) is rapidly becoming more accessible and popular as a technique to monitor body composition, especially in athletic populations. Although studies in sedentary populations have investigated the validity of DXA assessment of body composition, few studies have examined the issues of reliability in athletic populations and most studies which involve DXA measurements of body composition provide little information on their scanning protocols. This review presents a summary of the sources of error and variability in the measurement of body composition by DXA, and develops a theoretical model of best practice to standardize the conduct and analysis of a DXA scan. Components of this protocol include standardization of subject presentation (subjects rested, overnight-fasted and in minimal clothing) and positioning on the scanning bed (centrally aligned in a standard position using custom-made positioning aids) as well as manipulation of the automatic segmentation of regional areas of the scan results. Body composition assessment implemented with such protocol ensures a high level of precision, while still being practical in an athletic setting. This ensures that any small changes in body composition are confidently detected and correctly interpreted. The reporting requirements for studies involving DXA scans of body composition include details of the DXA machine and software, subject presentation and positioning protocols, and analysis protocols.</t>
  </si>
  <si>
    <t>https://search.ebscohost.com/login.aspx?direct=true&amp;db=mdc&amp;AN=25029265&amp;site=ehost-live</t>
  </si>
  <si>
    <t>Modulation of autophagy signaling with resistance exercise and protein ingestion following short-term energy deficit.</t>
  </si>
  <si>
    <t>Smiles WJ; Areta JL; Coffey VG; Phillips SM; Moore DR; Stellingwerff T; Burke LM; Hawley JA; Camera DM</t>
  </si>
  <si>
    <t>American journal of physiology. Regulatory, integrative and comparative physiology</t>
  </si>
  <si>
    <t>R603</t>
  </si>
  <si>
    <t>10.1152/ajpregu.00413.2014</t>
  </si>
  <si>
    <t>Victoria; Autophagy genetics; Energy Intake; Energy Metabolism; Muscle, Skeletal metabolism; Resistance Training; Signal Transduction genetics; Whey Proteins administration &amp; dosage; Adult; Biopsy; Female; Gene Expression Regulation; Humans; Intracellular Signaling Peptides and Proteins genetics; Intracellular Signaling Peptides and Proteins metabolism; Male; Muscle Proteins genetics; Muscle Proteins metabolism; Muscle, Skeletal pathology; RNA, Messenger metabolism; Stress, Physiological; Time Factors; Victoria; Whey Proteins metabolism; Young Adult</t>
  </si>
  <si>
    <t>Autophagy contributes to remodeling of skeletal muscle and is sensitive to contractile activity and prevailing energy availability. We investigated changes in targeted genes and proteins with roles in autophagy following 5 days of energy balance (EB), energy deficit (ED), and resistance exercise (REX) after ED. Muscle biopsies from 15 subjects (8 males, 7 females) were taken at rest following 5 days of EB [45 kcal·kg fat free mass (FFM)(-1)·day(-1)] and 5 days of ED (30 kcal·kg FFM(-1)·day(-1)). After ED, subjects completed a bout of REX and consumed either placebo (PLA) or 30 g whey protein (PRO) immediately postexercise. Muscle biopsies were obtained at 1 and 4 h into recovery in each trial. Resting protein levels of autophagy-related gene protein 5 (Atg5) decreased after ED compared with EB (∼23%, P &lt; 0.001) and remained below EB from 1 to 4 h postexercise in PLA (∼17%) and at 1 h in PRO (∼18%, P &lt; 0.05). In addition, conjugated Atg5 (cAtg12) decreased below EB in PLA at 4 h (∼20, P &lt; 0.05); however, its values were increased above this time point in PRO at 4 h alongside increases in FOXO1 above EB (∼22-26%, P &lt; 0.05). Notably, these changes were subsequent to increases in unc-51-like kinase 1(Ser757) phosphorylation (∼60%) 1 h postexercise in PRO. No significant changes in gene expression of selected autophagy markers were found, but EGR-1 increased above ED and EB in PLA (∼417-864%) and PRO (∼1,417-2,731%) trials 1 h postexercise (P &lt; 0.001). Postexercise protein availability, compared with placebo, can selectively promote autophagic responses to REX in ED. Copyright © 2015 the American Physiological Society.</t>
  </si>
  <si>
    <t>https://search.ebscohost.com/login.aspx?direct=true&amp;db=mdc&amp;AN=26136534&amp;site=ehost-live</t>
  </si>
  <si>
    <t>Modulation of work and power by the human lower-limb joints with increasing steady-state locomotion speed.</t>
  </si>
  <si>
    <t>Schache AG; Brown NA; Pandy MG</t>
  </si>
  <si>
    <t>Pt 15</t>
  </si>
  <si>
    <t>10.1242/jeb.119156</t>
  </si>
  <si>
    <t>Running physiology; Walking physiology; Adult; Ankle Joint physiology; Biomechanical Phenomena; Female; Hip Joint physiology; Humans; Knee Joint physiology; Male; Young Adult</t>
  </si>
  <si>
    <t>We investigated how the human lower-limb joints modulate work and power during walking and running on level ground. Experimental data were recorded from seven participants for a broad range of steady-state locomotion speeds (walking at 1.59±0.09 m s(-1) to sprinting at 8.95±0.70 m s(-1)). We calculated hip, knee and ankle work and average power (i.e. over time), along with the relative contribution from each joint towards the total (sum of hip, knee and ankle) amount of work and average power produced by the lower limb. Irrespective of locomotion speed, ankle positive work was greatest during stance, whereas hip positive work was greatest during swing. Ankle positive work increased with faster locomotion until a running speed of 5.01±0.11 m s(-1), where it plateaued at ∼1.3 J kg(-1). In contrast, hip positive work during stance and swing, as well as knee negative work during swing, all increased when running speed progressed beyond 5.01±0.11 m s(-1). When switching from walking to running at the same speed (∼2.0 m s(-1)), the ankle's contribution to the average power generated (and positive work done) by the lower limb during stance significantly increased from 52.7±10.4% to 65.3±7.5% (P=0.001), whereas the hip's contribution significantly decreased from 23.0±9.7% to 5.5±4.6% (P=0.004). With faster running, the hip's contribution to the average power generated (and positive work done) by the lower limb significantly increased during stance (P&lt;0.001) and swing (P=0.003). Our results suggest that changing locomotion mode and faster steady-state running speeds are not simply achieved via proportional increases in work and average power at the lower-limb joints. © 2015. Published by The Company of Biologists Ltd.</t>
  </si>
  <si>
    <t>https://search.ebscohost.com/login.aspx?direct=true&amp;db=mdc&amp;AN=26056240&amp;site=ehost-live</t>
  </si>
  <si>
    <t>Neuromuscular Fatigue and Muscle Damage After a Women's Rugby Sevens Tournament.</t>
  </si>
  <si>
    <t>10.1123/ijspp.2014-0590</t>
  </si>
  <si>
    <t>Athletes psychology; Athletic Performance psychology; Football psychology; Motor Activity; Muscle Fatigue; Muscle, Skeletal physiopathology; Myalgia etiology; Running; Acceleration; Adult; Biomechanical Phenomena; Competitive Behavior; Female; Humans; Muscle Strength; Muscle, Skeletal pathology; Myalgia diagnosis; Myalgia physiopathology; Myalgia psychology; Pain Measurement; Perception; Physical Endurance; Recovery of Function; Surveys and Questionnaires; Task Performance and Analysis; Time Factors; Young Adult</t>
  </si>
  <si>
    <t>Purpose: To examine relationships between on-field game movement patterns and changes in markers of neuromuscular fatigue and muscle damage during a 2-d women's rugby sevens tournament. Methods: Female national (mean ± SD n = 12, 22.3 ± 2.5 y, 1.67 ± 0.04 m, 65.8 ± 4.6 kg) and state (n = 10, 24.4 ± 4.3 y, 1.67 ± 0.03 m, 66.1 ± 7.9 kg) representative players completed baseline testing for lower-body neuromuscular function (countermovement-jump [CMJ] test), muscle damage (capillary creatine kinase [CK]), perceived soreness, and perceived recovery. Testing was repeated after games on days 1 and 2 of the tournament. GPS (5-Hz) data were collected throughout the tournament (4-6 games/player). Results: National players were involved in greater on-field movements for total time, distance, high-speed running (&gt;5 m/s), and impacts &gt;10 g (effect size [ES] = 0.55-0.97) and displayed a smaller decrement in performance from day 1 to day 2. Despite this, state players had a much greater 4-fold increase (δCK = 737 U/L) in CK compared with the 2-fold increase (δCK = 502 U/L) in national players (ES = 0.73). Both groups had similar perceived soreness and recovery while CMJ performance was unchanged. High-speed running and impacts &gt;10 g were largely correlated (r = .66-.91) with δCK for both groups. Conclusion: A 2-day women's rugby sevens tournament elicits substantial muscle damage; however, there was little change in lower-body neuromuscular function. Modest increases in CK can largely be attributed to high-speed running and impacts &gt;10 g that players typically endure.</t>
  </si>
  <si>
    <t>https://search.ebscohost.com/login.aspx?direct=true&amp;db=mdc&amp;AN=25848893&amp;site=ehost-live</t>
  </si>
  <si>
    <t>No Additional Benefit of Repeat-Sprint Training in Hypoxia than in Normoxia on Sea-Level Repeat-Sprint Ability.</t>
  </si>
  <si>
    <t>Goods PS; Dawson B; Landers GJ; Gore CJ; Peeling P</t>
  </si>
  <si>
    <t>To assess the impact of 'top-up' normoxic or hypoxic repeat-sprint training on sea-level repeat-sprint ability, thirty team sport athletes were randomly split into three groups, which were matched in running repeat-sprint ability (RSA), cycling RSA and 20 m shuttle run performance. Two groups then performed 15 maximal cycling repeat-sprint training sessions over 5 weeks, in either normoxia (NORM) or hypoxia (HYP), while a third group acted as a control (CON). In the post-training cycling RSA test, both NORM (13.6%; p = 0.0001, and 8.6%; p = 0.001) and HYP (10.3%; p = 0.007, and 4.7%; p = 0.046) significantly improved overall mean and peak power output, respectively, whereas CON did not change (1.4%; p = 0.528, and -1.1%; p = 0.571, respectively); with only NORM demonstrating a moderate effect for improved mean and peak power output compared to CON. Running RSA demonstrated no significant between group differences; however, the mean sprint times improved significantly from pre- to post-training for CON (1.1%), NORM (1.8%), and HYP (2.3%). Finally, there were no group differences in 20 m shuttle run performance. In conclusion, 'top-up' training improved performance in a task-specific activity (i.e. cycling); however, there was no additional benefit of conducting this 'top-up' training in hypoxia, since cycle RSA improved similarly in both HYP and NORM conditions. Regardless, the 'top-up' training had no significant impact on running RSA, therefore the use of cycle repeat-sprint training should be discouraged for team sport athletes due to limitations in specificity. Key points'Top-up' repeat-sprint training performed on a cycle ergometer enhances cycle repeat-sprint ability compared to team sport training only in football players.The addition of moderate hypoxia to repeat-sprint training provides no additional performance benefits to sea-level repeat-sprint ability or endurance performance than normoxic repeat-sprint training.'Top-up' cycling repeat-sprint training provides no significant additional benefit to running RSA or endurance performance than team sport training only, and therefore running based repeat-sprint interventions are recommended for team sport athletes.</t>
  </si>
  <si>
    <t>https://search.ebscohost.com/login.aspx?direct=true&amp;db=mdc&amp;AN=26336357&amp;site=ehost-live</t>
  </si>
  <si>
    <t>Non-local muscle fatigue: effects and possible mechanisms.</t>
  </si>
  <si>
    <t>Halperin I; Chapman DW; Behm DG</t>
  </si>
  <si>
    <t>10.1007/s00421-015-3249-y</t>
  </si>
  <si>
    <t>Muscle Fatigue; Muscle, Skeletal physiology; Evoked Potentials, Motor; Humans; Muscle Contraction; Muscle, Skeletal innervation; Physical Exertion</t>
  </si>
  <si>
    <t>Introduction: Non-local muscle fatigue (NLMF) is characterized by muscle performance impairments in a contralateral or remote non-exercised muscle(s) following a fatiguing protocol of a different muscle group(s). This topic is of interest as it affords insights into physiological determinants of muscle fatigue and may provide practical applications concerning the order of exercises in training and rehabilitation programs. Methods: A literature review was conducted using Web of Science, PubMed, and Google Scholar databases to evaluate the NLMF effects and possible underlying mechanisms. Overall, 35 studies with 58 outcome measures that met the inclusion criteria were identified. Results: The literature is conflicting with approximately half of the studies reporting NLMF effects (32 of 58 measurements). However, on closer examination 76% of outcome measures of the lower limbs reported NLMF effects (23 of 30 measurements) compared to only 32% in the upper body (9 of 28 measurements). Thus, it appears that NLMF effects may be muscle group dependent. Also, tests that involve prolonged or repetitive contractions provide clearer evidence of NLMF. Other variables potentially influencing the size of the NLMF effect include the fatigued muscle groups, the protocols used to elicit the fatigue, gender and training background of participants. Conclusion: While the NLMF literature is conflicting, certain variables appear to affect NLMF responses which can account for some of the discrepancies. Furthermore, the NLMF effects may be attributed to four different but interconnected pathways: neurological, biochemical, biomechanical and psychological.</t>
  </si>
  <si>
    <t>https://search.ebscohost.com/login.aspx?direct=true&amp;db=mdc&amp;AN=26330274&amp;site=ehost-live</t>
  </si>
  <si>
    <t>Peak outward acceleration and ball release in cricket.</t>
  </si>
  <si>
    <t>Spratford W; Portus M; Wixted A; Leadbetter R; James DA</t>
  </si>
  <si>
    <t>10.1080/02640414.2014.962577</t>
  </si>
  <si>
    <t>Accelerometry instrumentation; Remote Sensing Technology; Sports physiology; Acceleration; Biomechanical Phenomena; Humans; Task Performance and Analysis; Wrist physiology; Young Adult</t>
  </si>
  <si>
    <t>The purpose of this study was to investigate the utility of peak outward acceleration (POA) measured from an inertial sensor worn at the wrist as an indicator of the critical end point of the bowling action – ball release, a critical element when assessing illegal actions. Twenty-one finger-spin and fast bowlers from nine countries were recruited from the ICC under-19 Cricket World Cup to take part in this research. Bowlers delivered a cross section of their standard deliveries while wearing an inertial sensor placed on their wrists. Ball release was determined by a validated motional analysis ball release (MABR) protocol and compared to the simultaneously collected POA. POA was shown to be highly correlated with MABR (R(2) = 0.98) and a Bland-Altman plot indicated that all 148 trials were within the 3.42 frame (0.014 s) limits of agreement. POA when measured by an inertial sensor worn on the wrist during bowling had a close relationship with an established method of identifying ball release in a biomechanical laboratory regardless of bowler and delivery type. Further, accuracy can be achieved with the adoption of a simple regression equation applied to the POA and as such is a valid measure of ball release in cricket bowlers.</t>
  </si>
  <si>
    <t>https://search.ebscohost.com/login.aspx?direct=true&amp;db=mdc&amp;AN=25412692&amp;site=ehost-live</t>
  </si>
  <si>
    <t>Physical Demands of Sprinting in Professional Road Cycling.</t>
  </si>
  <si>
    <t>Menaspà P; Quod M; Martin DT; Peiffer JJ; Abbiss CR</t>
  </si>
  <si>
    <t>10.1055/s-0035-1554697</t>
  </si>
  <si>
    <t>Athletic Performance; Bicycling physiology; Physical Exertion physiology; Adult; Athletes; Humans; Male; Physical Fitness</t>
  </si>
  <si>
    <t>The aim of this study was to quantify the demands of road competitions ending with sprints in male professional cycling. 17 races finished with top-5 results from 6 male road professional cyclists (age, 27.0±3.8 years; height, 1.76±0.03 m; weight, 71.7±1.1 kg) were analysed. SRM power meters were used to monitor power output, cadence and speed. Data were averaged over the entire race, different durations prior to the sprint (60, 10, 5 and 1 min) and during the actual sprint. Variations in power during the final 10 min of the race were quantified using exposure variation analysis. This observational study was conducted in the field to maximize the ecological validity of the results. Power, cadence and speed were statistically different between various phases of the race (p&lt;0.001), increasing from 316±43 W, 95±4 rpm and 50.5±3.3 km·h(-1) in the last 10 min, to 487±58 W, 102±6 rpm and 55.4±4.7 km·h(-1) in the last min prior to the sprint. Peak power during the sprint was 17.4±1.7 W·kg(-1). Exposure variation analysis revealed a significantly greater number of short-duration high-intensity efforts in the final 5 min of the race, compared with the penultimate 5 min (p=0.010). These findings quantify the power output requirements associated with high-level sprinting in men's professional road cycling and highlight the need for both aerobic and anaerobic fitness. © Georg Thieme Verlag KG Stuttgart · New York.</t>
  </si>
  <si>
    <t>https://search.ebscohost.com/login.aspx?direct=true&amp;db=mdc&amp;AN=26252551&amp;site=ehost-live</t>
  </si>
  <si>
    <t>Physiologically based GPS speed zones for evaluating running demands in Women's Rugby Sevens.</t>
  </si>
  <si>
    <t>Clarke AC; Anson J; Pyne D</t>
  </si>
  <si>
    <t>10.1080/02640414.2014.988740</t>
  </si>
  <si>
    <t>Geographic Information Systems; Running physiology; Soccer physiology; Adult; Athletic Performance physiology; Competitive Behavior physiology; Cross-Sectional Studies; Female; Humans; Oxygen Consumption; Pulmonary Ventilation; Young Adult</t>
  </si>
  <si>
    <t>High-speed running (&gt;5 m · s⁻¹) is commonly reported in men's rugby union and sevens; however, the appropriateness of using the same speed threshold for Women's Rugby Sevens players is unclear, and likely underestimates the degree of high-intensity exercise completed by female players. The aim of this study was to establish, for international Women's Rugby Sevens players, a physiologically defined threshold - speed at the second ventilatory threshold (VT(2peed)) - for the analysis of high-intensity running, using mean and individualised thresholds. Game movement patterns (using 5 Hz GPS) of 12 international Women's Rugby Sevens players (23.5 ± 4.9 ears, 1.68 ± 0.04 m, 68.2 ± 7.7 kg; mean ± s) were collected at an international tournament. Seven of these players also completed a treadmill VO(2max) test to estimate VT(2speed). Compared to the mean VT(2speed) threshold (3.5 m · s⁻¹), the industry-used threshold of 5 m · s⁻¹ underestimated the absolute amount of high-intensity running completed by individual players by up to 30%. Using an individualised threshold, high-intensity running could over- or underestimating high-intensity running by up to 14% compared to the mean VT(2peed) threshold. The use of individualised thresholds provides an accurate individualised assessment of game demands to inform the prescription of training.</t>
  </si>
  <si>
    <t>https://search.ebscohost.com/login.aspx?direct=true&amp;db=mdc&amp;AN=25510337&amp;site=ehost-live</t>
  </si>
  <si>
    <t>Pre-Altitude Serum Ferritin Levels and Daily Oral Iron Supplement Dose Mediate Iron Parameter and Hemoglobin Mass Responses to Altitude Exposure.</t>
  </si>
  <si>
    <t>Govus AD; Garvican-Lewis LA; Abbiss CR; Peeling P; Gore CJ</t>
  </si>
  <si>
    <t>e0135120</t>
  </si>
  <si>
    <t>10.1371/journal.pone.0135120</t>
  </si>
  <si>
    <t>Altitude; Dietary Supplements; Ferritins blood; Hemoglobins metabolism; Iron administration &amp; dosage; Iron metabolism; Athletes; Female; Humans; Male; Time Factors</t>
  </si>
  <si>
    <t>Purpose: To investigate the influence of daily oral iron supplementation on changes in hemoglobin mass (Hbmass) and iron parameters after 2-4 weeks of moderate altitude exposure. Methods: Hematological data collected from 178 athletes (98 males, 80 females) exposed to moderate altitude (1,350-3,000 m) were analysed using linear regression to determine how altitude exposure combined with oral iron supplementation influenced Hbmass, total iron incorporation (TII) and blood iron parameters [ferritin and transferrin saturation (TSAT)]. Results: Altitude exposure (mean ± s: 21 ± 3 days) increased Hbmass by 1.1% [-0.4, 2.6], 3.3% [1.7, 4.8], and 4.0% [2.0, 6.1] from pre-altitude levels in athletes who ingested nil, 105 mg and 210 mg respectively, of oral iron supplement daily. Serum ferritin levels decreased by -33.2% [-46.9, -15.9] and 13.8% [-32.2, 9.7] from pre-altitude levels in athletes who supplemented with nil and 105 mg of oral iron supplement daily, but increased by 36.8% [1.3, 84.8] in athletes supplemented with 210 mg of oral iron daily. Finally, athletes who ingested either 105 mg or 210 mg of oral iron supplement daily had a greater TII compared with non-supplemented athletes (0 versus 105 mg: effect size (d) = -1.88 [-2.56, -1.17]; 0 versus 210 mg: effect size (d) = -2.87 [-3.88, -1.66]). Conclusion: Oral iron supplementation during 2-4 weeks of moderate altitude exposure may enhance Hbmass production and assist the maintenance of iron balance in some athletes with low pre-altitude iron stores.</t>
  </si>
  <si>
    <t>https://search.ebscohost.com/login.aspx?direct=true&amp;db=mdc&amp;AN=26263553&amp;site=ehost-live</t>
  </si>
  <si>
    <t>Previously identified patellar tendinopathy risk factors differ between elite and sub-elite volleyball players.</t>
  </si>
  <si>
    <t>Janssen I; Steele JR; Munro BJ; Brown NA</t>
  </si>
  <si>
    <t>10.1111/sms.12206</t>
  </si>
  <si>
    <t>Athletes; Knee Joint physiology; Muscle Strength physiology; Patellar Ligament physiology; Quadriceps Muscle physiology; Tendinopathy epidemiology; Volleyball injuries; Adolescent; Adult; Biomechanical Phenomena; Electromyography; Humans; Lower Extremity; Male; Muscle, Skeletal physiology; Range of Motion, Articular physiology; Recruitment, Neurophysiological physiology; Risk Factors; Time Factors; Weight-Bearing physiology; Young Adult</t>
  </si>
  <si>
    <t>Patellar tendinopathy is the most common knee injury incurred in volleyball, with its prevalence in elite athletes more than three times that of their sub-elite counterparts. The purpose of this study was to determine whether patellar tendinopathy risk factors differed between elite and sub-elite male volleyball players. Nine elite and nine sub-elite male volleyball players performed a lateral stop-jump block movement. Maximum vertical jump, training history, muscle extensibility and strength, three-dimensional landing kinematics (250 Hz), along with lower limb neuromuscular activation patterns (1500 Hz), and patellar tendon loading were collected during each trial. Multivariate analyses of variance (P &lt; 0.05) assessed for between-group differences in risk factors or patellar tendon loading. Significant interaction effects were further evaluated using post-hoc univariate analysis of variance tests. Landing kinematics, neuromuscular activation patterns, patellar tendon loading, and most of the previously identified risk factors did not differ between the elite and sub-elite players. However, elite players participated in a higher training volume and had less quadriceps extensibility than sub-elite players. Therefore, high training volume is likely the primary contributor to the injury discrepancy between elite and sub-elite volleyball players. Interventions designed to reduce landing frequency and improve quadriceps extensibility are recommended to reduce patellar tendinopathy prevalence in volleyball players. © 2014 John Wiley &amp; Sons A/S. Published by John Wiley &amp; Sons Ltd.</t>
  </si>
  <si>
    <t>https://search.ebscohost.com/login.aspx?direct=true&amp;db=mdc&amp;AN=25983242&amp;site=ehost-live</t>
  </si>
  <si>
    <t>Probiotics supplementation for athletes - clinical and physiological effects.</t>
  </si>
  <si>
    <t>Pyne DB; West NP; Cox AJ; Cripps AW</t>
  </si>
  <si>
    <t>10.1080/17461391.2014.971879</t>
  </si>
  <si>
    <t>Athletes; Dietary Supplements; Probiotics; Sports Nutritional Physiological Phenomena physiology; Adolescent; Adult; Aged; Female; Humans; Male; Middle Aged; Young Adult</t>
  </si>
  <si>
    <t>Probiotic supplementation has traditionally focused on gut health. However, in recent years, the clinical applications of probiotics have broadened to allergic, metabolic, inflammatory, gastrointestinal and respiratory conditions. Gastrointestinal health is important for regulating adaptation to exercise and physical activity. Symptoms such as nausea, bloating, cramping, pain, diarrhoea and bleeding occur in some athletes, particularly during prolonged exhaustive events. Several studies conducted since 2006 examining probiotic supplementation in athletes or highly active individuals indicate modest clinical benefits in terms of reduced frequency, severity and/or duration of respiratory and gastrointestinal illness. The likely mechanisms of action for probiotics include direct interaction with the gut microbiota, interaction with the mucosal immune system and immune signalling to a variety of organs and systems. Practical issues to consider include medical and dietary screening of athletes, sourcing of recommended probiotics and formulations, dose-response requirements for different probiotic strains, storage, handling and transport of supplements and timing of supplementation in relation to travel and competition.</t>
  </si>
  <si>
    <t>https://search.ebscohost.com/login.aspx?direct=true&amp;db=mdc&amp;AN=25339255&amp;site=ehost-live</t>
  </si>
  <si>
    <t>Questionnaire validation: Retrospective analysis of clinical data.</t>
  </si>
  <si>
    <t>West NP; Pyne DB; Cripps AW</t>
  </si>
  <si>
    <t>Clinical nutrition (Edinburgh, Scotland)</t>
  </si>
  <si>
    <t>10.1016/j.clnu.2015.07.020</t>
  </si>
  <si>
    <t>Dietary Supplements; Gastrointestinal Diseases therapy; Probiotics administration &amp; dosage; Female; Humans; Male</t>
  </si>
  <si>
    <t>https://search.ebscohost.com/login.aspx?direct=true&amp;db=mdc&amp;AN=26324015&amp;site=ehost-live</t>
  </si>
  <si>
    <t>Race weight: perceptions of elite female road cyclists.</t>
  </si>
  <si>
    <t>Haakonssen EC; Martin DT; Jenkins DG; Burke LM</t>
  </si>
  <si>
    <t>10.1123/ijspp.2014-0070</t>
  </si>
  <si>
    <t>Athletic Performance physiology; Athletic Performance psychology; Bicycling physiology; Bicycling psychology; Body Weight; Perception physiology; Adolescent; Adult; Competitive Behavior physiology; Feeding and Eating Disorders etiology; Female; Humans; Menstruation Disturbances etiology; Weight Loss; Young Adult</t>
  </si>
  <si>
    <t>Purpose: This study investigated the satisfaction of elite female cyclists with their body weight (BW) in the context of race performance, the magnitude of BW manipulation, and the association of these variables with menstrual function. Methods: Female competitors in the Australian National Road Cycling Championships (n = 32) and the Oceania Championships (n = 5) completed a questionnaire to identify current BW, BW fluctuations, perceived ideal BW for performance, frequency of weight consciousness, weight-loss techniques used, and menstrual regularity. Results: All but 1 cyclist reported that female cyclists are "a weight-conscious population," and 54% reported having a desire to change BW at least once weekly; 62% reported that their current BW was not ideal for performance. Their perceived ideal BW was (mean ± SD) 1.6 ± 1.6 kg (2.5% ± 2.5%) less than their current weight (P &lt; .01), and 73% reported that their career-lowest BW was either "beneficial" or "extremely beneficial" for performance. 65% reported successfully reducing BW in the previous 12 months with a mean loss of 2.4 ± 1.0 kg (4.1% ± 1.9%). The most common weight-loss technique was reduced energy intake (76%). Five cyclists (14%) had been previously diagnosed as having an eating disorder by a physician. Of the 18 athletes not using a hormonal contraceptive, 11 reported menstrual dysfunction (oligomenorrhea or amenorrhea). Conclusion: Elite Australian female cyclists are a weight-conscious population who may not be satisfied with their BW leading into a major competition and in some cases are frequently weight conscious.</t>
  </si>
  <si>
    <t>https://search.ebscohost.com/login.aspx?direct=true&amp;db=mdc&amp;AN=25203649&amp;site=ehost-live</t>
  </si>
  <si>
    <t>Re-Examining High-Fat Diets for Sports Performance: Did We Call the 'Nail in the Coffin' Too Soon?</t>
  </si>
  <si>
    <t>45 Suppl 1</t>
  </si>
  <si>
    <t>S33</t>
  </si>
  <si>
    <t>10.1007/s40279-015-0393-9</t>
  </si>
  <si>
    <t>Athletic Performance physiology; Diet, Carbohydrate-Restricted; Diet, High-Fat; Exercise physiology; Diet, Ketogenic; Dietary Carbohydrates administration &amp; dosage; Dietary Carbohydrates metabolism; Dietary Fats administration &amp; dosage; Dietary Fats metabolism; Energy Metabolism; Glycogen metabolism; Humans; Muscle, Skeletal metabolism; Sports Nutritional Physiological Phenomena</t>
  </si>
  <si>
    <t>During the period 1985-2005, studies examined the proposal that adaptation to a low-carbohydrate (&lt;25 % energy), high-fat (&gt;60 % energy) diet (LCHF) to increase muscle fat utilization during exercise could enhance performance in trained individuals by reducing reliance on muscle glycogen. As little as 5 days of training with LCHF retools the muscle to enhance fat-burning capacity with robust changes that persist despite acute strategies to restore carbohydrate availability (e.g., glycogen supercompensation, carbohydrate intake during exercise). Furthermore, a 2- to 3-week exposure to minimal carbohydrate (&lt;20 g/day) intake achieves adaptation to high blood ketone concentrations. However, the failure to detect clear performance benefits during endurance/ultra-endurance protocols, combined with evidence of impaired performance of high-intensity exercise via a down-regulation of carbohydrate metabolism led this author to dismiss the use of such fat-adaptation strategies by competitive athletes in conventional sports. Recent re-emergence of interest in LCHF diets, coupled with anecdotes of improved performance by sportspeople who follow them, has created a need to re-examine the potential benefits of this eating style. Unfortunately, the absence of new data prevents a different conclusion from being made. Notwithstanding the outcomes of future research, there is a need for better recognition of current sports nutrition guidelines that promote an individualized and periodized approach to fuel availability during training, allowing the athlete to prepare for competition performance with metabolic flexibility and optimal utilization of all muscle substrates. Nevertheless, there may be a few scenarios where LCHF diets are of benefit, or at least are not detrimental, for sports performance.</t>
  </si>
  <si>
    <t>https://search.ebscohost.com/login.aspx?direct=true&amp;db=mdc&amp;AN=26553488&amp;site=ehost-live</t>
  </si>
  <si>
    <t>Relative Match Intensities at High Altitude in Highly-Trained Young Soccer Players (ISA3600).</t>
  </si>
  <si>
    <t>Buchheit M; Hammond K; Bourdon PC; Simpson BM; Garvican-Lewis LA; Schmidt WF; Gore CJ; Aughey RJ</t>
  </si>
  <si>
    <t>To compare relative match intensities of sea-level versus high-altitude native soccer players during a 2-week camp at 3600 m, data from 7 sea-level (Australian U17 National team, AUS) and 6 high-altitude (a Bolivian U18 team, BOL) native soccer players were analysed. Two matches were played at sea-level and three at 3600 m on Days 1, 6 and 13. The Yo-Yo Intermittent recovery test (vYo-YoIR1) was performed at sea-level, and on Days 3 and 10. Match activity profiles were measured via 10-Hz GPS. Distance covered &gt;14.4 km.h(-1) (D&gt;14.4 km·h(-1)) and &gt;80% of vYo-YoIR1 (D&gt;80%vYo-YoIR1) were examined. Upon arrival at altitude, there was a greater decrement in vYo-YoIR1 (Cohen's d +1.0, 90%CL ± 0.8) and D&gt;14.4 km·h(-1) (+0.5 ± 0.8) in AUS. D&gt;14.4 km.h(-1) was similarly reduced relative to vYo-YoIR1 in both groups, so that D&gt;80%vYo-YoIR1 remained similarly unchanged (-0.1 ± 0.8). Throughout the altitude sojourn, vYo-YoIR1 and D&gt;14.4 km·h(-1) increased in parallel in AUS, so that D&gt;80%vYo-YoIR1 remained stable in AUS (+6.0%/match, 90%CL ± 6.7); conversely D&gt;80%vYo-YoIR1 decreased largely in BOL (-12.2%/match ± 6.2). In sea-level natives competing at high-altitude, changes in match running performance likely follow those in high-intensity running performance. Bolivian data confirm that increases in 'fitness' do not necessarily translate into greater match running performance, but rather in reduced relative exercise intensity. Key pointsWhen playing at high-altitude, players may alter their activities during matches in relation to their transient maximal physical capacities, possibly to maintain a 'tolerable' relative exercise intensity.While there is no doubt that running performance per se in not the main determinant of match outcomes (Carling, 2013), fitness levels influence relative match intensity (Buchheit et al., 2012, Mendez-Villanueva et al., 2013), which in-turn may impact on decision making and skill performance (Rampinini et al., 2008).In the context of high-altitude competitions, it is therefore recommended to arrive early enough (i.e., ~2 weeks) to allow (at least partial) acclimatisation, and in turn, allow sea-level native players to regulate their running activities in relation to both actual game demands and relative match intensity.</t>
  </si>
  <si>
    <t>https://search.ebscohost.com/login.aspx?direct=true&amp;db=mdc&amp;AN=25729296&amp;site=ehost-live</t>
  </si>
  <si>
    <t>Reliability and accuracy of six hand-held blood lactate analysers.</t>
  </si>
  <si>
    <t>Bonaventura JM; Sharpe K; Knight E; Fuller KL; Tanner RK; Gore CJ</t>
  </si>
  <si>
    <t>The reliability and accuracy of five portable blood lactate (BLa) analysers (Lactate Pro, Lactate Pro2, Lactate Scout+, Xpress™, and Edge) and one handheld point-of-care analyser (i-STAT) were compared to a criterion (Radiometer ABL90). Two devices of each brand of analyser were assessed using 22 x 6 mL blood samples taken from five subjects at rest and during exercise who generated lactate ranging ~1-23 mM. Each sample was measured simultaneously ~6 times on each device. Reliability was assessed as the within-sample standard deviation (wsSD) of the six replicates; accuracy as the bias compared with the ABL90; and overall error (the root mean squared error (√MSE)) was calculated as the square root of (wsSD(2) and bias(2)). The √MSE indicated that both the Edge and Xpress had low total error (~0-2 mM) for lactate concentrations &lt;15 mM, whereas the Edge and Lactate Pro2 were the better of the portable analysers for concentrations &gt;15 mM. In all cases, bias (negative) was the major contribution to the √MSE. In conclusion, in a clinical setting where BLa is generally &lt;15 mM the Edge and Xpress devices are relevant, but for athlete testing where peak BLa is important for training prescription the Edge and Lactate Pro2 are preferred. Key pointsThe reliability of five common portable blood lactate analysers were generally &lt;0.5 mM for concentrations in the range of ~1.0-10 mM.For all five portable analysers, the analytical error within a brand was much smaller than the biological variation in blood lactate (BLa).Compared with a criterion blood lactate analyser, there was a tendency for all portable analysers to under-read (i.e. a negative bias), which was particularly evident at the highest concentrations (BLa ~15-23 mM).The practical application of these negative biases would overestimate the ability of the athlete and prescribe a training intensity that would be too high.</t>
  </si>
  <si>
    <t>https://search.ebscohost.com/login.aspx?direct=true&amp;db=mdc&amp;AN=25729309&amp;site=ehost-live</t>
  </si>
  <si>
    <t>10.1249/MSS.0000000000000552</t>
  </si>
  <si>
    <t>https://search.ebscohost.com/login.aspx?direct=true&amp;db=mdc&amp;AN=25783667&amp;site=ehost-live</t>
  </si>
  <si>
    <t>Routine exercise alters measures of immunity and the acute phase reaction.</t>
  </si>
  <si>
    <t>Horn PL; West NP; Pyne DB; Koerbin G; Lehtinen SJ; Fricker PA; Cripps AW</t>
  </si>
  <si>
    <t>10.1007/s00421-014-3028-1</t>
  </si>
  <si>
    <t>Acute-Phase Reaction blood; Exercise; T-Lymphocyte Subsets immunology; Acute-Phase Proteins metabolism; Adolescent; Adult; Female; Humans; Male; Middle Aged</t>
  </si>
  <si>
    <t>Purpose: To expand our understanding of the overall anti-inflammatory nature of routine exercise; we compared resting blood values from adults who habitually undertake frequent, moderate levels of exercise to reference interval values assumed to reflect values largely from non-exercisers. This information would be useful for clinicians interpreting blood tests assessing inflammatory, immune and acute phase responses. Methods: Blood samples were collected from 119 community adult self-reported routine exercisers (61 males and 58 females aged 18-60 years). Samples were analysed for 20 cellular and non-cellular biomarkers which included 11 immunological and 9 acute phase reactants. These data were compared to reference intervals from the same hospital laboratory that performed the analyses on our participants' samples. Individual analyte values were also compared with participants' self-reported 150 day exercise patterns which included exercise frequency, intensity and duration. Results: In general, mean values for routine exercise participants fell at the lower end of laboratory reference interval for most inflammatory analytes. More than 10 % of participants had numbers of CD19(+), CD8(+) and 16/56(+) NK cells below the low end of the respective reference interval. More than 10 % of observed acute phase reactant values (for C3, haptoglobin and ferritin) were also below the low end of the reference interval. At rest IgM (r = -0.22) and IgG (r = -0.31) values correlated negatively (p &lt; 0.05) with exercise load. Conclusions: Routine exercise appears to lower resting numbers of a variety of immune cell-types as well as the concentration of several classical acute phase reactants. These wide-ranging systemic effects are presumably adaptive changes, not pathology and collectively confirm the well-reported and clinically important anti-inflammatory effects of exercise.</t>
  </si>
  <si>
    <t>https://search.ebscohost.com/login.aspx?direct=true&amp;db=mdc&amp;AN=25344053&amp;site=ehost-live</t>
  </si>
  <si>
    <t>Sleep Hygiene and Recovery Strategies in Elite Soccer Players.</t>
  </si>
  <si>
    <t>Nédélec M; Halson S; Delecroix B; Abaidia AE; Ahmaidi S; Dupont G</t>
  </si>
  <si>
    <t>10.1007/s40279-015-0377-9</t>
  </si>
  <si>
    <t>Athletic Performance physiology; Competitive Behavior physiology; Sleep physiology; Soccer physiology; Athletic Performance psychology; Cold Temperature; Electroencephalography; Humans; Immersion; Light adverse effects; Muscle, Skeletal injuries; Nutritional Physiological Phenomena; Relaxation; Soccer psychology; Stress, Psychological</t>
  </si>
  <si>
    <t>In elite soccer, players are frequently exposed to various situations and conditions that can interfere with sleep (e.g., playing night matches interspersed with 3 days; performing activities demanding high levels of concentration close to bedtime; use of products containing caffeine or alcohol in the period preceding bedtime; regular daytime napping throughout the week; variable wake-up times or bedtime), potentially leading to sleep deprivation. We outline simple, practical, and pharmaceutical-free sleep strategies that are coordinated to the constraints of elite soccer in order to promote sleep. Sleep deprivation is best alleviated by sleep extension; however, sleep hygiene strategies (i.e., consistent sleep pattern, appropriate napping, and active daytime behaviors) can be utilized to promote restorative sleep. Light has a profound impact on sleep, and sleep hygiene strategies that support the natural environmental light-dark cycle (i.e., red-light treatment prior to sleep, dawn-simulation therapy prior to waking) and prevent cycle disruption (i.e., filtering short wavelengths prior to sleep) may be beneficial to elite soccer players. Under conditions of inordinate stress, techniques such as brainwave entrainment and meditation are promising sleep-promoting strategies, but future studies are required to ascertain the applicability of these techniques to elite soccer players. Consuming high-electrolyte fluids such as milk, high-glycemic index carbohydrates, some forms of protein immediately prior to sleep, as well as tart cherry juice concentrate and tryptophan may promote rehydration, substrate stores replenishment, muscle-damage repair and/or restorative sleep. The influence of cold water immersion performed close to bedtime on subsequent sleep is still debated. Conversely, the potential detrimental effects of sleeping medication must be recognized. Sleep initiation is influenced by numerous factors, reinforcing the need for future research to identify such factors. Efficient and individualized sleep hygiene strategies may consequently be proposed.</t>
  </si>
  <si>
    <t>https://search.ebscohost.com/login.aspx?direct=true&amp;db=mdc&amp;AN=26275673&amp;site=ehost-live</t>
  </si>
  <si>
    <t>Some athletes are immature...skeletally.</t>
  </si>
  <si>
    <t>Drew MK</t>
  </si>
  <si>
    <t>10.1136/bjsports-2015-094660</t>
  </si>
  <si>
    <t>Athletic Injuries etiology; Pubic Symphysis injuries; Sports physiology; Abdominal Pain etiology; Bone Development physiology; Groin injuries; Humans</t>
  </si>
  <si>
    <t>https://search.ebscohost.com/login.aspx?direct=true&amp;db=mdc&amp;AN=26031641&amp;site=ehost-live</t>
  </si>
  <si>
    <t>Stress, Sleep and Recovery in Elite Soccer: A Critical Review of the Literature.</t>
  </si>
  <si>
    <t>Nédélec M; Halson S; Abaidia AE; Ahmaidi S; Dupont G</t>
  </si>
  <si>
    <t>10.1007/s40279-015-0358-z</t>
  </si>
  <si>
    <t>Athletic Performance physiology; Sleep Wake Disorders physiopathology; Soccer physiology; Alcohol Drinking adverse effects; Athletic Performance psychology; Caffeine adverse effects; Competitive Behavior physiology; Emotions physiology; Fatigue physiopathology; Humans; Light adverse effects; Sleep drug effects; Sleep physiology; Sleep radiation effects; Soccer psychology; Travel</t>
  </si>
  <si>
    <t>In elite soccer, players are frequently exposed to various situations and conditions that can interfere with sleep, potentially leading to sleep deprivation. This article provides a comprehensive and critical review of the current available literature regarding the potential acute and chronic stressors (i.e., psychological, sociological and physiological stressors) placed on elite soccer players that may result in compromised sleep quantity and/or quality. Sleep is an essential part of the recovery process as it provides a number of important psychological and physiological functions. The effects of sleep disturbance on post-soccer match fatigue mechanisms and recovery time course are also described. Physiological and cognitive changes that occur when competing at night are often not conducive to sleep induction. Although the influence of high-intensity exercise performed during the night on subsequent sleep is still debated, environmental conditions (e.g., bright light in the stadium, light emanated from the screens) and behaviours related to evening soccer matches (e.g., napping, caffeine consumption, alcohol consumption) as well as engagement and arousal induced by the match may all potentially affect subsequent sleep. Apart from night soccer matches, soccer players are subjected to inconsistency in match schedules, unique team schedules and travel fatigue that may also contribute to the sleep debt. Sleep deprivation may be detrimental to the outcome of the recovery process after a match, resulting in impaired muscle glycogen repletion, impaired muscle damage repair, alterations in cognitive function and an increase in mental fatigue. The role of sleep in recovery is a complex issue, reinforcing the need for future research to estimate the quantitative and qualitative importance of sleep and to identify influencing factors. Efficient and individualised solutions are likely needed.</t>
  </si>
  <si>
    <t>https://search.ebscohost.com/login.aspx?direct=true&amp;db=mdc&amp;AN=26206724&amp;site=ehost-live</t>
  </si>
  <si>
    <t>The effects of a calcium-rich pre-exercise meal on biomarkers of calcium homeostasis in competitive female cyclists: a randomised crossover trial.</t>
  </si>
  <si>
    <t>Haakonssen EC; Ross ML; Knight EJ; Cato LE; Nana A; Wluka AE; Cicuttini FM; Wang BH; Jenkins DG; Burke LM</t>
  </si>
  <si>
    <t>e0123302</t>
  </si>
  <si>
    <t>10.1371/journal.pone.0123302</t>
  </si>
  <si>
    <t>Athletes; Bicycling; Bone Resorption prevention &amp; control; Calcium blood; Calcium, Dietary administration &amp; dosage; Adolescent; Adult; Biomarkers blood; Bone Resorption blood; Bone Resorption diet therapy; Cations, Divalent; Collagen Type I blood; Collagen Type II blood; Cross-Over Studies; Diet; Exercise; Female; Humans; Parathyroid Hormone blood; Peptide Fragments blood; Peptides blood; Physical Endurance; Procollagen blood; Sweating physiology</t>
  </si>
  <si>
    <t>Cycling is recognised as a sport in which there is a high incidence of poor bone health. Sweat calcium losses may contribute to this. Purpose: To examine whether a calcium-rich pre-exercise meal attenuates exercise-induced perturbations of bone calcium homeostasis caused by maintenance of sweat calcium losses. Methods: Using a randomized, counterbalanced crossover design, 32 well-trained female cyclists completed two 90 min cycling trials separated by 1 day. Exercise trials were preceded 2 hours by either a calcium-rich (1352 ± 53 mg calcium) dairy based meal (CAL) or a control meal (CON; 46 ± 7 mg calcium). Blood was sampled pre-trial; pre-exercise; and immediately, 40 min, 100 min and 190 min post-exercise. Blood was analysed for ionized calcium and biomarkers of bone resorption (Cross Linked C-Telopeptide of Type I Collagen (CTX-I), Cross Linked C-Telopeptide of Type II Collagen (CTX-II), Parathyroid Hormone (PTH), and bone formation (Procollagen I N-Terminal Propeptide (PINP)) using the established enzyme-linked immunosorbent assay technique. Results: PTH and CTX-I increased from pre-exercise to post-exercise in both conditions but was attenuated in CAL (p &lt; 0.001). PTH was 1.55 [1.20, 2.01] times lower in CAL immediately post-exercise and 1.45 [1.12, 1.88] times lower at 40 min post-exercise. CTX-I was 1.40 [1.15, 1.70] times lower in CAL at immediately post-exercise, 1.30 [1.07, 1.57] times lower at 40 min post-exercise and 1.22 [1.00, 1.48] times lower at 190 min post-exercise (p &lt; 0.05). There was no significant interaction between pre-exercise meal condition and time point for CTX-II (p = 0.732) or PINP (p = 0.819). Conclusion: This study showed that a calcium-rich pre-exercise breakfast meal containing ~1350 mg of calcium consumed ~90 min before a prolonged and high intensity bout of stationary cycling attenuates the exercise induced rise in markers of bone resorption--PTH and CTX-I. Trial Registration: Australian New Zealand Clinical Trials Registry ACTRN12614000675628.</t>
  </si>
  <si>
    <t>https://search.ebscohost.com/login.aspx?direct=true&amp;db=mdc&amp;AN=25970439&amp;site=ehost-live</t>
  </si>
  <si>
    <t>The Governor has a sweet tooth - mouth sensing of nutrients to enhance sports performance.</t>
  </si>
  <si>
    <t>Burke LM; Maughan RJ</t>
  </si>
  <si>
    <t>10.1080/17461391.2014.971880</t>
  </si>
  <si>
    <t>Athletic Performance physiology; Dietary Carbohydrates administration &amp; dosage; Dietary Carbohydrates metabolism; Mouth physiology; Sports Nutritional Physiological Phenomena physiology; Beverages; Carbohydrate Metabolism; Humans; Male; Temperature</t>
  </si>
  <si>
    <t>The oral-pharyngeal cavity and the gastrointestinal tract are richly endowed with receptors that respond to taste, temperature and to a wide range of specific nutrient and non-nutritive food components. Ingestion of carbohydrate-containing drinks has been shown to enhance endurance exercise performance, and these responses have been attributed to post-absorptive effects. It is increasingly recognised, though, that the response to ingested carbohydrate begins in the mouth via specific carbohydrate receptors and continues in the gut via the release of a range of hormones that influence substrate metabolism. Cold drinks can also enhance performance, especially in conditions of thermal stress, and part of the mechanism underlying this effect may be the response to cold fluids in the mouth. There is also some, albeit not entirely consistent, evidence for effects of caffeine, quinine, menthol and acetic acid on performance or other relevant effects. This review summarises current knowledge of responses to mouth sensing of temperature, carbohydrate and other food components, with the goal of assisting athletes to implement practical strategies that make best use of its effects. It also examines the evidence that oral intake of other nutrients or characteristics associated with food/fluid intake during exercise can enhance performance via communication between the mouth/gut and the brain.</t>
  </si>
  <si>
    <t>https://search.ebscohost.com/login.aspx?direct=true&amp;db=mdc&amp;AN=25345670&amp;site=ehost-live</t>
  </si>
  <si>
    <t>The long-term effect of minimalist shoes on running performance and injury: design of a randomised controlled trial.</t>
  </si>
  <si>
    <t>e008307</t>
  </si>
  <si>
    <t>10.1136/bmjopen-2015-008307</t>
  </si>
  <si>
    <t>Australia; Running physiology; Shoes classification; Sports Medicine; Adolescent; Adult; Australia; Bone Density; Humans; Male; Muscle Strength; Pain; Research Design; Time; Young Adult</t>
  </si>
  <si>
    <t>Introduction: The outcome of the effects of transitioning to minimalist running shoes is a topic of interest for runners and scientists. However, few studies have investigated the longer term effects of running in minimalist shoes. The purpose of this randomised controlled trial (RCT) is to investigate the effects of a 26 week transition to minimalist shoes on running performance and injury risk in trained runners unaccustomed to minimalist footwear. Methods and Analysis: A randomised parallel intervention design will be used. Seventy-six trained male runners will be recruited. To be eligible, runners must be aged 18-40 years, run with a habitual rearfoot footfall pattern, train with conventional shoes and have no prior experience with minimalist shoes. Runners will complete a standardised transition to either minimalist or control shoes and undergo assessments at baseline, 6 and 26 weeks. 5 km time-trial performance (5TT), running economy, running biomechanics, triceps surae muscle strength and lower limb bone mineral density will be assessed at each time point. Pain and injury will be recorded weekly. Training will be standardised during the first 6 weeks. Primary statistical analysis will compare 5TT between shoe groups at the 6-week time point and injury incidence across the entire 26-week study period. Ethics and Dissemination: This RCT has been approved by the Human Research Ethics Committee of the University of South Australia. Participants will be required to provide their written informed consent prior to participation in the study. Study findings will be disseminated in the form of journal publications and conference presentations after completion of planned data analysis. Trial Registration Number: This RCT has been registered with the Australian New Zealand Clinical Trials Registry (ACTRN12613000642785). Published by the BMJ Publishing Group Limited. For permission to use (where not already granted under a licence) please go to http://group.bmj.com/group/rights-licensing/permissions.</t>
  </si>
  <si>
    <t>https://search.ebscohost.com/login.aspx?direct=true&amp;db=mdc&amp;AN=26297368&amp;site=ehost-live</t>
  </si>
  <si>
    <t>The reliability of an instrumented start block analysis system.</t>
  </si>
  <si>
    <t>10.1123/jab.2014-0155</t>
  </si>
  <si>
    <t>Swimming physiology; Athletic Performance physiology; Biomechanical Phenomena; Female; Humans; Male; Reproducibility of Results; Task Performance and Analysis</t>
  </si>
  <si>
    <t>The swimming start is highly influential to overall competition performance. Therefore, it is paramount to develop reliable methods to perform accurate biomechanical analysis of start performance for training and research. The Wetplate Analysis System is a custom-made force plate system developed by the Australian Institute of Sport--Aquatic Testing, Training and Research Unit (AIS ATTRU). This sophisticated system combines both force data and 2D digitization to measure a number of kinetic and kinematic parameter values in an attempt to evaluate start performance. Fourteen elite swimmers performed two maximal effort dives (performance was defined as time from start signal to 15 m) over two separate testing sessions. Intraclass correlation coefficients (ICC) were used to determine each parameter's reliability. The kinetic parameters all had ICC greater than 0.9 except the time of peak vertical force (0.742). This may have been due to variations in movement initiation after the starting signal between trials. The kinematic and time parameters also had ICC greater than 0.9 apart from for the time of maximum depth (0.719). This parameter was lower due to the swimmers varying their depth between trials. Based on the high ICC scores for all parameters, the Wetplate Analysis System is suitable for biomechanical analysis of swimming starts.</t>
  </si>
  <si>
    <t>https://search.ebscohost.com/login.aspx?direct=true&amp;db=mdc&amp;AN=25268512&amp;site=ehost-live</t>
  </si>
  <si>
    <t>The World Anti-Doping Code in sport: Update for 2015.</t>
  </si>
  <si>
    <t>10.18773/austprescr.2015.059</t>
  </si>
  <si>
    <t>Some athletes cheat by using drugs or medical methods such as transfusion to enhance their performance. However, this may put their health at risk. The World Anti-Doping Agency prohibits certain methods and drugs that may enhance performance, harm the athlete or violate the spirit of sport. Some may be banned only during competitions, but others are banned at all times. Prohibited substances include over-the-counter and prescription medicines. It is therefore important for athletes and health professionals to check what is permitted. There are many resources available through organisations such as the Australian Sports Anti-Doping Authority and the World Anti-Doping Agency.</t>
  </si>
  <si>
    <t>https://search.ebscohost.com/login.aspx?direct=true&amp;db=mdc&amp;AN=26648655&amp;site=ehost-live</t>
  </si>
  <si>
    <t>Timing of post-exercise carbohydrate ingestion: influence on IL-6 and hepcidin responses.</t>
  </si>
  <si>
    <t>10.1007/s00421-015-3202-0</t>
  </si>
  <si>
    <t>Dietary Carbohydrates pharmacology; Exercise; Hepcidins blood; Interleukin-6 blood; Adolescent; Adult; Dietary Carbohydrates administration &amp; dosage; Drug Administration Schedule; Eating; Humans; Iron blood; Male; Physical Endurance drug effects</t>
  </si>
  <si>
    <t>Purpose: Carbohydrate ingestion prior and during exercise attenuates exercise-induced interleukin-6. This investigation examined if an analogous effect was evident for interleukin-6 and hepcidin response when carbohydrates were ingested post-exercise. Methods: In a crossover design, 11 well-trained endurance athletes completed two experimental trials. Participants completed an 8 × 3 min interval running session at 85 % vVO2peak followed by 5 h of monitored recovery. During this period, participants were provided with two 1.2 g kg(-1) carbohydrate beverages at either an early feeding time (immediately post-exercise and 2 h post-exercise) or delayed feeding time (2 h post-exercise and 4 h post-exercise). Venous blood samples were collected pre-, immediately post-, 3 and 5 h post-exercise. Samples were analysed for Interleukin-6, serum iron, serum ferritin and hepcidin. Results: Interleukin-6 was significantly elevated (p = 0.004) immediately post-exercise compared to baseline for both trials. Hepcidin levels were significantly elevated at 3 h post-exercise (p = 0.001) and 5 h post-exercise (p = 0.002) compared to baseline levels in both trials, with no significant difference between the two conditions and any time point. Serum iron was significantly increased from baseline to immediately post-exercise (p = 0.001) for both trials, with levels decreasing by 3 h (p = 0.025) and 5 h post-exercise (p = 0.001). Serum ferritin levels increased immediately post-exercise compared to baseline (p = 0.006) in both conditions. Conclusions: The timing and ingestion of post-exercise carbohydrate ingestion do not appear to impact post-exercise interleukin-6 and hepcidin responses; this is likely a result of the interval running task inducing an inflammatory response and subsequent up-regulation of hepcidin.</t>
  </si>
  <si>
    <t>https://search.ebscohost.com/login.aspx?direct=true&amp;db=mdc&amp;AN=26084589&amp;site=ehost-live</t>
  </si>
  <si>
    <t>Training-related risk of common illnesses in elite swimmers over a 4-yr period.</t>
  </si>
  <si>
    <t>Hellard P; Avalos M; Guimaraes F; Toussaint JF; Pyne DB</t>
  </si>
  <si>
    <t>10.1249/MSS.0000000000000461</t>
  </si>
  <si>
    <t>Muscular Diseases diagnosis; Physical Education and Training methods; Respiratory Tract Infections diagnosis; Swimming physiology; Adolescent; Adult; Competitive Behavior physiology; Female; Humans; Longitudinal Studies; Male; Muscular Diseases prevention &amp; control; Plyometric Exercise; Prospective Studies; Resistance Training; Respiratory Tract Infections prevention &amp; control; Risk Factors; Seasons; Young Adult</t>
  </si>
  <si>
    <t>Purpose: The objective of this study is to investigate the relation between sport training and the risk of common illnesses: upper respiratory tract and pulmonary infections (URTPI), muscular affections (MA), and all-type pathologies in highly trained swimmers. Methods: Twenty-eight French professional swimmers were monitored weekly for 4 yr. Training variables included 1) in-water and dryland intensity levels: low-load, high-load, resistance, maximal strength, and general conditioning training (expressed as the percentage of the maximal load performed by each subject, at each intensity level over the study period); and 2) training periods: moderate, intensive, taper, competition, and postcompetition. Illnesses were diagnosed by a sports physician using a standardized questionnaire. Mixed-effects logistic regression analyses were used to model odds ratios for the association between common illnesses and training variables, adjusted for sport season, semiseason (summer or winter), age, competition level, sex, and history of recent events, whereas controlling for heterogeneity among swimmers. Results: The risk of common illnesses was significantly higher in winter months, for national swimmers (for URTPI), and in cases of history of recent event (notably for MA). The odds of URTPI increased 1.08 (95% CI, 1.01-1.16) and 1.10 (95% CI, 1.01-1.19) times for every 10% increase in resistance and high-load trainings, respectively. The odds of MA increased by 1.49 (95% CI, 1.14-1.96) and 1.63 (95% CI, 1.20-2.21) for each 10% increase in high load and general conditioning training, respectively. The odds of illnesses were 50%-70% significantly higher during intensive training periods. Conclusion: Particular attention must be paid to illness prevention strategies during periods of intensive training, particularly in the winter months or in case of the recent medical episode.</t>
  </si>
  <si>
    <t>https://search.ebscohost.com/login.aspx?direct=true&amp;db=mdc&amp;AN=25100341&amp;site=ehost-live</t>
  </si>
  <si>
    <t>Understanding sleep disturbance in athletes prior to important competitions.</t>
  </si>
  <si>
    <t>Juliff LE; Halson SL; Peiffer JJ</t>
  </si>
  <si>
    <t>10.1016/j.jsams.2014.02.007</t>
  </si>
  <si>
    <t>Anxiety psychology; Athletes psychology; Dyssomnias etiology; Sleep; Sports psychology; Adolescent; Adult; Cross-Sectional Studies; Female; Humans; Male; Sports classification; Sports physiology; Surveys and Questionnaires; Thinking; Young Adult</t>
  </si>
  <si>
    <t>Objectives: Anecdotally many athletes report worse sleep in the nights prior to important competitions. Despite sleep being acknowledged as an important factor for optimal athletic performance and overall health, little is understood about athlete sleep around competition. The aims of this study were to identify sleep complaints of athletes prior to competitions and determine whether complaints were confined to competition periods. Design: Cross-sectional study. Methods: A sample of 283 elite Australian athletes (129 male, 157 female, age 24±5 y) completed two questionnaires; Competitive Sport and Sleep questionnaire and the Pittsburgh Sleep Quality Index. Results: 64.0% of athletes indicated worse sleep on at least one occasion in the nights prior to an important competition over the past 12 months. The main sleep problem specified by athletes was problems falling asleep (82.1%) with the main reasons responsible for poor sleep indicated as thoughts about the competition (83.5%) and nervousness (43.8%). Overall 59.1% of team sport athletes reported having no strategy to overcome poor sleep compared with individual athletes (32.7%, p=0.002) who utilised relaxation and reading as strategies. Individual sport athletes had increased likelihood of poor sleep as they aged. The poor sleep reported by athletes prior to competition was situational rather than a global sleep problem. Conclusion: Poor sleep is common prior to major competitions in Australian athletes, yet most athletes are unaware of strategies to overcome the poor sleep experienced. It is essential coaches and scientists monitor and educate both individual and team sport athletes to facilitate sleep prior to important competitions. Copyright © 2014 Sports Medicine Australia. Published by Elsevier Ltd. All rights reserved.</t>
  </si>
  <si>
    <t>https://search.ebscohost.com/login.aspx?direct=true&amp;db=mdc&amp;AN=24629327&amp;site=ehost-live</t>
  </si>
  <si>
    <t>Using micro-sensor data to quantify macro kinematics of classical cross-country skiing during on-snow training.</t>
  </si>
  <si>
    <t>Marsland F; Mackintosh C; Anson J; Lyons K; Waddington G; Chapman DW</t>
  </si>
  <si>
    <t>10.1080/14763141.2015.1084033</t>
  </si>
  <si>
    <t>Accelerometry methods; Athletic Performance physiology; Biomechanical Phenomena physiology; Monitoring, Physiologic methods; Skiing physiology; Adolescent; Adult; Algorithms; Child; Female; Humans; Male; Snow; Young Adult</t>
  </si>
  <si>
    <t>Micro-sensors were used to quantify macro kinematics of classical cross-country skiing techniques and measure cycle rates and cycle lengths during on-snow training. Data were collected from seven national level participants skiing at two submaximal intensities while wearing a micro-sensor unit (MinimaxX™). Algorithms were developed identifying double poling (DP), diagonal striding (DS), kick-double poling (KDP), tucking (Tuck), and turning (Turn). Technique duration (T-time), cycle rates, and cycle counts were compared to video-derived data to assess system accuracy. There was good reliability between micro-sensor and video calculated cycle rates for DP, DS, and KDP, with small mean differences (Mdiff% = -0.2 ± 3.2, -1.5 ± 2.2 and -1.4 ± 6.2) and trivial to small effect sizes (ES = 0.20, 0.30 and 0.13). Very strong correlations were observed for DP, DS, and KDP for T-time (r = 0.87-0.99) and cycle count (r = 0.87-0.99), while mean values were under-reported by the micro-sensor. Incorrect Turn detection was a major factor in technique cycle misclassification. Data presented highlight the potential of automated ski technique classification in cross-country skiing research. With further refinement, this approach will allow many applied questions associated with pacing, fatigue, technique selection and power output during training and competition to be answered.</t>
  </si>
  <si>
    <t>https://search.ebscohost.com/login.aspx?direct=true&amp;db=mdc&amp;AN=26573098&amp;site=ehost-live</t>
  </si>
  <si>
    <t>Variations in jump height explain the between-sex difference in patellar tendon loading during landing.</t>
  </si>
  <si>
    <t>Janssen I; Brown NA; Munro BJ; Steele JR</t>
  </si>
  <si>
    <t>10.1111/sms.12172</t>
  </si>
  <si>
    <t>Patellar Ligament physiology; Sex Characteristics; Volleyball physiology; Adult; Biomechanical Phenomena; Female; Humans; Knee Joint physiology; Male; Range of Motion, Articular; Weight-Bearing; Young Adult</t>
  </si>
  <si>
    <t>Patellar tendinopathy is the most common overuse knee injury in volleyball, with men reporting more than twice the injury prevalence than women. Although high patellar tendon loading is thought to be a causative factor of patellar tendinopathy, it is unknown whether between-sex variations in landing technique account for differences in patellar tendon loading. It was hypothesized that male volleyball players would display differences in landing technique and would generate higher patellar tendon loading than their female counterparts. The landing technique and patellar tendon loading of 20 male and 20 female volleyball players performing a lateral stop-jump block movement were collected. Independent t-tests were used to identify any between-sex differences in landing technique with the data grouped to account for differences in jump height and in anthropometry. Male volleyball players were taller and heavier, landed from a higher height, displayed differences in landing kinematics, generated a significantly greater knee extensor moment, and experienced higher patellar tendon loading than female players when all 40 participants were compared. However, when participants were matched on jump height, they generated similar patellar tendon loading, irrespective of their sex. These results imply that jump height is a more important determinant of patellar tendon loading than sex. © 2014 John Wiley &amp; Sons A/S. Published by John Wiley &amp; Sons Ltd.</t>
  </si>
  <si>
    <t>https://search.ebscohost.com/login.aspx?direct=true&amp;db=mdc&amp;AN=24422682&amp;site=ehost-live</t>
  </si>
  <si>
    <t>Warm-Up Strategies for Sport and Exercise: Mechanisms and Applications.</t>
  </si>
  <si>
    <t>McGowan CJ; Pyne DB; Thompson KG; Rattray B</t>
  </si>
  <si>
    <t>10.1007/s40279-015-0376-x</t>
  </si>
  <si>
    <t>Athletic Performance physiology; Sports physiology; Warm-Up Exercise physiology; Warm-Up Exercise psychology; Adenosine Triphosphate metabolism; Athletic Performance psychology; Body Temperature; Energy Metabolism; Humans; Muscle Fibers, Skeletal physiology; Muscle, Skeletal metabolism; Oxygen Consumption; Sports psychology</t>
  </si>
  <si>
    <t>It is widely accepted that warming-up prior to exercise is vital for the attainment of optimum performance. Both passive and active warm-up can evoke temperature, metabolic, neural and psychology-related effects, including increased anaerobic metabolism, elevated oxygen uptake kinetics and post-activation potentiation. Passive warm-up can increase body temperature without depleting energy substrate stores, as occurs during the physical activity associated with active warm-up. While the use of passive warm-up alone is not commonplace, the idea of utilizing passive warming techniques to maintain elevated core and muscle temperature throughout the transition phase (the period between completion of the warm-up and the start of the event) is gaining in popularity. Active warm-up induces greater metabolic changes, leading to increased preparedness for a subsequent exercise task. Until recently, only modest scientific evidence was available supporting the effectiveness of pre-competition warm-ups, with early studies often containing relatively few participants and focusing mostly on physiological rather than performance-related changes. External issues faced by athletes pre-competition, including access to equipment and the length of the transition/marshalling phase, have also frequently been overlooked. Consequently, warm-up strategies have continued to develop largely on a trial-and-error basis, utilizing coach and athlete experiences rather than scientific evidence. However, over the past decade or so, new research has emerged, providing greater insight into how and why warm-up influences subsequent performance. This review identifies potential physiological mechanisms underpinning warm-ups and how they can affect subsequent exercise performance, and provides recommendations for warm-up strategy design for specific individual and team sports.</t>
  </si>
  <si>
    <t>https://search.ebscohost.com/login.aspx?direct=true&amp;db=mdc&amp;AN=26400696&amp;site=ehost-live</t>
  </si>
  <si>
    <t>When failure is not an option: creating excellence in sport through insights from Special Forces.</t>
  </si>
  <si>
    <t>Halson SL; Nichols JG</t>
  </si>
  <si>
    <t>10.1123/IJSPP.2015-0017</t>
  </si>
  <si>
    <t>Military Personnel psychology; Sports physiology; Sports psychology; Competitive Behavior; Humans; Stress, Psychological</t>
  </si>
  <si>
    <t>https://search.ebscohost.com/login.aspx?direct=true&amp;db=mdc&amp;AN=25695553&amp;site=ehost-live</t>
  </si>
  <si>
    <t>A biomechanical review of the techniques used to estimate or measure resistive forces in swimming.</t>
  </si>
  <si>
    <t>Sacilotto GB; Ball N; Mason BR</t>
  </si>
  <si>
    <t>10.1123/jab.2013-0046</t>
  </si>
  <si>
    <t>Body Surface Area; Exercise Test methods; Models, Biological; Physical Exertion physiology; Rheology methods; Swimming physiology; Water; Computer Simulation; Friction physiology; Humans; Shear Strength physiology; Viscosity</t>
  </si>
  <si>
    <t>Resistive or drag forces encountered during free swimming greatly influence the swim performance of elite competitive swimmers. The benefits in understanding the factors which affect the drag encountered will enhance performance within the sport. However, the current techniques used to experimentally measure or estimate drag values are questioned for their consistency, therefore limiting investigations in these factors. This paper aims to further understand how the resistive forces in swimming are measured and calculated. All techniques outlined demonstrate both strengths and weaknesses in the overall assessment of free swimming. By reviewing all techniques in this area, the reader should be able to select which one is best depending on what researchers want to gain from the testing.</t>
  </si>
  <si>
    <t>https://search.ebscohost.com/login.aspx?direct=true&amp;db=mdc&amp;AN=24676518&amp;site=ehost-live</t>
  </si>
  <si>
    <t>A quack heard around the world.</t>
  </si>
  <si>
    <t>10.5694/mja14.00300</t>
  </si>
  <si>
    <t>Sports Medicine trends; Humans</t>
  </si>
  <si>
    <t>https://search.ebscohost.com/login.aspx?direct=true&amp;db=mdc&amp;AN=24794606&amp;site=ehost-live</t>
  </si>
  <si>
    <t>Accuracy and reliability of GPS devices for measurement of sports-specific movement patterns related to cricket, tennis, and field-based team sports.</t>
  </si>
  <si>
    <t>Vickery WM; Dascombe BJ; Baker JD; Higham DG; Spratford WA; Duffield R</t>
  </si>
  <si>
    <t>10.1519/JSC.0000000000000285</t>
  </si>
  <si>
    <t>Geographic Information Systems; Movement physiology; Sports physiology; Adult; Humans; Male; Reproducibility of Results; Tennis physiology</t>
  </si>
  <si>
    <t>The aim of this study was to determine the accuracy and reliability of 5, 10, and 15 Hz global positioning system (GPS) devices. Two male subjects (mean ± SD; age, 25.5 ± 0.7 years; height, 1.75 ± 0.01 m; body mass, 74 ± 5.7 kg) completed 10 repetitions of drills replicating movements typical of tennis, cricket, and field-based (football) sports. All movements were completed wearing two 5 and 10 Hz MinimaxX and 2 GPS-Sports 15 Hz GPS devices in a specially designed harness. Criterion movement data for distance and speed were provided from a 22-camera VICON system sampling at 100 Hz. Accuracy was determined using 1-way analysis of variance with Tukey's post hoc tests. Interunit reliability was determined using intraclass correlation (ICC), and typical error was estimated as coefficient of variation (CV). Overall, for the majority of distance and speed measures, as measured using the 5, 10, and 15 Hz GPS devices, were not significantly different (p &gt; 0.05) to the VICON data. Additionally, no improvements in the accuracy or reliability of GPS devices were observed with an increase in the sampling rate. However, the CV for the 5 and 15 Hz devices for distance and speed measures ranged between 3 and 33%, with increasing variability evident in higher speed zones. The majority of ICC measures possessed a low level of interunit reliability (r = -0.35 to 0.39). Based on these results, practitioners of these devices should be aware that measurements of distance and speed may be consistently underestimated, regardless of the movements performed.</t>
  </si>
  <si>
    <t>https://search.ebscohost.com/login.aspx?direct=true&amp;db=mdc&amp;AN=24149747&amp;site=ehost-live</t>
  </si>
  <si>
    <t>Acquisition of expertise in cricket fast bowling: perceptions of expert players and coaches.</t>
  </si>
  <si>
    <t>Phillips E; Davids K; Renshaw I; Portus M</t>
  </si>
  <si>
    <t>10.1016/j.jsams.2013.03.005</t>
  </si>
  <si>
    <t>Athletic Performance psychology; Sports psychology; Cohort Studies; Humans; Male; Professional Competence; Sports standards</t>
  </si>
  <si>
    <t>Objectives: Experiential knowledge of elite athletes and coaches was investigated to reveal insights on expertise acquisition in cricket fast bowling. Design: Twenty-one past or present elite cricket fast bowlers and coaches of national or international level were interviewed using an in-depth, open-ended, semi-structured approach. Methods: Participants were asked about specific factors which they believed were markers of fast bowling expertise potential. Of specific interest was the relative importance of each potential component of fast bowling expertise and how components interacted or developed over time. Results: The importance of intrinsic motivation early in development was highlighted, along with physical, psychological and technical attributes. Results supported a multiplicative and interactive complex systems model of talent development in fast bowling, in which component weightings were varied due to individual differences in potential experts. Dropout rates in potential experts were attributed to misconceived current talent identification programmes and coaching practices, early maturation and physical attributes, injuries and lack of key psychological attributes and skills. Conclusions: Data are consistent with a dynamical systems model of expertise acquisition in fast bowling, with numerous trajectories available for talent development. Further work is needed to relate experiential and theoretical knowledge on expertise in other sports. Copyright © 2013 Sports Medicine Australia. Published by Elsevier Ltd. All rights reserved.</t>
  </si>
  <si>
    <t>https://search.ebscohost.com/login.aspx?direct=true&amp;db=mdc&amp;AN=23619161&amp;site=ehost-live</t>
  </si>
  <si>
    <t>Alcohol ingestion impairs maximal post-exercise rates of myofibrillar protein synthesis following a single bout of concurrent training.</t>
  </si>
  <si>
    <t>Parr EB; Camera DM; Areta JL; Burke LM; Phillips SM; Hawley JA; Coffey VG</t>
  </si>
  <si>
    <t>e88384</t>
  </si>
  <si>
    <t>10.1371/journal.pone.0088384</t>
  </si>
  <si>
    <t>Alcohol Drinking; Muscle Proteins biosynthesis; Resistance Training; Adult; Biopsy; Blood Glucose analysis; Cross-Over Studies; Diet; Dietary Carbohydrates; Dietary Proteins; Humans; Male; Muscle, Skeletal metabolism; Oxygen Consumption; Rest; Signal Transduction; Young Adult</t>
  </si>
  <si>
    <t>Introduction: The culture in many team sports involves consumption of large amounts of alcohol after training/competition. The effect of such a practice on recovery processes underlying protein turnover in human skeletal muscle are unknown. We determined the effect of alcohol intake on rates of myofibrillar protein synthesis (MPS) following strenuous exercise with carbohydrate (CHO) or protein ingestion. Methods: In a randomized cross-over design, 8 physically active males completed three experimental trials comprising resistance exercise (8×5 reps leg extension, 80% 1 repetition maximum) followed by continuous (30 min, 63% peak power output (PPO)) and high intensity interval (10×30 s, 110% PPO) cycling. Immediately, and 4 h post-exercise, subjects consumed either 500 mL of whey protein (25 g; PRO), alcohol (1.5 g·kg body mass⁻¹), 12±2 standard drinks) co-ingested with protein (ALC-PRO), or an energy-matched quantity of carbohydrate also with alcohol (25 g maltodextrin; ALC-CHO). Subjects also consumed a CHO meal (1.5 g CHO·kg body mass⁻¹) 2 h post-exercise. Muscle biopsies were taken at rest, 2 and 8 h post-exercise. Results: Blood alcohol concentration was elevated above baseline with ALC-CHO and ALC-PRO throughout recovery (P&lt;0.05). Phosphorylation of mTOR(Ser2448) 2 h after exercise was higher with PRO compared to ALC-PRO and ALC-CHO (P&lt;0.05), while p70S6K phosphorylation was higher 2 h post-exercise with ALC-PRO and PRO compared to ALC-CHO (P&lt;0.05). Rates of MPS increased above rest for all conditions (∼29-109%, P&lt;0.05). However, compared to PRO, there was a hierarchical reduction in MPS with ALC-PRO (24%, P&lt;0.05) and with ALC-CHO (37%, P&lt;0.05). Conclusion: We provide novel data demonstrating that alcohol consumption reduces rates of MPS following a bout of concurrent exercise, even when co-ingested with protein. We conclude that alcohol ingestion suppresses the anabolic response in skeletal muscle and may therefore impair recovery and adaptation to training and/or subsequent performance.</t>
  </si>
  <si>
    <t>https://search.ebscohost.com/login.aspx?direct=true&amp;db=mdc&amp;AN=24533082&amp;site=ehost-live</t>
  </si>
  <si>
    <t>Alterations to landing technique and patellar tendon loading in response to fatigue.</t>
  </si>
  <si>
    <t>Edwards S; Steele JR; Purdam CR; Cook JL; McGhee DE</t>
  </si>
  <si>
    <t>10.1249/MSS.0b013e3182a42e8e</t>
  </si>
  <si>
    <t>Movement physiology; Muscle Fatigue physiology; Muscle, Skeletal physiology; Patellar Ligament physiology; Weight-Bearing physiology; Adult; Biomechanical Phenomena; Electromyography; Exercise Test; Humans; Lower Extremity physiology; Male; Muscle Contraction; Young Adult</t>
  </si>
  <si>
    <t>Purpose: Fatigue may contribute to knee joint injuries, such as patellar tendinopathy, by increasing joint loading and altering lower limb landing technique, which in turn may increase tissue loading. This study aimed to investigate the effect of lower limb muscle fatigue on the landing technique and patellar tendon loads generated during the horizontal and vertical landing phases of a stop-jump task. It was hypothesized that muscle fatigue would increase patellar tendon loading and alter the landing technique displayed during the horizontal, but not the vertical, landing phase of the stop-jump task. Methods: Sixteen men, recruited from team sports involving repetitive landing, performed repeated trials of a stop-jump task. During each trial, the participants' ground reaction forces and electromyographic activity of seven lower limb muscles were recorded, three-dimensional kinematics measured, and peak patellar tendon force (FPT) calculated. Results: When fatigued, participants generated a significantly lower FPT and FPT loading rate, despite a higher vertical ground reaction force (FV) and FV loading rate, during the horizontal landing phase of the stop-jump task. During the vertical landing phase, participants displayed only minor changes to the kinetics and kinematics of their landing in response to fatigue, although fatigue caused substantial alterations to their lower limb muscle activation patterns during landing. Conclusions: During the horizontal landing phase of the stop-jump task, participants decreased their patellar tendon load when they were fatigued by altering their lower limb landing technique, including a reduced net knee joint extension moment associated with less knee and hip flexion. This decrease in patellar tendon loading when fatigued may be an inherent protective strategy to potentially decrease loading of the tendon during repetitive landing.</t>
  </si>
  <si>
    <t>https://search.ebscohost.com/login.aspx?direct=true&amp;db=mdc&amp;AN=23852266&amp;site=ehost-live</t>
  </si>
  <si>
    <t>Assessing the variation in the load that produces maximal upper-body power.</t>
  </si>
  <si>
    <t>Argus CK; Gill ND; Keogh JW; Hopkins WG</t>
  </si>
  <si>
    <t>10.1519/JSC.0b013e318295d1c9</t>
  </si>
  <si>
    <t>Arm anatomy &amp; histology; Forearm anatomy &amp; histology; Muscle Strength physiology; Weight-Bearing physiology; Adult; Arm physiology; Football physiology; Forearm physiology; Humans; Muscle, Skeletal physiology; Weight Lifting physiology; Young Adult</t>
  </si>
  <si>
    <t>Substantial variation in the load that produces maximal power has been reported. It has been suggested that the variation observed may be due to differences in subjects' physical characteristics. Therefore, the aim of this study was to determine the extent in which anthropometric measures correlate with the load that produces maximal power. Anthropometric measures (upper-arm length, forearm length, total arm length, and upper-arm girth) and bench press strength were assessed in 26 professional rugby union players. Peak power was then determined in the bench press throw exercise using loads of 20-60% of one repetition maximum (1RM) in the bench press exercise. Maximal power occurred at 30 ± 14% 1RM (mean ± SD). Upper-arm length had the highest correlation with the load maximizing power: -0.61 (90% confidence limits -0.35 to -0.78), implying loads of 22 vs. 38% 1RM maximize power for players with typically long vs. short upper-arm length. Correlations for forearm length, total arm length, and upper-arm girth to the load that maximized power were -0.29 (0.04 to -0.57), -0.56 (-0.28 to -0.75), and -0.29 (0.04 to -0.57), respectively. The relationship between 1RM and the load that produced maximal power was r = -0.23 (0.10 to -0.52). The between-subject variation in the load that maximized power observed (SD = ±14% of 1RM) may have been due to differences in anthropometric characteristics, and absolute strength and power outputs. Indeed, athletes with longer limbs and larger girths and greater maximal strength and power outputs used a lower percentage of 1RM loads to achieve maximum power. Therefore, we recommend individual assessment of the load that maximizes power output.</t>
  </si>
  <si>
    <t>https://search.ebscohost.com/login.aspx?direct=true&amp;db=mdc&amp;AN=23591943&amp;site=ehost-live</t>
  </si>
  <si>
    <t>Body mass management of lightweight rowers: nutritional strategies and performance implications.</t>
  </si>
  <si>
    <t>Slater G; Rice A; Jenkins D; Hahn A</t>
  </si>
  <si>
    <t>10.1136/bjsports-2014-093918</t>
  </si>
  <si>
    <t>Athletic Performance physiology; Naval Medicine; Sports physiology; Weight Loss physiology; Dietary Carbohydrates administration &amp; dosage; Energy Intake physiology; Energy Metabolism physiology; Female; Fluid Therapy methods; Humans; Male; Physical Conditioning, Human physiology; Sodium, Dietary administration &amp; dosage</t>
  </si>
  <si>
    <t>The majority of lightweight rowers undertake acute weight loss prior to competition. Given the competitive advantage afforded to larger, more muscular rowers over their smaller counterparts, the use of moderate, acute weight loss may be justified, at least among larger, leaner athletes who struggle to achieve the specified body mass requirement and have limited potential for further body mass loss via reductions in body fat. The performance implications of moderate acute weight loss appear to be small on the ergometer and may be even less on water, at least when aggressive recovery strategies are adopted between weigh-in and racing. Furthermore, any performance implications of acute weight loss are not exacerbated when such weight loss is undertaken repeatedly throughout the course of a regatta, and may even be eliminated when aggressive recovery strategies are introduced before and after racing. The combination of adequate sodium, fluid and carbohydrate in line with current guidelines results in the best performances. While the performance implications of modest acute weight loss may still need to be considered in regard to competition outcome, chronic body mass strategies may not be without performance implications. This is especially the case for athletes who have very low levels of body fat and/or athletes who decrease their body mass too quickly. Further studies are needed to address the degree of weight loss that can be tolerated with minimal health and/or performance implications, and the optimal time frame over which this should occur. Possible adaptation to the physiological state that accompanies acute weight loss also warrants investigation. Published by the BMJ Publishing Group Limited. For permission to use (where not already granted under a licence) please go to http://group.bmj.com/group/rights-licensing/permissions.</t>
  </si>
  <si>
    <t>https://search.ebscohost.com/login.aspx?direct=true&amp;db=mdc&amp;AN=25185587&amp;site=ehost-live</t>
  </si>
  <si>
    <t>Changes in muscle coordination and power output during sprint cycling.</t>
  </si>
  <si>
    <t>O'Bryan SJ; Brown NA; Billaut F; Rouffet DM</t>
  </si>
  <si>
    <t>Neuroscience letters</t>
  </si>
  <si>
    <t>10.1016/j.neulet.2014.05.023</t>
  </si>
  <si>
    <t>Elsevier Scientific Publishers Ireland</t>
  </si>
  <si>
    <t>Bicycling physiology; Muscle, Skeletal physiology; Physical Exertion physiology; Adult; Electromyography; Humans; Leg physiology; Male; Time Factors; Young Adult</t>
  </si>
  <si>
    <t>This study investigated the changes in muscle coordination associated to power output decrease during a 30-s isokinetic (120rpm) cycling sprint. Modifications in EMG amplitude and onset/offset were investigated from eight muscles [gluteus maximus (EMGGMAX), vastus lateralis and medialis obliquus (EMGVAS), medial and lateral gastrocnemius (EMGGAS), rectus femoris (EMGRF), biceps femoris and semitendinosus (EMGHAM)]. Changes in co-activation of four muscle pairs (CAIGMAX/GAS, CAIVAS/GAS, CAIVAS/HAM and CAIGMAX/RF) were also calculated. Substantial power reduction (60±6%) was accompanied by a decrease in EMG amplitude for all muscles other than HAM, with the greatest deficit identified for EMGRF (31±16%) and EMGGAS (20±14%). GASonset, HAMonset and GMAXonset shifted later in the pedalling cycle and the EMG offsets of all muscles (except GASoffset) shifted earlier as the sprint progressed (P&lt;0.05). At the end of the sprint, CAIVAS/GAS and CAIGMAX/GAS were reduced by 48±10% and 43±12%, respectively. Our results show that substantial power reduction during fatiguing sprint cycling is accompanied by marked reductions in the EMG activity of bi-articular GAS and RF and co-activation level between GAS and main power producer muscles (GMAX and VAS). The observed changes in RF and GAS EMG activity are likely to result in a redistribution of the joint powers and alterations in the orientation of the pedal forces. Copyright © 2014 Elsevier Ireland Ltd. All rights reserved.</t>
  </si>
  <si>
    <t>https://search.ebscohost.com/login.aspx?direct=true&amp;db=mdc&amp;AN=24861507&amp;site=ehost-live</t>
  </si>
  <si>
    <t>Chronic ankle instability affects learning rate during repeated proprioception testing.</t>
  </si>
  <si>
    <t>Witchalls JB; Waddington G; Adams R; Blanch P</t>
  </si>
  <si>
    <t>10.1016/j.ptsp.2013.04.002</t>
  </si>
  <si>
    <t>Ankle Joint physiopathology; Joint Instability physiopathology; Learning; Proprioception physiology; Psychometrics methods; Range of Motion, Articular physiology; Adult; Chronic Disease; Female; Follow-Up Studies; Humans; Joint Instability psychology; Male; Postural Balance; Prognosis; Reproducibility of Results; Young Adult</t>
  </si>
  <si>
    <t>Objectives: 1. To determine whether individuals with chronic ankle instability (CAI) have lower proprioception sensitivity scores from a test on the Active Movement Extent Discrimination Apparatus (AMEDA). 2. To determine whether individuals with CAI can improve proprioception sensitivity scores with repeated active movement testing using the AMEDA. 3. To assess the test-retest reliability of the AMEDA. Design: A cohort study comparing those with CAI or healthy ankles. Setting: University clinical laboratory. Participants: 61 healthy university students, 36 with CAI, 25 with stable ankles. Main Outcome Measures: A 2-way ANOVA was conducted to compare performance of CAI and stable ankle groups, over 3 test repetitions on the AMEDA. The reliability intra-class correlation coefficient (ICC) was obtained for test repetitions. Results: The scores improved in both groups when the AMEDA test was repeated (p = &lt;0.001). The rates of improvement in proprioception test scores differed, with the CAI group showing a slower learning rate than the stable ankle group (p = 0.047). The ICC for the whole group across the three trials was 0.80 (95% CI = 0.69 to 0.87, p = &lt;0.001). Conclusions: CAI participants improve their proprioception scores more slowly upon repeated AMEDA testing, suggesting differences in learning strategies. Copyright © 2013 Elsevier Ltd. All rights reserved.</t>
  </si>
  <si>
    <t>https://search.ebscohost.com/login.aspx?direct=true&amp;db=mdc&amp;AN=23954386&amp;site=ehost-live</t>
  </si>
  <si>
    <t>Comparison of frequency of significant electrocardiographic abnormalities in endurance versus nonendurance athletes.</t>
  </si>
  <si>
    <t>Brosnan M; La Gerche A; Kalman J; Lo W; Fallon K; MacIsaac A; Prior DL</t>
  </si>
  <si>
    <t>The American journal of cardiology</t>
  </si>
  <si>
    <t>10.1016/j.amjcard.2014.01.438</t>
  </si>
  <si>
    <t>Excerpta Medica</t>
  </si>
  <si>
    <t>Athletes; Electrocardiography; Physical Endurance; Adolescent; Adult; Female; Humans; Male</t>
  </si>
  <si>
    <t>Most data assessing the accuracy of electrocardiographic (ECG) screening in identifying cardiac pathology in athletes are derived from relatively unselected cohorts of subjects involved in competitive sports. We hypothesized that the prevalence of ECG abnormalities may be greater in athletes performing the greatest combination of exercise intensity and duration, namely professional endurance athletes. A total of 1,007 male and 254 female elite adult athletes underwent cardiovascular screening inclusive of an electrocardiogram, interpreted using the 2010 European Society of Cardiology guidelines. Training-related ECG changes (group 1) were more common in endurance athletes (EAs) than nonendurance athletes (NEAs; 90.8% vs 86.0%, p = 0.04), as were multiple (≥2) training-related changes (78.9% vs 53.5%, p &lt;0.0001). Group 2 ECG changes (previously considered uncommon and training unrelated) were seen in 18.1% of subjects and were twice as prevalent in EAs compared with NEAs (29.9% vs 15.1%, p &lt;0.0001). Right ventricular hypertrophy (4.4% EAs vs 1.5% NEAs, p &lt;0.005) and deep right precordial T-wave inversion (14.3% EAs vs 4.7% NEAs, p &lt;0.0001) were 3 times as common in EAs. Both group 1 and group 2 changes were similarly prevalent among elite male and female athletes and were more common in EAs regardless of gender. In conclusion, ECG abnormalities are very common in elite athletes and are more common in EAs than NEAs. Right ventricular hypertrophy and deep right precordial T-wave inversion are particularly common in EAs, possibly because of increased structural and/or electrical right ventricular remodeling in this subgroup. The predictive value of ECG screening and criteria for abnormal findings in elite EAs requires specific appraisal. Copyright © 2014 Elsevier Inc. All rights reserved.</t>
  </si>
  <si>
    <t>https://search.ebscohost.com/login.aspx?direct=true&amp;db=mdc&amp;AN=24641963&amp;site=ehost-live</t>
  </si>
  <si>
    <t>Critical velocity as a measure of aerobic fitness in women's rugby sevens.</t>
  </si>
  <si>
    <t>Clarke AC; Presland J; Rattray B; Pyne DB</t>
  </si>
  <si>
    <t>10.1016/j.jsams.2013.03.008</t>
  </si>
  <si>
    <t>Football physiology; Physical Fitness physiology; Running physiology; Adult; Cohort Studies; Cross-Sectional Studies; Female; Humans; Young Adult</t>
  </si>
  <si>
    <t>Objectives: To compare a field-based critical velocity running test to routine laboratory (treadmill VO₂ max test) and field-based (Yo-Yo intermittent recovery test, Yo-Yo IR1) aerobic fitness tests in women's rugby sevens (7's) players. To quantify the degree of association between field-based fitness test scores and GPS-derived analysis of performance data in competition. Design: Single cohort, cross-sectional study involving 22 female Australian Rugby 7's National team players. Methods: Players underwent fitness testing comparing the critical velocity test (100 m, 400 m, 1500 m runs) to the Yo-Yo IR1 and a treadmill VO₂ max test. GPS data was obtained during the National Championships using a subgroup of 12 players and compared with each player's fitness test scores. Results: The critical velocity test was highly correlated with the Yo-Yo IR1 test (r=0.86, 0.69-0.94; 90% confidence interval) and all variables of the VO₂ max test, however mean values were substantially different between tests (Yo-Yo IR1: 4.3 ± 0.1 ms(-1), vVO₂ max: 3.7 ± 0.3 ms(-1), critical velocity: 3.2 ± 0.3 ms(-1)). Average speed, obtained from GPS data, was largely correlated with both the Yo-Yo IR1 (r=0.62, 0.10-0.87) and critical velocity (r=0.51, -0.06-0.83) tests. Total game distance correlated moderately with the Yo-Yo IR1 (r=0.49, -0.09-0.82) and critical velocity (r=0.36, -0.25-0.76). Conclusions: The critical velocity test is an appropriate aerobic fitness test, yields results similar to the Yo-Yo IR1, and correlates moderately with rugby 7's game data. However the Yo-Yo IR1 and critical velocity test scores cannot be used interchangeably. Copyright © 2013 Sports Medicine Australia. Published by Elsevier Ltd. All rights reserved.</t>
  </si>
  <si>
    <t>https://search.ebscohost.com/login.aspx?direct=true&amp;db=mdc&amp;AN=23608044&amp;site=ehost-live</t>
  </si>
  <si>
    <t>Dairy-based preexercise meal does not affect gut comfort or time-trial performance in female cyclists.</t>
  </si>
  <si>
    <t>Haakonssen EC; Ross ML; Cato LE; Nana A; Knight EJ; Jenkins DG; Martin DT; Burke LM</t>
  </si>
  <si>
    <t>10.1123/ijsnem.2014-0069</t>
  </si>
  <si>
    <t>Abdominal Pain etiology; Bicycling; Dairy Products adverse effects; Diet; Exercise; Meals; Physical Endurance; Adult; Female; Humans; Physical Exertion; Surveys and Questionnaires; Taste; Young Adult</t>
  </si>
  <si>
    <t>Some athletes avoid dairy in the meal consumed before exercise due to fears about gastrointestinal discomfort. Regular exclusion of dairy foods may unnecessarily reduce intake of high quality proteins and calcium with possible implications for body composition and bone health. This study compared the effects of meals that included (Dairy) or excluded (Control) dairy foods on gastric comfort and subsequent cycling performance. Well-trained female cyclists (n = 32; mean ± SD; 24.3 ± 4.1 y; VO(2peak) 57.1 ± 4.9 ml/kg/min) completed two trials (randomized cross-over design) in which they consumed a meal (2 g/kg carbohydrate and 54 kJ/kg) 2 hr before a 90-min cycle session (80 min at 60% maximal aerobic power followed by a 10-min time trial; TT). The dairy meal contained 3 servings of dairy foods providing ~1350 mg calcium. Gut comfort and palatability were measured using questionnaires. Performance was measured as maximum mean power during the TT (MMP10(min)). There was no statistical or clinical evidence of an effect of meal type on MMP10(min) with a mean difference (Dairy - Control) of 4 W (95% CI [-2, 9]). There was no evidence of an association between pretrial gut comfort and meal type (p = .15) or between gut comfort delta scores and meal type postmeal (p = .31), preexercise (p = .17) or postexercise (p = .80). There was no statistical or clinical evidence of a difference in palatability between meal types. In summary, substantial amounts of dairy foods can be included in meals consumed before strenuous cycling without impairing either gut comfort or performance.</t>
  </si>
  <si>
    <t>https://search.ebscohost.com/login.aspx?direct=true&amp;db=mdc&amp;AN=25029702&amp;site=ehost-live</t>
  </si>
  <si>
    <t>Development and implementation of a novel measure for quantifying training loads in rowing: the T2minute method.</t>
  </si>
  <si>
    <t>Tran J; Rice AJ; Main LC; Gastin PB</t>
  </si>
  <si>
    <t>10.1519/JSC.0000000000000248</t>
  </si>
  <si>
    <t>Australia; Acceleration; Athletic Performance physiology; Physical Education and Training methods; Sports physiology; Adult; Australia; Female; Humans; Male; Middle Aged; Monitoring, Physiologic; Physical Endurance physiology; Ships; Sports Medicine standards; Time Factors; Young Adult</t>
  </si>
  <si>
    <t>The systematic management of training requires accurate training load measurement. However, quantifying the training of elite Australian rowers is challenging because of (a) the multicenter, multistate structure of the national program; (b) the variety of training undertaken; and (c) the limitations of existing methods for quantifying the loads accumulated from varied training formats. Therefore, the purpose of this project was to develop a new measure for quantifying training loads in rowing (the T2minute method). Sport scientists and senior coaches at the National Rowing Center of Excellence collaborated to develop the measure, which incorporates training duration, intensity, and mode to quantify a single index of training load. To account for training at different intensities, the method uses standardized intensity zones (T zones) established at the Australian Institute of Sport. Each zone was assigned a weighting factor according to the curvilinear relationship between power output and blood lactate response. Each training mode was assigned a weighting factor based on whether coaches perceived it to be "harder" or "easier" than on-water rowing. A common measurement unit, the T2minute, was defined to normalize sessions in different modes to a single index of load; one T2minute is equivalent to 1 minute of on-water single scull rowing at T2 intensity (approximately 60-72% VO2max). The T2minute method was successfully implemented to support national training strategies in Australian high performance rowing. By incorporating duration, intensity, and mode, the T2minute method extends the concepts that underpin current load measures, providing 1 consistent system to quantify loads from varied training formats.</t>
  </si>
  <si>
    <t>https://search.ebscohost.com/login.aspx?direct=true&amp;db=mdc&amp;AN=24077376&amp;site=ehost-live</t>
  </si>
  <si>
    <t>Distribution of fat, non-osseous lean and bone mineral mass in international Rugby Union and Rugby Sevens players.</t>
  </si>
  <si>
    <t>Higham DG; Pyne DB; Anson JM; Dziedzic CE; Slater GJ</t>
  </si>
  <si>
    <t>10.1055/s-0033-1355419</t>
  </si>
  <si>
    <t>Australia; Adiposity; Bone Density; Soccer physiology; Absorptiometry, Photon; Adult; Australia; Competitive Behavior physiology; Cross-Sectional Studies; Humans; Male; Young Adult</t>
  </si>
  <si>
    <t>Differences in the body composition of international Rugby Union and Rugby Sevens players, and between players of different positions are poorly understood. The purpose of this study was to examine differences in the quantity and regional distribution of fat, non-osseous lean and bone mineral mass between playing units in Rugby Union and Rugby Sevens. Male Rugby Union (n=21 forwards, 17 backs) and Rugby Sevens (n=11 forwards, 16 backs) players from the Australian national squads were measured using dual-energy X-ray absorptiometry. The digital image of each player was partitioned into anatomical regions including the arms, legs, trunk, and android and gynoid regions. Compared with backs, forwards in each squad were heavier and exhibited higher absolute regional fat (Union 43-67%; ±~17%, range of % differences; ±~95% confidence limits (CL); Sevens 20-26%; ±~29%), non-osseous lean (Union 14-22%; ±~5.8%; Sevens 6.9-8.4%; ±~6.6%) and bone mineral (Union 12-26%; ±~7.2%; Sevens 5.0-11%; ±~7.2%) mass. When tissue mass was expressed relative to regional mass, differences between Rugby Sevens forwards and backs were mostly unclear. Rugby Union forwards had higher relative fat mass (1.7-4.7%; ±~1.9%, range of differences; ±~95% CL) and lower relative non-osseous lean mass (-4.2 to -1.8%; ±~1.8%) than backs in all body regions. Competing in Rugby Union or Rugby Sevens characterized the distribution of fat and non-osseous lean mass to a greater extent than a player's positional group, whereas the distribution of bone mineral mass was associated more with a player's position. Differences in the quantity and distribution of tissues appear to be related to positional roles and specific demands of competition in Rugby Union and Rugby Sevens. © Georg Thieme Verlag KG Stuttgart · New York.</t>
  </si>
  <si>
    <t>https://search.ebscohost.com/login.aspx?direct=true&amp;db=mdc&amp;AN=24408768&amp;site=ehost-live</t>
  </si>
  <si>
    <t>Does hydrotherapy help or hinder adaptation to training in competitive cyclists?</t>
  </si>
  <si>
    <t>Halson SL; Bartram J; West N; Stephens J; Argus CK; Driller MW; Sargent C; Lastella M; Hopkins WG; Martin DT</t>
  </si>
  <si>
    <t>10.1249/MSS.0000000000000268</t>
  </si>
  <si>
    <t>Adaptation, Physiological; Athletic Performance physiology; Bicycling physiology; Hydrotherapy; Physical Education and Training methods; Adult; Competitive Behavior physiology; Cross-Sectional Studies; Exercise Test; Humans; Male; Sleep physiology; Young Adult</t>
  </si>
  <si>
    <t>Purpose: Cold water immersion (CWI) may be beneficial for acute recovery from exercise, but it may impair long-term performance by attenuating the stimuli responsible for adaptation to training. We compared effects of CWI and passive rest on cycling performance during a simulated cycling grand tour. Methods: Thirty-four male endurance-trained competitive cyclists were randomized to CWI for four times per week for 15 min at 15°C or control (passive recovery) groups for 7 d of baseline training, 21 d of intensified training, and an 11-d taper. Criteria for completion of training and testing were satisfied by 10 cyclists in the CWI group (maximal aerobic power, 5.13 ± 0.21 W·kg; mean ± SD) and 11 in the control group (5.01 ± 0.41 W·kg). Each week, cyclists completed a high-intensity interval cycling test and two 4-min bouts separated by 30 min. CWI was performed four times per week for 15 min at 15°C. Results: Between baseline and taper, cyclists in the CWI group had an unclear change in overall 4-min power relative to control (2.7% ± 5.7%), although mean power in the second effort relative to the first was likely higher for the CWI group relative to control (3.0% ± 3.8%). The change in 1-s maximum mean sprint power in the CWI group was likely beneficial compared with control (4.4% ± 4.2%). Differences between groups for the 10-min time trial were unclear (-0.4% ± 4.3%). Conclusion: Although some effects of CWI on performance were unclear, data from this study do not support recent speculation that CWI is detrimental to performance after increased training load in competitive cyclists.</t>
  </si>
  <si>
    <t>https://search.ebscohost.com/login.aspx?direct=true&amp;db=mdc&amp;AN=24504431&amp;site=ehost-live</t>
  </si>
  <si>
    <t>Dry-land Bilateral Hand-force Production and Swimming Performance in Paralympic Swimmers.</t>
  </si>
  <si>
    <t>Dingley AA; Pyne D; Burkett B</t>
  </si>
  <si>
    <t>e4</t>
  </si>
  <si>
    <t>10.1055/s-0034-1384590</t>
  </si>
  <si>
    <t>Competing Interests: Disclosure The authors report no conflicts of interest in this work.</t>
  </si>
  <si>
    <t>https://search.ebscohost.com/login.aspx?direct=true&amp;db=mdc&amp;AN=25009964&amp;site=ehost-live</t>
  </si>
  <si>
    <t>Dry-land bilateral hand-force production and swimming performance in paralympic swimmers.</t>
  </si>
  <si>
    <t>10.1055/s-0033-1364023</t>
  </si>
  <si>
    <t>Hand physiology; Sports for Persons with Disabilities physiology; Swimming physiology; Adult; Anthropometry; Cross-Sectional Studies; Exercise Test; Fatigue physiopathology; Functional Laterality physiology; Humans; Movement; Muscle Strength physiology; Young Adult</t>
  </si>
  <si>
    <t>The effectiveness of human movement is the culmination of several musculoskeletal factors; asymmetry in movement could reduce optimal performance. The aims of this study were to quantify relationships between bilateral hand-force production, swimming performance, and the influence of fatigue. Paralympic swimmers (n=21, aged 20.9 ± 4.7 yr) were categorised into no, high- and low-range physical disability groups and performed two 100 m time trials to measure swimming performance. Bilateral hand-force was measured over two 60 s maximal tests on a swim-bench ergometer to quantify the degree of asymmetry. Large relationships between mean force and swimming velocity were seen for both the high- (r=0.62, ±0.45; r-value, ±90% confidence limits) and low-range (r=0.62, ±0.50) groups. Asymmetry was related to level of disability, with the smallest difference of 6.7, ±2.6 N in the no-musculoskeletal disability group. This difference increased to 13.1, ±10.0 N and 13.5, ±16.2 N in the high- and low-range groups. Between the first and last 15 s of the swim-bench test, reductions in mean force were small for the physical disabilities groups. Similarly, changes in asymmetry were small for both the no-physical and low-range groups. Paralympic swimmers with a more severe physical impairment typically generate substantially lower force and velocity. © Georg Thieme Verlag KG Stuttgart · New York.</t>
  </si>
  <si>
    <t>https://search.ebscohost.com/login.aspx?direct=true&amp;db=mdc&amp;AN=24892653&amp;site=ehost-live</t>
  </si>
  <si>
    <t>Effects of probiotic supplementation over 5 months on routine haematology and clinical chemistry measures in healthy active adults.</t>
  </si>
  <si>
    <t>Cox AJ; West NP; Horn PL; Lehtinen MJ; Koerbin G; Pyne DB; Lahtinen SJ; Fricker PA; Cripps AW</t>
  </si>
  <si>
    <t>European journal of clinical nutrition</t>
  </si>
  <si>
    <t>10.1038/ejcn.2014.137</t>
  </si>
  <si>
    <t>Dietary Supplements; Hematology methods; Probiotics administration &amp; dosage; Adolescent; Adult; Bifidobacterium; Blood Chemical Analysis; Calcium blood; Double-Blind Method; Female; Healthy Volunteers; Humans; Lactobacillus acidophilus; Male; Middle Aged; Urea blood; Young Adult</t>
  </si>
  <si>
    <t>Use of probiotic-containing foods and probiotic supplements is increasing; however, few studies document safety and tolerability in conjunction with defined clinical end points. This paper reports the effects of 150 days of supplementation with either a single- (Bifidobacterium animalis subsp. lactis Bl-04) or a double-strain (Lactobacillus acidophilus NCFM and Bifidobacterium animalis subsp. lactis Bi-07) probiotic on routine haematology and clinical chemistry measures in healthy active adults. Pre- to post-intervention changes in laboratory measures were determined and compared between supplement and placebo groups. Overall there were few differences in routine haematology and clinical chemistry measures between supplement and placebo groups post-intervention. Exceptions included plasma calcium (P=0.03) and urea (P=0.015); however, observed changes were small and within assay-specific laboratory reference ranges. These data provide evidence supporting the use of these probiotic supplements over a period of 5 months in healthy active adults without obvious safety or tolerability issues.</t>
  </si>
  <si>
    <t>https://search.ebscohost.com/login.aspx?direct=true&amp;db=mdc&amp;AN=25052229&amp;site=ehost-live</t>
  </si>
  <si>
    <t>Fluid balance, carbohydrate ingestion, and body temperature during men's stage-race cycling in temperate environmental conditions.</t>
  </si>
  <si>
    <t>Ross ML; Stephens B; Abbiss CR; Martin DT; Laursen PB; Burke LM</t>
  </si>
  <si>
    <t>10.1123/ijspp.2012-0369</t>
  </si>
  <si>
    <t>Bicycling; Body Temperature Regulation; Dietary Carbohydrates administration &amp; dosage; Drinking; Eating; Physical Endurance; Water-Electrolyte Balance; Body Weight; Competitive Behavior; Humans; Humidity; Male; Nutritional Status; Time Factors; Young Adult</t>
  </si>
  <si>
    <t>Purpose: To observe voluntary fluid and carbohydrate intakes and thermoregulatory characteristics of road cyclists during 2 multiday, multiple-stage races in temperate conditions. Methods: Ten internationally competitive male cyclists competed in 2 stage races (2009 Tour of Gippsland, T1, n = 5; 2010 Tour of Geelong, T2, n = 5) in temperate conditions (13.2-15.8°C; 54-80% relative humidity). Body mass (BM) was recorded immediately before and after each stage. Peak gastrointestinal temperature (TGI peak) was recorded throughout each stage. Cyclists recalled the types and volumes of fluid and food consumed throughout each stage. Results: Although fluid intake varied according to the race format, there were strong correlations between fluid intake and distance across all formats of racing, in both tours (r = .82, r = .92). Within a stage, the relationship between finishing time and fluid intake was trivial. Mean BM change over a stage was 1.3%, with losses &gt;2% BM occurring on 5 out of 43 measured occasions and the fastest competitors incurring lower BM changes. Most subjects consumed carbohydrate at rates that met the new guidelines (30-60 g/h for 2-3 h, ~90 g/h for &gt;3 h), based on event duration. There were consistent observations of TGI peak &gt;39°C during stages of T1 (67%) and T2 (73%) despite temperate environmental conditions. Conclusion: This study captured novel effects of high-intensity stage racing in temperate environmental conditions. In these conditions, cyclists were generally able to find opportunities to consume fluid and carbohydrate to meet current guidelines. We consistently observed high TGI peak, which merits further investigation.</t>
  </si>
  <si>
    <t>https://search.ebscohost.com/login.aspx?direct=true&amp;db=mdc&amp;AN=24088320&amp;site=ehost-live</t>
  </si>
  <si>
    <t>Four weeks of IV iron supplementation reduces perceived fatigue and mood disturbance in distance runners.</t>
  </si>
  <si>
    <t>Woods A; Garvican-Lewis LA; Saunders PU; Lovell G; Hughes D; Fazakerley R; Anderson B; Gore CJ; Thompson KG</t>
  </si>
  <si>
    <t>e108042</t>
  </si>
  <si>
    <t>10.1371/journal.pone.0108042</t>
  </si>
  <si>
    <t>Fatigue drug therapy; Ferric Compounds therapeutic use; Hemoglobins analysis; Maltose analogs &amp; derivatives; Mood Disorders drug therapy; Running physiology; Adolescent; Adult; Fatigue blood; Fatigue physiopathology; Female; Ferric Compounds pharmacology; Ferritins blood; Humans; Injections, Intravenous; Male; Maltose pharmacology; Maltose therapeutic use; Mood Disorders blood; Mood Disorders physiopathology; Psychiatric Status Rating Scales; Treatment Outcome; Young Adult</t>
  </si>
  <si>
    <t>Purpose: To determine the effect of intravenous iron supplementation on performance, fatigue and overall mood in runners without clinical iron deficiency. Methods: Fourteen distance runners with serum ferritin 30-100 µg · L(-1) were randomly assigned to receive three blinded injections of intravenous ferric-carboxymaltose (2 ml, 100 mg, IRON) or normal saline (PLACEBO) over four weeks (weeks 0, 2, 4). Athletes performed a 3,000 m time trial and 10 × 400 m monitored training session on consecutive days at week 0 and again following each injection. Hemoglobin mass (Hbmass) was assessed via carbon monoxide rebreathing at weeks 0 and 6. Fatigue and mood were determined bi-weekly until week 6 via Total Fatigue Score (TFS) and Total Mood Disturbance (TMD) using the Brief Fatigue Inventory and Brunel Mood Scale. Data were analyzed using magnitude-based inferences, based on the unequal variances t-statistic and Cohen's Effect sizes (ES). Results: Serum ferritin increased in IRON only (Week 0: 62.8 ± 21.9, Week 4: 128.1 ± 46.6 µg · L(-1); p = 0.002) and remained elevated two weeks after the final injection (127.0 ± 66.3 µg · L(-1), p = 0.01), without significant changes in Hbmass. Supplementation had a moderate effect on TMD of IRON (ES -0.77) with scores at week 6 lower than PLACEBO (ES -1.58, p = 0.02). Similarly, at week 6, TFS was significantly improved in IRON vs. PLACEBO (ES -1.54, p = 0.05). There were no significant improvements in 3,000 m time in either group (Week 0 vs. Week 4; Iron: 625.6 ± 55.5 s vs. 625.4 ± 52.7 s; PLACEBO: 624.8 ± 47.2 s vs. 639.1 ± 59.7 s); but IRON reduced their average time for the 10 × 400 m training session at week 2 (Week 0: 78.0 ± 6.6 s, Week 2: 77.2 ± 6.3; ES-0.20, p = 0.004). Conclusion: During 6 weeks of training, intravenous iron supplementation improved perceived fatigue and mood of trained athletes with no clinical iron deficiency, without concurrent improvements in oxygen transport capacity or performance.</t>
  </si>
  <si>
    <t>https://search.ebscohost.com/login.aspx?direct=true&amp;db=mdc&amp;AN=25247929&amp;site=ehost-live</t>
  </si>
  <si>
    <t>Imaging and clinical tests for the diagnosis of long-standing groin pain in athletes. A systematic review.</t>
  </si>
  <si>
    <t>Drew MK; Osmotherly PG; Chiarelli PE</t>
  </si>
  <si>
    <t>10.1016/j.ptsp.2013.11.002</t>
  </si>
  <si>
    <t>Abdominal Pain diagnosis; Athletes; Athletic Injuries diagnosis; Diagnostic Imaging methods; Diagnostic Tests, Routine methods; Groin injuries; Pain Measurement methods; Abdominal Pain etiology; Humans; Reproducibility of Results</t>
  </si>
  <si>
    <t>Objectives: To examine the validity of clinical tests available for the diagnosis of longstanding groin pain in athletes. Design: Systematic review. Method: A published search strategy of MeSH terms in MEDLINE, CINAHL, EMBASE, and SportDiscuss. Inclusion Criteria: diagnostic studies relating to athletic groin pain, professional or semi-professional athletes, symptoms lasting for more than six weeks, and not limited by age or gender. A priori exclusion criteria were utilised. Outcome Measures: QUADAS tool, sensitivity and specificity, likelihood ratios and predictive values of the reported tests and investigations. Results: 577 Journal articles were identified. Five studies met all requirements. Sensitivity and specificity of clinical tests ranged between 30 and 100% and 88 and 95% respectively with negative likelihood ratio of 0.15-0.78 and positive likelihood ratios of 1.0-11.0. Sensitivity and specificity of investigations (MRI, herniography, and dynamic ultrasound) ranged between 68% and 100% as well as 33% and 100% respectively with negative likelihood ratios between 0 and 0.32 and positive likelihood ratios between 1.5 and 8.1. Conclusion: There is a lack of validated diagnostic clinical tests available for clinicians and a lack of symptomology being evaluated. It is recommended that a reference standard should be applied and data should be reported in sufficient detail to calculate diagnostic statistics that is useful to the clinician. Copyright © 2013 Elsevier Ltd. All rights reserved.</t>
  </si>
  <si>
    <t>https://search.ebscohost.com/login.aspx?direct=true&amp;db=mdc&amp;AN=24529632&amp;site=ehost-live</t>
  </si>
  <si>
    <t>Influence of contrast shower and water immersion on recovery in elite netballers.</t>
  </si>
  <si>
    <t>Juliff LE; Halson SL; Bonetti DL; Versey NG; Driller MW; Peiffer JJ</t>
  </si>
  <si>
    <t>10.1519/JSC.0000000000000417</t>
  </si>
  <si>
    <t>Hydrotherapy methods; Immersion; Sports physiology; Adolescent; Cold Temperature; Exercise Test; Fatigue psychology; Female; Heart Rate; Hot Temperature; Humans; Perception; Recovery of Function; Skin Temperature; Water; Young Adult</t>
  </si>
  <si>
    <t>Contrast water therapy is a popular recovery modality in sport; however, appropriate facilities can often be difficult to access. Therefore, the present study examined the use of contrast showers as an alternative to contrast water therapy for team sport recovery. In a randomized, crossover design, 10 elite female netball athletes (mean ± SD: age, 20 ± 0.6 years; height, 1.82 ± 0.05 m; body mass, 77.0 ± 9.3 kg) completed 3 experimental trials of a netball specific circuit followed by one of the following 14-minute recovery interventions: (a) contrast water therapy (alternating 1 minute 38° C and 1 minute 15° C water immersion), (b) contrast showers (alternating 1 minute 38° C and 1 minute 18° C showers), or (c) passive recovery (seated rest in 20° C). Repeated agility, skin and core temperature, and perception scales were measured before, immediately after, 5 and 24 hours postexercise. No significant differences in repeated agility were evident between conditions at any time point. No significant differences in core temperature were observed between conditions; however, skin temperature was significantly lower immediately after contrast water therapy and contrast showers compared with the passive condition. Overall perceptions of recovery were superior after contrast water therapy and contrast showers compared with passive recovery. The findings indicate contrast water therapy and contrast showers did not accelerate physical recovery in elite netballers after a netball specific circuit; however, the psychological benefit from both interventions should be considered when determining the suitability of these recovery interventions in team sport.</t>
  </si>
  <si>
    <t>https://search.ebscohost.com/login.aspx?direct=true&amp;db=mdc&amp;AN=24531433&amp;site=ehost-live</t>
  </si>
  <si>
    <t>Lower running performance and exacerbated fatigue in soccer played at 1600 m.</t>
  </si>
  <si>
    <t>Garvican LA; Hammond K; Varley MC; Gore CJ; Billaut F; Aughey RJ</t>
  </si>
  <si>
    <t>10.1123/ijspp.2012-0375</t>
  </si>
  <si>
    <t>Acclimatization; Altitude; Motor Skills; Muscle Contraction; Muscle Fatigue; Muscle, Skeletal physiology; Running; Soccer; Acceleration; Adolescent; Exercise Test; Geographic Information Systems; Heart Rate; Humans; Male; Task Performance and Analysis; Time Factors; Young Adult</t>
  </si>
  <si>
    <t>Purpose: This study investigated the decrement in running performance of elite soccer players competing at low altitude and time course for abatement of these decrements. Methods: Twenty elite youth soccer players had their activity profile, in a sea-level (SL) and 2 altitude (Alt, 1600 m, d 4, and d 6) matches, measured with a global positioning system. Measures expressed in meters per minute of match time were total distance, low- and high-velocity running (LoVR, 0.01-4.16 m/s; HiVR, 4.17-10.0 m/s), and frequency of maximal accelerations (&gt;2.78 m/s2). The peak and subsequent stanza for each measure were identified and a transient fatigue index calculated. Mean heart rate (HR) during the final minute of a submaximal running task (5 min, 11 km/h) was recorded at SL and for 10 d at Alt. Differences were determined between SL and Alt using percentage change and effect-size (ES) statistic with 90% confidence intervals. Results: Mean HR almost certainly increased on d 1 (5.4%, ES 1.01 ± 0.35) and remained probably elevated on both d 2 (ES 0.42 ± 0.31) and d3 (ES 0.30 ± 0.25), returning to baseline at d 5. Total distance was almost certainly lower than SL (ES -0.76 ± 0.37) at d 4 and remained probably reduced on d 6 (ES -0.42 ± 0.36). HiVR probably decreased at d 4 vs SL (-0.47 ± 0.59), with no clear effect of altitude at d 6 (-0.08 ± 0.41). Transient fatigue in matches was evident at SL and Alt, with a possibly greater decrement at Alt. Conclusion: Despite some physiological adaptation, match running performance of youth soccer players is compromised for at least 6 d at low altitude.</t>
  </si>
  <si>
    <t>https://search.ebscohost.com/login.aspx?direct=true&amp;db=mdc&amp;AN=23751901&amp;site=ehost-live</t>
  </si>
  <si>
    <t>Managing heat and immune stress in athletes with evidence-based strategies.</t>
  </si>
  <si>
    <t>Pyne DB; Guy JH; Edwards AM</t>
  </si>
  <si>
    <t>10.1123/ijspp.2014-0232</t>
  </si>
  <si>
    <t>Athletes; Athletic Performance; Heat Stress Disorders physiopathology; Heat-Shock Response; Immune System physiopathology; Inflammation physiopathology; Adaptation, Physiological; Animals; Body Temperature Regulation; Heat Stress Disorders immunology; Heat Stress Disorders metabolism; Humans; Immune System immunology; Immune System metabolism; Inflammation immunology; Inflammation metabolism; Inflammation Mediators metabolism; Models, Biological; Nutritional Status; Physical Conditioning, Human; Signal Transduction</t>
  </si>
  <si>
    <t>Heat and immune stress can affect athletes in a wide range of sports and environmental conditions. The classical thermoregulatory model of heat stress has been well characterized, as has a wide range of practical strategies largely centered on cooling and heat-acclimation training. In the last decade evidence has emerged of an inflammatory pathway that can also contribute to heat stress. Studies are now addressing the complex and dynamic interplay between hyperthermia, the coagulation cascade, and a systemic inflammatory response occurring after transient damage to the gastrointestinal tract. Damage to the intestinal mucosal membrane increases permeability, resulting in leakage of endotoxins into the circulation. Practical strategies that target both thermoregulatory and inflammatory causes of heat stress include precooling; short-term heat-acclimation training; nutritional countermeasures including hydration, energy replacement, and probiotic supplementation; pacing strategies during events; and postevent cooling measures. Cooperation between international, national, and local sporting organizations is required to ensure that heat-management policies and strategies are implemented effectively to promote athletes' well-being and performance.</t>
  </si>
  <si>
    <t>https://search.ebscohost.com/login.aspx?direct=true&amp;db=mdc&amp;AN=24911928&amp;site=ehost-live</t>
  </si>
  <si>
    <t>Methods for quantifying training in sprint kayak.</t>
  </si>
  <si>
    <t>Borges TO; Bullock N; Duff C; Coutts AJ</t>
  </si>
  <si>
    <t>10.1519/JSC.0b013e31829b56c4</t>
  </si>
  <si>
    <t>Athletic Performance physiology; Physical Conditioning, Human physiology; Physical Exertion; Physical Fitness physiology; Sports physiology; Adolescent; Anaerobic Threshold; Female; Geographic Information Systems; Heart Rate; Humans; Male; Physical Conditioning, Human methods; Time Factors; Young Adult</t>
  </si>
  <si>
    <t>The aims of this study were to determine the validity of the session rating of perceived exertion (session-RPE) method by comparing 3 different scales of perceived exertion with common measures of training load (TL). A secondary aim was to verify the relationship between TLs, fitness, and performance in Sprint Kayak athletes. After laboratory assessment of maximal oxygen uptake (V[Combining Dot Above]O2peak) and lactate threshold, the athletes performed on water time trials over 200 and 1,000 m. Training load was quantified for external (distance and speed) and internal (session-RPE: 6-20, category ratio [CR]-10 and CR-100 scales, training impulse [TRIMP], and individual TRIMP). Ten (6 male, 4 female) well-trained junior Sprint Kayak athletes (age 17.1 ± 1.2 years; V[Combining Dot Above]O2peak 4.2 ± 0.7 L·min) were monitored over a 7-week period. There were large-to-very large within-individual correlations between the session distance and the various heart rate (HR) and RPE-based methods for quantifying TL (0.58-0.91). Correlations between the mean session speed and various HR- and RPE-based methods for quantifying TL were small to large (0.12-0.50). The within-individual relationships between the various objective and subjective methods of internal TL were large to very large (0.62-0.94). Moderate-to-large inverse relationships were found between mean session-RPE TL and various aerobic fitness variables (-0.58 to -0.37). Large-to-very large relationships were found between mean session-RPE TL and on water performance (0.57-0.75). In conclusion, session-RPE is a valid method for monitoring TL for junior Sprint Kayak athletes, regardless of the RPE scale used. The session-RPE TL relates to fitness and performance, supporting the use of session-RPE in Sprint Kayak training.</t>
  </si>
  <si>
    <t>https://search.ebscohost.com/login.aspx?direct=true&amp;db=mdc&amp;AN=24476743&amp;site=ehost-live</t>
  </si>
  <si>
    <t>Monitoring the effect of race-analysis parameters on performance in elite swimmers.</t>
  </si>
  <si>
    <t>Tor E; Pease DL; Ball KA; Hopkins WG</t>
  </si>
  <si>
    <t>10.1123/ijspp.2013-0205</t>
  </si>
  <si>
    <t>Athletic Performance; Swimming; Task Performance and Analysis; Adolescent; Adult; Biomechanical Phenomena; Competitive Behavior; Female; Humans; Linear Models; Male; Time Factors; Video Recording; Young Adult</t>
  </si>
  <si>
    <t>Unlabelled: Time trials are commonly used in the lead-up to competition. A method that evaluates the relationship between time trial and competition performance in swimming would be useful for developing performance-enhancement strategies. Purpose: To use linear mixed modeling to identify key parameters that can be used to relate time-trial and competition performance. Methods: Ten swimmers participated in the study. Each swimmer was analyzed during 3 time trials and 1 competition. Race video footage was analyzed to determine several key parameters. Pooling of strokes and distances was achieved by modeling changes in parameters between time trials and competition within each subject as linear predictors of percent change in performance using mixed modeling of log-transformed race times. Results: When parameters were evaluated as the effect of 2 SD on performance time, there were very large effects of start time (2.6%, 90% confidence interval 1.8-3.3%) and average velocity (-2.3%, -2.8% to -1.8%). There was also a small effect for stroke rate (-0.6%, -1.3% to 0.2%). Further analysis revealed an improvement in performance time of 2.4% between time trials and competition, of which 1.8% (large; 1.4-2.1%) was due to a change in average velocity and 0.9% (moderate; 0.6-1.1%) was due to a change in start time; changes in remaining parameters had trivial effects on performance. Conclusion: This study illustrates effective analytical strategies for identifying key parameters that can be the focus of training to improve performance in small squads of elite swimmers and other athletes.</t>
  </si>
  <si>
    <t>https://search.ebscohost.com/login.aspx?direct=true&amp;db=mdc&amp;AN=24155134&amp;site=ehost-live</t>
  </si>
  <si>
    <t>Monitoring training load to understand fatigue in athletes.</t>
  </si>
  <si>
    <t>Halson SL</t>
  </si>
  <si>
    <t>44 Suppl 2</t>
  </si>
  <si>
    <t>S139</t>
  </si>
  <si>
    <t>10.1007/s40279-014-0253-z</t>
  </si>
  <si>
    <t>Muscle Fatigue physiology; Physical Education and Training methods; Sports physiology; Task Performance and Analysis; Humans</t>
  </si>
  <si>
    <t>Many athletes, coaches, and support staff are taking an increasingly scientific approach to both designing and monitoring training programs. Appropriate load monitoring can aid in determining whether an athlete is adapting to a training program and in minimizing the risk of developing non-functional overreaching, illness, and/or injury. In order to gain an understanding of the training load and its effect on the athlete, a number of potential markers are available for use. However, very few of these markers have strong scientific evidence supporting their use, and there is yet to be a single, definitive marker described in the literature. Research has investigated a number of external load quantifying and monitoring tools, such as power output measuring devices, time-motion analysis, as well as internal load unit measures, including perception of effort, heart rate, blood lactate, and training impulse. Dissociation between external and internal load units may reveal the state of fatigue of an athlete. Other monitoring tools used by high-performance programs include heart rate recovery, neuromuscular function, biochemical/hormonal/immunological assessments, questionnaires and diaries, psychomotor speed, and sleep quality and quantity. The monitoring approach taken with athletes may depend on whether the athlete is engaging in individual or team sport activity; however, the importance of individualization of load monitoring cannot be over emphasized. Detecting meaningful changes with scientific and statistical approaches can provide confidence and certainty when implementing change. Appropriate monitoring of training load can provide important information to athletes and coaches; however, monitoring systems should be intuitive, provide efficient data analysis and interpretation, and enable efficient reporting of simple, yet scientifically valid, feedback.</t>
  </si>
  <si>
    <t>https://search.ebscohost.com/login.aspx?direct=true&amp;db=mdc&amp;AN=25200666&amp;site=ehost-live</t>
  </si>
  <si>
    <t>Nutrition considerations for open-water swimming.</t>
  </si>
  <si>
    <t>Shaw G; Koivisto A; Gerrard D; Burke LM</t>
  </si>
  <si>
    <t>10.1123/ijsnem.2014-0018</t>
  </si>
  <si>
    <t>Athletic Performance; Diet; Environment; Nutritional Requirements; Nutritional Status; Sports Nutritional Physiological Phenomena; Swimming; Drinking; Humans; Physical Endurance; Temperature; Water</t>
  </si>
  <si>
    <t>Open-water swimming (OWS) is a rapidly developing discipline. Events of 5-25 km are featured at FINA World Championships, and the international circuit includes races of 5-88 km. The Olympic OWS event, introduced in 2008, is contested over 10 km. Differing venues present changing environmental conditions, including water and ambient temperatures, humidity, solar radiation, and unpredictable tides. Furthermore, the duration of most OWS events (1-6 hr) creates unique physiological challenges to thermoregulation, hydration status, and muscle fuel stores. Current nutrition recommendations for open-water training and competition are either an extension of recommendations from pool swimming or are extrapolated from other athletic populations with similar physiological requirements. Competition nutrition should focus on optimizing prerace hydration and glycogen stores. Although swimmers should rely on self-supplied fuel and fluid sources for shorter events, for races of 10 km or greater, fluid and fuel replacement can occur from feeding pontoons when tactically appropriate. Over the longer races, feeding pontoons should be used to achieve desirable targets of up to 90 g/ hr of carbohydrates from multitransportable sources. Exposure to variable water and ambient temperatures will play a significant role in determining race nutrition strategies. For example, in extreme environments, thermoregulation may be assisted by manipulating the temperature of the ingested fluids. Swimmers are encouraged to work with nutrition experts to develop effective and efficient strategies that enhance performance through appropriate in-competition nutrition.</t>
  </si>
  <si>
    <t>https://search.ebscohost.com/login.aspx?direct=true&amp;db=mdc&amp;AN=24667305&amp;site=ehost-live</t>
  </si>
  <si>
    <t>Nutrition for recovery in aquatic sports.</t>
  </si>
  <si>
    <t>Burke LM; Mujika I</t>
  </si>
  <si>
    <t>10.1123/ijsnem.2014-0022</t>
  </si>
  <si>
    <t>Adaptation, Physiological; Athletic Performance; Feeding Behavior; Nutritional Requirements; Nutritional Status; Sports Nutritional Physiological Phenomena; Swimming physiology; Diet; Humans; Sports; Water-Electrolyte Balance</t>
  </si>
  <si>
    <t>Postexercise recovery is an important topic among aquatic athletes and involves interest in the quality, quantity, and timing of intake of food and fluids after workouts or competitive events to optimize processes such as refueling, rehydration, repair, and adaptation. Recovery processes that help to minimize the risk of illness and injury are also important but are less well documented. Recovery between workouts or competitive events may have two separate goals: (a) restoration of body losses and changes caused by the first session to restore performance for the next and (b) maximization of the adaptive responses to the stress provided by the session to gradually make the body become better at the features of exercise that are important for performance. In some cases, effective recovery occurs only when nutrients are supplied, and an early supply of nutrients may also be valuable in situations in which the period immediately after exercise provides an enhanced stimulus for recovery. This review summarizes contemporary knowledge of nutritional strategies to promote glycogen resynthesis, restoration of fluid balance, and protein synthesis after different types of exercise stimuli. It notes that some scenarios benefit from a proactive approach to recovery eating, whereas others may not need such attention. In fact, in some situations it may actually be beneficial to withhold nutritional support immediately after exercise. Each athlete should use a cost-benefit analysis of the approaches to recovery after different types of workouts or competitive events and then periodize different recovery strategies into their training or competition programs.</t>
  </si>
  <si>
    <t>https://search.ebscohost.com/login.aspx?direct=true&amp;db=mdc&amp;AN=24901517&amp;site=ehost-live</t>
  </si>
  <si>
    <t>Nutrition for swimming.</t>
  </si>
  <si>
    <t>Shaw G; Boyd KT; Burke LM; Koivisto A</t>
  </si>
  <si>
    <t>10.1123/ijsnem.2014-0015</t>
  </si>
  <si>
    <t>Athletic Performance; Diet; Energy Metabolism; Nutritional Requirements; Nutritional Status; Sports Nutritional Physiological Phenomena; Swimming; Body Composition; Energy Intake; Feeding Behavior; Humans</t>
  </si>
  <si>
    <t>Swimming is a sport that requires considerable training commitment to reach individual performance goals. Nutrition requirements are specific to the macrocycle, microcycle, and individual session. Swimmers should ensure suitable energy availability to support training while maintaining long term health. Carbohydrate intake, both over the day and in relation to a workout, should be manipulated (3-10 g/kg of body mass/day) according to the fuel demands of training and the varying importance of undertaking these sessions with high carbohydrate availability. Swimmers should aim to consume 0.3 g of high-biological-value protein per kilogram of body mass immediately after key sessions and at regular intervals throughout the day to promote tissue adaptation. A mixed diet consisting of a variety of nutrient-dense food choices should be sufficient to meet the micronutrient requirements of most swimmers. Specific dietary supplements may prove beneficial to swimmers in unique situations, but should be tried only with the support of trained professionals. All swimmers, particularly adolescent and youth swimmers, are encouraged to focus on a well-planned diet to maximize training performance, which ensures sufficient energy availability especially during periods of growth and development. Swimmers are encouraged to avoid rapid weight fluctuations; rather, optimal body composition should be achieved over longer periods by modest dietary modifications that improve their food choices. During periods of reduced energy expenditure (taper, injury, off season) swimmers are encouraged to match energy intake to requirement. Swimmers undertaking demanding competition programs should ensure suitable recovery practices are used to maintain adequate glycogen stores over the entirety of the competition period.</t>
  </si>
  <si>
    <t>https://search.ebscohost.com/login.aspx?direct=true&amp;db=mdc&amp;AN=24903758&amp;site=ehost-live</t>
  </si>
  <si>
    <t>Nutrition, illness, and injury in aquatic sports.</t>
  </si>
  <si>
    <t>Pyne DB; Verhagen EA; Mountjoy M</t>
  </si>
  <si>
    <t>10.1123/ijsnem.2014-0008</t>
  </si>
  <si>
    <t>Athletic Injuries prevention &amp; control; Diet; Health; Nutritional Requirements; Nutritional Status; Swimming; Humans; Micronutrients therapeutic use; Polyphenols therapeutic use; Sports</t>
  </si>
  <si>
    <t>In this review, we outline key principles for prevention of injury and illness in aquatic sports, detail the epidemiology of injury and illness in aquatic athletes at major international competitions and in training, and examine the relevant scientific evidence on nutrients for reducing the risk of illness and injury. Aquatic athletes are encouraged to consume a well-planned diet with sufficient calories, macronutrients (particularly carbohydrate and protein), and micronutrients (particularly iron, zinc, and vitamins A, D, E, B6, and B12) to maintain health and performance. Ingesting carbohydrate via sports drinks, gels, or sports foods during prolonged training sessions is beneficial in maintaining energy availability. Studies of foods or supplements containing plant polyphenols and selected strains of probiotic species are promising, but further research is required. In terms of injury, intake of vitamin D, protein, and total caloric intake, in combination with treatment and resistance training, promotes recovery back to full health and training.</t>
  </si>
  <si>
    <t>https://search.ebscohost.com/login.aspx?direct=true&amp;db=mdc&amp;AN=24937101&amp;site=ehost-live</t>
  </si>
  <si>
    <t>Nutritional recommendations for water polo.</t>
  </si>
  <si>
    <t>Cox GR; Mujika I; van den Hoogenband CR</t>
  </si>
  <si>
    <t>10.1123/ijsnem.2014-0003</t>
  </si>
  <si>
    <t>Athletic Performance; Diet; Feeding Behavior; Nutritional Requirements; Nutritional Status; Sports Nutritional Physiological Phenomena; Swimming; Body Composition; Female; Humans; Male; Sports; Water</t>
  </si>
  <si>
    <t>Water polo is an aquatic team sport that requires endurance, strength, power, swimming speed, agility, tactical awareness, and specific technical skills, including ball control. Unlike other team sports, few researchers have examined the nutritional habits of water polo athletes or potential dietary strategies that improve performance in water polo match play. Water polo players are typically well muscled, taller athletes; female players display higher levels of adiposity compared with their male counterparts. Positional differences exist: Center players are heavier and have higher body fat levels compared with perimeter players. Knowledge of the physical differences that exist among water polo players offers the advantage of player identification as well as individualizing nutrition strategies to optimize desired physique goals. Individual dietary counseling is warranted to ensure dietary adequacy, and in cases of physique manipulation. Performance in games and during quality workouts is likely to improve by adopting strategies that promote high carbohydrate availability, although research specific to water polo is lacking. A planned approach incorporating strategies to facilitate muscle glycogen refueling and muscle protein synthesis should be implemented following intensified training sessions and matches, particularly when short recovery times are scheduled. Although sweat losses of water polo players are less than what is reported for land-based athletes, specific knowledge allows for appropriate planning of carbohydrate intake strategies for match play and training. Postgame strategies to manage alcohol intake should be developed with input from the senior player group to minimize the negative consequences on recovery and player welfare.</t>
  </si>
  <si>
    <t>https://search.ebscohost.com/login.aspx?direct=true&amp;db=mdc&amp;AN=25159505&amp;site=ehost-live</t>
  </si>
  <si>
    <t>Performance indicators related to points scoring and winning in international rugby sevens.</t>
  </si>
  <si>
    <t>Higham DG; Hopkins WG; Pyne DB; Anson JM</t>
  </si>
  <si>
    <t>Identification of performance indicators related to scoring points and winning is needed to inform tactical approaches to international rugby sevens competition. The aim of this study was to characterize team performance indicators in international rugby sevens and quantify their relationship with a team's points scored and probability of winning. Performance indicators of each team during 196 matches of the 2011/2012 International Rugby Board Sevens World Series were modeled for their linear relationships with points scored and likelihood of winning within (changes in team values from match to match) and between (differences between team values averaged over all matches) teams. Relationships were evaluated as the change and difference in points and probability of winning associated with a two within- and between-team standard deviations increase in performance indicator values. Inferences about relationships were assessed using a smallest meaningful difference of one point and a 10% probability of a team changing the outcome of a close match. All indicators exhibited high within-team match-to-match variability (intraclass correlation coefficients ranged from 0.00 to 0.23). Excluding indicators representing points-scoring actions or events occurring on average less than once per match, 13 of 17 indicators had substantial clear within-team relationships with points scored and/or likelihood of victory. Relationships between teams were generally similar in magnitude but unclear. Tactics that increase points scoring and likelihood of winning should be based on greater ball possession, fewer rucks, mauls, turnovers, penalties and free kicks, and limited passing. Key pointsSuccessful international rugby sevens teams tend to maintain ball possession; more frequently avoid taking the ball into contact; concede fewer turnovers, penalties and free kicks; retain possession in scrums, rucks and mauls; and limit passing the ball.Selected performance indicators may be used to evaluate team performances and plan more effective tactical approaches to competition.There is greater match-to-match variability in performance indicator values within than between international rugby sevens teams.The priorities for a rugby sevens team's technical and tactical preparation should reflect the magnitudes of the relationships between performance indicators, points scoring and the likelihood of winning.</t>
  </si>
  <si>
    <t>https://search.ebscohost.com/login.aspx?direct=true&amp;db=mdc&amp;AN=24790490&amp;site=ehost-live</t>
  </si>
  <si>
    <t>Performance nutrition guidelines for international rugby sevens tournaments.</t>
  </si>
  <si>
    <t>Dziedzic CE; Higham DG</t>
  </si>
  <si>
    <t>10.1123/ijsnem.2013-0172</t>
  </si>
  <si>
    <t>Athletic Performance; Diet; Football; Nutrition Policy; Physical Exertion; Running; Sports Nutritional Physiological Phenomena; Competitive Behavior; Humans; Motor Skills; Movement</t>
  </si>
  <si>
    <t>Rugby sevens is an abbreviated version of rugby union, played by teams of seven players over 7-min halves. International competitions are usually played in a tournament format. While shorter in duration, the movement demands of rugby sevens per min of match time are greater than rugby union, resulting in an accentuated load on players. This load can be repeated up to six times over a typical 2- or 3-day competition period. The potential cumulative effect of inadequate carbohydrate, protein and/or fluid intake over the course of a tournament is the greatest nutrition-related concern for players. Nutritional strategies before and during competition are suggested to replenish substrate stores, maintain fluid balance and promote recovery between matches. The use of ergogenic aids known to enhance intermittent, high-intensity activity and/or the execution of motor skills may be advantageous to rugby sevens performance and is discussed. This review provides a best-practice model of nutritional support for international rugby sevens competition based on our current understanding of the sport combined with pragmatic guidelines and considerations for the practitioner.</t>
  </si>
  <si>
    <t>https://search.ebscohost.com/login.aspx?direct=true&amp;db=mdc&amp;AN=24464414&amp;site=ehost-live</t>
  </si>
  <si>
    <t>Phases of the swim-start in Paralympic swimmers are influenced by severity and type of disability.</t>
  </si>
  <si>
    <t>Dingley A; Pyne DB; Burkett B</t>
  </si>
  <si>
    <t>10.1123/jab.2013-0321</t>
  </si>
  <si>
    <t>Athletic Performance physiology; Disabled Persons classification; Swimming physiology; Biomechanical Phenomena; Cross-Sectional Studies; Disability Evaluation; Female; Humans; Male; Severity of Illness Index</t>
  </si>
  <si>
    <t>Disabilities in Paralympic swimming could impact a swimmer's ability to execute an effective swim-start. We examined how swim-start performance differed between severity and type of physical disability. Swim-starts were measured in 55 elite Paralympic swimmers from eight different Paralympic classes; S14, S13, S10-S6, S3 grouped as no- (classes S13 &amp; S14), low- (S9 &amp; S10), mid- (S7 &amp; S8) or high- (≤ S6) severity of physical disability and also by type of physical disability (upper, lower, and palsy) to provide meaningful comparisons. The swimmer's competitive level was determined by the international point score (IPS). Swimmers with no physical disability were significantly faster in most swim-start phases compared with those with physical disabilities, as were swimmers with low-severity disabilities compared with the mid- and high-severity groups. Block velocity was highly negatively correlated (r = -0.57 to -0.86) with 15-m swimming time for all groups except high-severity disabilities. Free-swim velocity is a priority area for improving swim-starts for swimmers regardless of disability, given large correlations between this measure and IPS. Swimmers with lower body or high-severity disabilities spent a smaller percentage of time overall in the underwater phase. Assessment of four specific phases of the swim-start highlight distinctive priorities for coaches working with Paralympic swimmers in an applied biomechanical manner.</t>
  </si>
  <si>
    <t>https://search.ebscohost.com/login.aspx?direct=true&amp;db=mdc&amp;AN=25010477&amp;site=ehost-live</t>
  </si>
  <si>
    <t>Physical and energy requirements of competitive swimming events.</t>
  </si>
  <si>
    <t>Pyne DB; Sharp RL</t>
  </si>
  <si>
    <t>10.1123/ijsnem.2014-0047</t>
  </si>
  <si>
    <t>Athletic Performance; Energy Metabolism; Nutritional Requirements; Nutritional Status; Physical Exertion; Sports Nutritional Physiological Phenomena; Swimming physiology; Diet; Humans; Sports physiology</t>
  </si>
  <si>
    <t>The aquatic sports competitions held during the summer Olympic Games include diving, open-water swimming, pool swimming, synchronized swimming, and water polo. Elite-level performance in each of these sports requires rigorous training and practice to develop the appropriate physiological, biomechanical, artistic, and strategic capabilities specific to each sport. Consequently, the daily training plans of these athletes are quite varied both between and within the sports. Common to all aquatic athletes, however, is that daily training and preparation consumes several hours and involves frequent periods of high-intensity exertion. Nutritional support for this high-level training is a critical element of the preparation of these athletes to ensure the energy and nutrient demands of the training and competition are met. In this article, we introduce the fundamental physical requirements of these sports and specifically explore the energetics of human locomotion in water. Subsequent articles in this issue explore the specific nutritional requirements of each aquatic sport. We hope that such exploration will provide a foundation for future investigation of the roles of optimal nutrition in optimizing performance in the aquatic sports.</t>
  </si>
  <si>
    <t>https://search.ebscohost.com/login.aspx?direct=true&amp;db=mdc&amp;AN=25029351&amp;site=ehost-live</t>
  </si>
  <si>
    <t>Plasma K+ dynamics and implications during and following intense rowing exercise.</t>
  </si>
  <si>
    <t>Atanasovska T; Petersen AC; Rouffet DM; Billaut F; Ng I; McKenna MJ</t>
  </si>
  <si>
    <t>10.1152/japplphysiol.01027.2013</t>
  </si>
  <si>
    <t>Exercise physiology; Potassium metabolism; Adult; Arteries metabolism; Arteries physiology; Fatigue metabolism; Fatigue physiopathology; Female; Humans; Hyperkalemia metabolism; Hyperkalemia physiopathology; Male; Muscle Contraction physiology; Muscle Fatigue physiology; Muscle, Skeletal metabolism; Muscle, Skeletal physiology; Plasma Volume physiology; Sodium-Potassium-Exchanging ATPase metabolism; Young Adult</t>
  </si>
  <si>
    <t>We investigated whether potassium (K(+)) disturbances during and following intense exercise may be pronounced when utilizing a large contracting muscle mass, examining maximal 2,000-m rowing exercise effects on radial arterial plasma K(+) concentration ([K(+)]a) in 11 healthy adults. Blood was sampled at baseline, preexercise, each 30 s during rowing, and for 30 min postexercise. Time to complete 2,000 m was 7.26 ± 0.59 min; power output at 30 s was 326 ± 81 W (mean ± SD). With exercise time expressed in deciles, power output fell 16.5% from the first to fourth decile (P &lt; 0.05) and 19.9% at the ninth decile (P &lt; 0.05); EMG median frequency declined 4.6% by the third decile and 5.5% by the eighth decile (P &lt; 0.05). Plasma [K(+)]a increased from 3.89 ± 0.13 mM at rest to 6.13 ± 0.46 mM by 90 s rowing (P &lt; 0.001) and was then sustained until end exercise (P &lt; 0.001). In recovery, [K(+)]a decreased abruptly, reaching 3.33 ± 0.22 mM at 5 min postexercise (P &lt; 0.001) and remaining below preexercise after 30 min (P &lt; 0.005). At end exercise, blood [lactate]a (preexercise 0.64 ± 0.18 mM) reached 10.87 ± 1.33 mM, plasma volume decreased 9.7 ± 2.3% from preexercise, and pHa decreased to 7.10 ± 0.07 units (P &lt; 0.001). In conclusion, arterial hyperkalemia was sustained during exhaustive rowing reflecting a balance between K(+) release and reuptake in contracting muscles and K(+) uptake by inactive muscles. While high, the [K(+)]a was lower than anticipated compared with maximal cycling or sprinting, possibly reflecting greater adrenergic response and Na(+),K(+)-ATPase activity in contracting muscles; fatigue was evidenced by reduced power output and EMG median frequency. A prolonged hypokalemia after rowing likely reflected continuing muscular Na(+),K(+)-ATPase activity. Copyright © 2014 the American Physiological Society.</t>
  </si>
  <si>
    <t>https://search.ebscohost.com/login.aspx?direct=true&amp;db=mdc&amp;AN=24812644&amp;site=ehost-live</t>
  </si>
  <si>
    <t>Probiotic supplementation for respiratory and gastrointestinal illness symptoms in healthy physically active individuals.</t>
  </si>
  <si>
    <t>West NP; Horn PL; Pyne DB; Gebski VJ; Lahtinen SJ; Fricker PA; Cripps AW</t>
  </si>
  <si>
    <t>10.1016/j.clnu.2013.10.002</t>
  </si>
  <si>
    <t>New Zealand; Dietary Supplements; Gastrointestinal Diseases therapy; Probiotics administration &amp; dosage; Adult; Bifidobacterium; Body Mass Index; Double-Blind Method; Female; Healthy Volunteers; Humans; Lactobacillus acidophilus; Male; Middle Aged; Motor Activity; New Zealand; Young Adult</t>
  </si>
  <si>
    <t>Background &amp; Aims: To examine the effect of supplementation with probiotics on respiratory and gastrointestinal illness in healthy active men and women. Methods: A randomised double-blind placebo-controlled trial was conducted. Four hundred and sixty five participants (241 males; age 35 ± 12 y (mean ± SD) and 224 females; age 36 ± 12 y) were assigned to one of three groups: Group 1 - Bifidobacterium animalis subsp. lactis Bl-04 (Bl-04) 2.0 × 10(9)colony forming units per day, CFU per day, Group 2 - Lactobacillus acidophilus NCFM and Bifidobacterium animalis subsp. lactis Bi-07 (NCFM &amp; Bi-07) 5 × 10(9) CFU each per day) or Group 3 - placebo mixed in a drink. Results: The risk of an upper respiratory illness episode was significantly lower in the Bl-04 group (hazard ratio 0.73; 95% confidence interval 0.55-0.95; P = 0.022) compared to placebo. There was no significant difference in illness risk between the NCFM &amp; Bi-07 group (hazard ratio 0.81; 0.62-1.08; P = 0.15) and the placebo group. There was a 0.7 and 0.9 month delay in the median time to an illness episode in the Bl-04 and NCFM &amp; Bi-07 groups respectively compared to placebo (placebo 2.5 months; Bl-04 3.2 months; NCFM &amp; Bi-07 3.4 months). There were insufficient GI illness episodes for analysis. The NCFM &amp; Bi-07 group but not the Bl-04 group undertook significantly more physical activity (8.5%; 6.7%-10%; P &lt; 0.003) than the placebo group. Conclusion: The probiotic Bl-04 appears to be a useful nutritional supplement in reducing the risk of URTI in healthy physically-active adults. Trial Registration: Australia New Zealand Clinical Trials Registry: Number ACTRN12611000130965. Copyright © 2013. Published by Elsevier Ltd.</t>
  </si>
  <si>
    <t>https://search.ebscohost.com/login.aspx?direct=true&amp;db=mdc&amp;AN=24268677&amp;site=ehost-live</t>
  </si>
  <si>
    <t>Scaling sporting equipment for children promotes implicit processes during performance.</t>
  </si>
  <si>
    <t>Buszard T; Farrow D; Reid M; Masters RS</t>
  </si>
  <si>
    <t>Consciousness and cognition</t>
  </si>
  <si>
    <t>10.1016/j.concog.2014.07.004</t>
  </si>
  <si>
    <t>Academic Press</t>
  </si>
  <si>
    <t>Athletic Performance physiology; Attention physiology; Memory, Short-Term physiology; Motor Skills physiology; Sports Equipment; Child; Female; Humans; Male</t>
  </si>
  <si>
    <t>This study investigated whether children who used scaled equipment compared to full size equipment during a motor task demonstrated reduced conscious involvement in performance. Children (9-11 years) performed a tennis hitting task in two attention conditions (single-task and dual-task) using two types of equipment (scaled and full size). A more skilled group and a less skilled group were formed using hitting performance scores. The more skilled group displayed greater working memory capacity than the less skilled group. For both groups, hitting performance and technique were better when scaled equipment was used. Hitting performance when using scaled equipment was not disrupted in either group by a cognitively demanding secondary task; however, performance was disrupted in the less skilled group when using full size equipment. We conclude that equipment scaling may reduce working memory engagement in motor performance and discuss the findings in the context of implicit motor learning theory. Copyright © 2014 Elsevier Inc. All rights reserved.</t>
  </si>
  <si>
    <t>https://search.ebscohost.com/login.aspx?direct=true&amp;db=mdc&amp;AN=25441975&amp;site=ehost-live</t>
  </si>
  <si>
    <t>Sex differences in neuromuscular recruitment are not related to patellar tendon load.</t>
  </si>
  <si>
    <t>10.1249/MSS.0000000000000252</t>
  </si>
  <si>
    <t>Knee Joint physiology; Lower Extremity physiology; Muscle, Skeletal physiology; Patellar Ligament physiology; Recruitment, Neurophysiological physiology; Biomechanical Phenomena; Female; Humans; Male; Muscle, Skeletal innervation; Plyometric Exercise; Sex Factors; Tendinopathy physiopathology; Volleyball physiology; Weight-Bearing</t>
  </si>
  <si>
    <t>Purpose: Although male volleyball players report a greater prevalence of patellar tendinopathy than female players, it remains unknown whether higher patellar tendon loading generated during landing by male players is related to sex-specific neuromuscular recruitment patterns. This study aimed to investigate the relationship between neuromuscular recruitment patterns and patellar tendon loading during landing and to determine whether there were any significant differences in lower limb neuromuscular recruitment patterns displayed by male and female volleyball players during landing. Methods: The neuromuscular recruitment patterns and patellar tendon loading of 20 male and 20 female volleyball players performing a lateral stop-jump block movement were recorded and calculated. Pearson product-moment correlations were conducted to determine whether neuromuscular recruitment patterns were related to the peak patellar tendon force or patellar tendon force loading rate generated at landing. Independent t-tests were applied to a subset of data for 13 males and 13 females matched for jump height to identify any between-sex differences in neuromuscular recruitment patterns. Results: Later onset of rectus femoris (r = 0.312), vastus medialis (r = 0.455), and biceps femoris (r = 0.330) were significantly correlated with a higher patellar tendon force loading rate, although these correlation values were weak. Male volleyball players displayed significantly earlier biceps femoris and semitendinosus onset, and significantly earlier peak semitendinosus activity compared with their female counterparts. Conclusion: Although male and female volleyball players displayed significantly different muscle onset times, these patterns were not strongly related to patellar tendon loading at landing. It is likely that a multitude of factors, including the frequency of patellar tendon loading, more strongly contributes to developing patellar tendinopathy than neuromuscular recruitment patterns in isolation.</t>
  </si>
  <si>
    <t>https://search.ebscohost.com/login.aspx?direct=true&amp;db=mdc&amp;AN=24389515&amp;site=ehost-live</t>
  </si>
  <si>
    <t>Sleep in elite athletes and nutritional interventions to enhance sleep.</t>
  </si>
  <si>
    <t>44 Suppl 1</t>
  </si>
  <si>
    <t>S13</t>
  </si>
  <si>
    <t>10.1007/s40279-014-0147-0</t>
  </si>
  <si>
    <t>Athletic Performance physiology; Diet; Sleep physiology; Sports Nutritional Physiological Phenomena; Blood Glucose metabolism; Cognition physiology; Endocrine System physiopathology; Humans; Immunity; Inflammation physiopathology; Insulin blood; Pain Perception physiology; Sleep Deprivation metabolism</t>
  </si>
  <si>
    <t>Sleep has numerous important physiological and cognitive functions that may be particularly important to elite athletes. Recent evidence, as well as anecdotal information, suggests that athletes may experience a reduced quality and/or quantity of sleep. Sleep deprivation can have significant effects on athletic performance, especially submaximal, prolonged exercise. Compromised sleep may also influence learning, memory, cognition, pain perception, immunity and inflammation. Furthermore, changes in glucose metabolism and neuroendocrine function as a result of chronic, partial sleep deprivation may result in alterations in carbohydrate metabolism, appetite, food intake and protein synthesis. These factors can ultimately have a negative influence on an athlete's nutritional, metabolic and endocrine status and hence potentially reduce athletic performance. Research has identified a number of neurotransmitters associated with the sleep-wake cycle. These include serotonin, gamma-aminobutyric acid, orexin, melanin-concentrating hormone, cholinergic, galanin, noradrenaline, and histamine. Therefore, nutritional interventions that may act on these neurotransmitters in the brain may also influence sleep. Carbohydrate, tryptophan, valerian, melatonin and other nutritional interventions have been investigated as possible sleep inducers and represent promising potential interventions. In this review, the factors influencing sleep quality and quantity in athletic populations are examined and the potential impact of nutritional interventions is considered. While there is some research investigating the effects of nutritional interventions on sleep, future research may highlight the importance of nutritional and dietary interventions to enhance sleep.</t>
  </si>
  <si>
    <t>https://search.ebscohost.com/login.aspx?direct=true&amp;db=mdc&amp;AN=24791913&amp;site=ehost-live</t>
  </si>
  <si>
    <t>Stage racing at altitude induces hemodilution despite an increase in hemoglobin mass.</t>
  </si>
  <si>
    <t>Garvican-Lewis LA; Schumacher YO; Clark SA; Christian R; Menaspà P; Plowman J; Stephens B; Qi J; Fan R; He Y; Martin DT; Thompson KG; Gore CJ; Ma F</t>
  </si>
  <si>
    <t>10.1152/japplphysiol.00242.2014</t>
  </si>
  <si>
    <t>Altitude; Bicycling physiology; Blood Physiological Phenomena; Hemoglobins metabolism; Physical Endurance physiology; Blood Cell Count; Humans; Male; Plasma Volume physiology; Young Adult</t>
  </si>
  <si>
    <t>Plasma volume (PV) can be modulated by altitude exposure (decrease) and periods of intense exercise (increase). Cycle racing at altitude combines both stimuli, although presently no data exist to document which is dominant. Hemoglobin mass (Hbmass), hemoglobin concentration ([Hb]), and percent reticulocytes (%Retics) of altitude (ALT; n = 9) and sea-level (SL; n = 9) residents were measured during a 14-day cycling race, held at 1,146-4120 m, as well as during a simulated tour near sea level (SIM; n = 12). Hbmass was assessed before and on days 9 and 14 of racing. Venous blood was collected on days 0, 3, 6, 10, and 14. PV was calculated from Hbmass and [Hb]. A repeated-measures ANOVA was used to assess the impact of racing at altitude over time, within and between groups. [Hb] decreased significantly in all groups over time (P &lt; 0.0001) with decreases evident on the third day of racing. %Retics increased significantly in SL only (P &lt; 0.0001), with SL values elevated at day 6 compared with prerace (P = 0.02), but were suppressed by the end of the race (P = 0.0002). Hbmass significantly increased in SL after 9 (P = 0.0001) and 14 (P = 0.008) days of racing and was lower at the end of the race than midrace (P = 0.018). PV increased in all groups (P &lt; 0.0001). Multiday cycle racing at altitude induces hemodilution of a similar magnitude to that observed during SL racing and occurs in nonacclimatized SL residents, despite an altitude-induced increase in Hbmass. Osmotic regulatory mechanisms associated with intense exercise appear to supersede acute enhancement of oxygen delivery at altitude. Copyright © 2014 the American Physiological Society.</t>
  </si>
  <si>
    <t>https://search.ebscohost.com/login.aspx?direct=true&amp;db=mdc&amp;AN=24994887&amp;site=ehost-live</t>
  </si>
  <si>
    <t>The challenge of assessing athlete performance after altitude training.</t>
  </si>
  <si>
    <t>Gore CJ</t>
  </si>
  <si>
    <t>10.1152/japplphysiol.00029.2014</t>
  </si>
  <si>
    <t>Acclimatization; Altitude; Athletic Performance; Erythropoietin blood; Physical Conditioning, Human methods; Running; Female; Humans; Male</t>
  </si>
  <si>
    <t>https://search.ebscohost.com/login.aspx?direct=true&amp;db=mdc&amp;AN=24436300&amp;site=ehost-live</t>
  </si>
  <si>
    <t>The effects of transmeridian travel and altitude on sleep: preparation for football competition.</t>
  </si>
  <si>
    <t>Lastella M; Roach GD; Halson SL; Gore CJ; Garvican-Lewis LA; Sargent C</t>
  </si>
  <si>
    <t>https://search.ebscohost.com/login.aspx?direct=true&amp;db=mdc&amp;AN=25177205&amp;site=ehost-live</t>
  </si>
  <si>
    <t>The Seattle Criteria increase the specificity of preparticipation ECG screening among elite athletes.</t>
  </si>
  <si>
    <t>Brosnan M; La Gerche A; Kalman J; Lo W; Fallon K; MacIsaac A; Prior D</t>
  </si>
  <si>
    <t>10.1136/bjsports-2013-092420</t>
  </si>
  <si>
    <t>Australia; Athletes statistics &amp; numerical data; Heart Diseases diagnosis; Adolescent; Adult; Arrhythmias, Cardiac diagnosis; Australia epidemiology; Cohort Studies; Death, Sudden, Cardiac prevention &amp; control; Early Diagnosis; Electrocardiography standards; Female; Heart Diseases epidemiology; Humans; Male; Prevalence; Sensitivity and Specificity; Sports Medicine methods; Sports Medicine standards; Young Adult</t>
  </si>
  <si>
    <t>Background: In 2010, the European Society of Cardiology (ESC) released recommendations for the interpretation of the 12-lead ECG in athletes, dividing changes into group 1 (training related) and group 2 (training unrelated). Recently, the 'Seattle Criteria', a series of revisions to these recommendations, was published, with the aim of improving the specificity of ECG screening in athletes. Objectives: First, to assess the prevalence of ECG abnormalities in a cohort of elite Australian athletes using the 2010 ESC recommendations and determine how often group 2 ECG changes correlate with the evidence of significant cardiac pathology on further investigation. Second, to assess the impact of the 'Seattle Criteria' in reducing the number of athletes with ECG abnormalities in whom further cardiac testing is unremarkable ('false positives'). Design: 1197 elite athletes underwent cardiovascular screening between 2011 and 2012, of whom 1078 aged 16-35 years volunteered and were eligible to participate. Results: 186 (17.3%) had an abnormal ECG according to ESC recommendations and a further 30 (2.8)% had unclassified changes. Three athletes (0.3%) were found to have a cardiac abnormality on further investigation. Using the Seattle Criteria, the number of athletes classified as abnormal fell to 48 (4.5%, p&lt;0.0001) and the three with an underlying cardiac abnormality were still identified. The improved specificity was due to reclassification of 71 athletes (6.6%) with an equivocal QTc interval, 42 (3.9%) with T wave inversion isolated to V1-2 and 22 (2%) with either isolated right axis deviation or right ventricular hypertrophy on voltage criteria. Conclusions: The 'Seattle Criteria' reduced the false-positive rate of ECG screening from 17% to 4.2%, while still identifying the 0.3% of athletes with a cardiac abnormality. Published by the BMJ Publishing Group Limited. For permission to use (where not already granted under a licence) please go to http://group.bmj.com/group/rights-licensing/permissions.</t>
  </si>
  <si>
    <t>https://search.ebscohost.com/login.aspx?direct=true&amp;db=mdc&amp;AN=23813487&amp;site=ehost-live</t>
  </si>
  <si>
    <t>Thoracic injuries in professional rugby players: mechanisms of injury and imaging characteristics.</t>
  </si>
  <si>
    <t>Hayashi D; Roemer FW; Kohler R; Guermazi A; Gebers C; De Villiers R</t>
  </si>
  <si>
    <t>10.1136/bjsports-2013-092681</t>
  </si>
  <si>
    <t>Football injuries; Thoracic Injuries etiology; Diagnostic Imaging methods; Fractures, Bone diagnosis; Fractures, Bone etiology; Humans; Male; Manubrium injuries; Muscle, Skeletal injuries; Ribs injuries; Sternoclavicular Joint injuries; Sternum injuries; Thoracic Injuries diagnosis; Xiphoid Bone injuries</t>
  </si>
  <si>
    <t>Professional rugby players are prone to traumatic thoracic injuries due to the use of minimal protective gear to cover the torso. In the 2007 Rugby World Cup, thoracic injuries occurred at a rate of 8.3 cases/1000 player-hours. CT and MRI play an important role in the diagnosis of these injuries. Vital internal organs, such as the heart, lungs, trachea, liver and large blood vessels lie within close proximity to the bony structures and what seems to be a simple rib fracture or clavicular dislocation can have potentially life-threatening complications that are not detected by conventional radiography. Cross-sectional imaging helps to determine the choice of treatment. Ultrasound offers a quick and dynamic imaging examination and allows high-resolution assessment of superficial tissues that complements conventional imaging. In this review article, we (1) presented data on incidence of thoracic injuries in professional rugby players; (2) described the anatomy of the joints comprising the thoracic cage and major muscles attached to the rib cage; (3) discussed indications and relevance for MRI and presented an optimised MRI protocol for assessment of suspected thoracic injury; and (4) illustrated various types of thoracic injuries seen in professional rugby players, including sternal contusion, retrosternal haematoma, manubriosternal disruption, sternoclavicular dislocation, rib fractures and injuries of the pectoralis major muscle. Published by the BMJ Publishing Group Limited. For permission to use (where not already granted under a licence) please go to http://group.bmj.com/group/rights-licensing/permissions.</t>
  </si>
  <si>
    <t>https://search.ebscohost.com/login.aspx?direct=true&amp;db=mdc&amp;AN=23962879&amp;site=ehost-live</t>
  </si>
  <si>
    <t>Validity of the SenseWear Armband to assess energy expenditure during intermittent exercise and recovery in rugby union players.</t>
  </si>
  <si>
    <t>Zanetti S; Pumpa KL; Wheeler KW; Pyne DB</t>
  </si>
  <si>
    <t>10.1519/JSC.0000000000000243</t>
  </si>
  <si>
    <t>Calorimetry, Indirect instrumentation; Energy Metabolism physiology; Exercise Test instrumentation; Football physiology; Monitoring, Physiologic instrumentation; Adolescent; Adult; Anthropometry; Athletes; Body Composition; Exercise physiology; Humans; Male; Sampling Studies; Sensitivity and Specificity; Young Adult</t>
  </si>
  <si>
    <t>Portable wearable devices that assess energy expenditure during intermittent exercise and recovery would be useful in team sports. Fourteen state-level male rugby union players (mean ± SD: age, 22 ± 4 years; body mass, 88.8 ± 11.2 kg; height, 1.81 ± 0.07 m, body fat, 18 ± 6%) participated in this study. Energy expenditure was measured by the SenseWear Armband (SWA) and validated against indirect calorimetry as the criterion measure during a 42-minute rugby-specific intermittent exercise test and an immediate postexercise 10-minute recovery period. Energy expenditure measurements from indirect calorimetry and the SWA were only moderately correlated during both the exercise test (r = 0.55, ±0.34; mean, ±90% confidence limits) and recovery period (r = 0.58, ±0.33). The SWA estimate of energy expenditure during exercise was unclear, with a mean bias of -1.9% (±5.3%), and during recovery energy expenditure was overestimated, with a mean bias of 17% (±12%) at the mean estimated energy expenditure. Typical error of SWA energy expenditure estimates expressed as a coefficient of variation (±90% confidence interval) was 10% (8-16%) during exercise and 19% (14-30%) during recovery. The SWA did not provide a valid measure of energy expenditure during rugby-specific intermittent exercise or 10-minute postexercise recovery. Further improvements are required in the performance of the SWA before it can be used routinely in intermittent sports and provide worthwhile information in relation to workloads of athletes for sport scientists and coaches.</t>
  </si>
  <si>
    <t>https://search.ebscohost.com/login.aspx?direct=true&amp;db=mdc&amp;AN=24088866&amp;site=ehost-live</t>
  </si>
  <si>
    <t>Variability of measurements of sweat sodium using the regional absorbent-patch method.</t>
  </si>
  <si>
    <t>Dziedzic CE; Ross ML; Slater GJ; Burke LM</t>
  </si>
  <si>
    <t>10.1123/ijspp.2013-0480</t>
  </si>
  <si>
    <t>Sodium metabolism; Specimen Handling methods; Sweat metabolism; Sweating; Absorption; Adult; Bicycling; Biomarkers metabolism; Electric Conductivity; Exercise; Hot Temperature; Humans; Ion-Selective Electrodes; Male; Models, Biological; Photometry; Reproducibility of Results; Specimen Handling instrumentation; Time Factors; Water-Electrolyte Balance; Young Adult</t>
  </si>
  <si>
    <t>Context: There is interest in including recommendations for the replacement of the sodium lost in sweat in individualized hydration plans for athletes. Purpose: Although the regional absorbent-patch method provides a practical approach to measuring sweat sodium losses in field conditions, there is a need to understand the variability of estimates associated with this technique. Methods: Sweat samples were collected from the forearms, chest, scapula, and thigh of 12 cyclists during 2 standardized cycling time trials in the heat and 2 in temperate conditions. Single measure analysis of sodium concentration was conducted immediately by ion-selective electrodes (ISE). A subset of 30 samples was frozen for reanalysis of sodium concentration using ISE, flame photometry (FP), and conductivity (SC). Results: Sweat samples collected in hot conditions produced higher sweat sodium concentrations than those from the temperate environment (P = .0032). A significant difference (P = .0048) in estimates of sweat sodium concentration was evident when calculated from the forearm average (mean ± 95% CL; 64 ± 12 mmol/L) compared with using a 4-site equation (70 ± 12 mmol/L). There was a high correlation between the values produced using different analytical techniques (r2 = .95), but mean values were different between treatments (frozen FP, frozen SC &gt; immediate ISE &gt; frozen ISE; P &lt; .0001). Conclusion: Whole-body sweat sodium concentration estimates differed depending on the number of sites included in the calculation. Environmental testing conditions should be considered in the interpretation of results. The impact of sample freezing and subsequent analytical technique was small but statistically significant. Nevertheless, when undertaken using a standardized protocol, the regional absorbent-patch method appears to be a relatively robust field test.</t>
  </si>
  <si>
    <t>https://search.ebscohost.com/login.aspx?direct=true&amp;db=mdc&amp;AN=24436351&amp;site=ehost-live</t>
  </si>
  <si>
    <t>A rationale for assessing the lower-body power profile in team sport athletes.</t>
  </si>
  <si>
    <t>10.1519/JSC.0b013e3182576feb</t>
  </si>
  <si>
    <t>Australia; Exercise physiology; Lower Extremity physiology; Muscle Strength; Muscle, Skeletal physiology; Adolescent; Adult; Australia; Confidence Intervals; Exercise Test; Football physiology; Humans; Task Performance and Analysis; Young Adult</t>
  </si>
  <si>
    <t>Training at the load that maximizes peak mechanical power (Pmax) is considered superior for the development of power. We aimed to identify the Pmax load ('optimal load') in the jump squat and to quantify small, moderate, large, and very large substantial differences in power output across a spectrum of loads to identify loads that are substantially different to the optimal, and lastly, to investigate the nature of power production (load-force-velocity profiles). Professional Australian Rules Football (ARF; n = 16) and highly trained Rugby Union (RU; n = 20) players (subdivided into stronger [SP] vs. weaker [WP] players) performed jump squats across incremental loads (0-60 kg). Substantial differences in peak power (W·kg(-1)) were quantified as 0.2-2.0 of the log transformed between-athlete SD at each load, backtransformed and expressed as a percent with 90% confidence limits (CL). A 0-kg jump squat maximized peak power (ARF: 57.7 ± 10.8 W·kg(-1); RU: 61.4 ± 8.5 W·kg(-1); SP: 64.4 ± 7.5 W·kg(-1); WP: 54.8 ± 9.5 W·kg(-1)). The range for small to very large substantial differences in power output was 4.5-55.9% (CL: ×/÷1.36) and 2.8-32.4% (CL: ×/÷1.31) in ARF and RU players, whereas in SP and WP, it was 3.7-43.1% (CL: ×/÷1.32) and 4.3-51.7% (CL: ×/÷1.36). Power declined per 10-kg increment in load, 14.1% (CL: ±1.6) and 10.5% (CL: ±1.5) in ARF and RU players and 12.8% (CL: ±1.9) and 11.3% (CL: ±1.7) in SP and WP. The use of a 0-kg load is superior for the development of jump squat maximal power, with moderate to very large declines in power output observed at 10- to 60-kg loads. Yet, performance of heavier load jump squats that are substantially different to the optimal load are important in the development of sport-specific force-velocity qualities and should not be excluded.</t>
  </si>
  <si>
    <t>https://search.ebscohost.com/login.aspx?direct=true&amp;db=mdc&amp;AN=22505130&amp;site=ehost-live</t>
  </si>
  <si>
    <t>Activity profiles and demands of seasonal and tournament basketball competition.</t>
  </si>
  <si>
    <t>Klusemann MJ; Pyne DB; Hopkins WG; Drinkwater EJ</t>
  </si>
  <si>
    <t>10.1123/ijspp.8.6.623</t>
  </si>
  <si>
    <t>Athletic Performance physiology; Basketball physiology; Competitive Behavior physiology; Physical Exertion physiology; Adolescent; Heart Rate physiology; Humans; Male</t>
  </si>
  <si>
    <t>Unlabelled: Competition-specific conditioning for tournament basketball games is challenging, as the demands of tournament formats are not well characterized. Purpose: To compare the physical, physiological, and tactical demands of seasonal and tournament basketball competition and determine the pattern of changes within an international tournament. Methods: Eight elite junior male basketball players (age 17.8 ± 0.2 y, height 1.93 ± 0.07 m, mass 85 ± 3 kg; mean ± SD) were monitored in 6 seasonal games played over 4 mo in an Australian second-division national league and in 7 games of an international under-18 tournament played over 8 days. Movement patterns and tactical elements were coded from video and heart rates recorded by telemetry. Results: The frequency of running, sprinting, and shuffling movements in seasonal games was higher than in tournament games by 8-15% (99% confidence limits ± ~8%). Within the tournament, jogging and low- to medium-intensity shuffling decreased by 15-20% (± ~14%) over the 7 games, while running, sprinting, and high-intensity shuffling increased 11-81% (± ~25%). There were unclear differences in mean and peak heart rates. The total number of possessions was higher in seasonal than in tournament games by 8% (± 10%). Conclusions: Coaches should consider a stronger emphasis on strength and power training in their conditioning programs to account for the higher activity of seasonal games. For tournament competition, strategies that build a sufficient aerobic capacity and neuromuscular resilience to maintain high-intensity movements need to be employed. A focus on half-court tactics accounts for the lower number of possessions in tournaments.</t>
  </si>
  <si>
    <t>https://search.ebscohost.com/login.aspx?direct=true&amp;db=mdc&amp;AN=23479394&amp;site=ehost-live</t>
  </si>
  <si>
    <t>Altitude training and haemoglobin mass from the optimised carbon monoxide rebreathing method determined by a meta-analysis.</t>
  </si>
  <si>
    <t>Gore CJ; Sharpe K; Garvican-Lewis LA; Saunders PU; Humberstone CE; Robertson EY; Wachsmuth NB; Clark SA; McLean BD; Friedmann-Bette B; Neya M; Pottgiesser T; Schumacher YO; Schmidt WF</t>
  </si>
  <si>
    <t>47 Suppl 1</t>
  </si>
  <si>
    <t>i31</t>
  </si>
  <si>
    <t>10.1136/bjsports-2013-092840</t>
  </si>
  <si>
    <t>Altitude; Carbon Monoxide administration &amp; dosage; Hemoglobins metabolism; Acclimatization physiology; Athletic Performance physiology; Carboxyhemoglobin metabolism; Humans; Hypoxia physiopathology; Respiration</t>
  </si>
  <si>
    <t>Objective: To characterise the time course of changes in haemoglobin mass (Hbmass) in response to altitude exposure. Methods: This meta-analysis uses raw data from 17 studies that used carbon monoxide rebreathing to determine Hbmass prealtitude, during altitude and postaltitude. Seven studies were classic altitude training, eight were live high train low (LHTL) and two mixed classic and LHTL. Separate linear-mixed models were fitted to the data from the 17 studies and the resultant estimates of the effects of altitude used in a random effects meta-analysis to obtain an overall estimate of the effect of altitude, with separate analyses during altitude and postaltitude. In addition, within-subject differences from the prealtitude phase for altitude participant and all the data on control participants were used to estimate the analytical SD. The 'true' between-subject response to altitude was estimated from the within-subject differences on altitude participants, between the prealtitude and during-altitude phases, together with the estimated analytical SD. Results: During-altitude Hbmass was estimated to increase by ∼1.1%/100 h for LHTL and classic altitude. Postaltitude Hbmass was estimated to be 3.3% higher than prealtitude values for up to 20 days. The within-subject SD was constant at ∼2% for up to 7 days between observations, indicative of analytical error. A 95% prediction interval for the 'true' response of an athlete exposed to 300 h of altitude was estimated to be 1.1-6%. Conclusions: Camps as short as 2 weeks of classic and LHTL altitude will quite likely increase Hbmass and most athletes can expect benefit.</t>
  </si>
  <si>
    <t>https://search.ebscohost.com/login.aspx?direct=true&amp;db=mdc&amp;AN=24282204&amp;site=ehost-live</t>
  </si>
  <si>
    <t>An integrated framework for the optimisation of sport and athlete development: a practitioner approach.</t>
  </si>
  <si>
    <t>Gulbin JP; Croser MJ; Morley EJ; Weissensteiner JR</t>
  </si>
  <si>
    <t>10.1080/02640414.2013.781661</t>
  </si>
  <si>
    <t>Aptitude; Models, Biological; Physical Education and Training; Sports; Athletes; Humans</t>
  </si>
  <si>
    <t>This paper introduces a new sport and athlete development framework that has been generated by multidisciplinary sport practitioners. By combining current theoretical research perspectives with extensive empirical observations from one of the world's leading sport agencies, the proposed FTEM (Foundations, Talent, Elite, Mastery) framework offers broad utility to researchers and sporting stakeholders alike. FTEM is unique in comparison with alternative models and frameworks, because it: integrates general and specialised phases of development for participants within the active lifestyle, sport participation and sport excellence pathways; typically doubles the number of developmental phases (n = 10) in order to better understand athlete transition; avoids chronological and training prescriptions; more optimally establishes a continuum between participation and elite; and allows full inclusion of many developmental support drivers at the sport and system levels. The FTEM framework offers a viable and more flexible alternative for those sporting stakeholders interested in managing, optimising, and researching sport and athlete development pathways.</t>
  </si>
  <si>
    <t>https://search.ebscohost.com/login.aspx?direct=true&amp;db=mdc&amp;AN=23631711&amp;site=ehost-live</t>
  </si>
  <si>
    <t>Applying decision tree induction for identification of important attributes in one-versus-one player interactions: a hockey exemplar.</t>
  </si>
  <si>
    <t>Morgan S; Williams MD; Barnes C</t>
  </si>
  <si>
    <t>10.1080/02640414.2013.770906</t>
  </si>
  <si>
    <t>Athletic Performance; Competitive Behavior; Decision Trees; Hockey; Movement; Data Interpretation, Statistical; Female; Humans; Probability</t>
  </si>
  <si>
    <t>Decision tree induction is a novel approach to exploring attacker-defender interactions in many sports. In this study hockey was chosen as an example to illustrate the potential use of decision tree inductions for the purpose of identifying and communicating characteristics that drive the outcome. Elite female players performed one-versus-one contests (n = 75) over two sessions. Each contest outcome was classified as either a win or loss. Position data were acquired using radio-tracking devices, and movement-based derivatives were calculated for two time epochs (5 to 2.5 seconds, and 2.5 to zero seconds before the outcome occurred). A decision tree model was trained using these attributes from the first session data, which predicted that when the attacker was moving at ≥ 0.5 m · s(-1) faster than the defender during the early epoch, the probability of an attacker's win was 1.00. Conversely, when the speed difference at that time was below this threshold the probability of a loss was 0.78. Secondary attributes included defender speed in the lateral direction during the early epoch, and angle of attack (i.e., angle between the respective velocity vectors of the attacker and defender) during the late epoch. The model was then used to predict outcomes of one-versus-one contests from the second session (accuracy = 0.643; area under the receiver operating characteristic (ROC) curve = 0.712). Moreover, decision trees provide an intuitive framework for relating spatial-temporal concepts to coaches, and the suitability of decision trees for analysing the features of one-versus-one exchanges are discussed.</t>
  </si>
  <si>
    <t>https://search.ebscohost.com/login.aspx?direct=true&amp;db=mdc&amp;AN=23409787&amp;site=ehost-live</t>
  </si>
  <si>
    <t>Butyrylated starch increases colonic butyrate concentration but has limited effects on immunity in healthy physically active individuals.</t>
  </si>
  <si>
    <t>West NP; Christophersen CT; Pyne DB; Cripps AW; Conlon MA; Topping DL; Kang S; McSweeney CS; Fricker PA; Aguirre D; Clarke JM</t>
  </si>
  <si>
    <t>Butyrates pharmacology; Colon drug effects; Colon microbiology; Cytokines biosynthesis; Starch pharmacology; Adult; Butyrates immunology; Colon immunology; Dietary Fiber administration &amp; dosage; Dietary Supplements; Double-Blind Method; Feces chemistry; Female; Humans; Male; Real-Time Polymerase Chain Reaction; Saliva chemistry; Saliva immunology; Starch immunology</t>
  </si>
  <si>
    <t>Background: Butyrate delivery to the large bowel may positively modulate commensal microbiota and enhance immunity. Objective: To determine the effects of increasing large bowel butyrate concentration through ingestion of butyrylated high amylose maize starch (HAMSB) on faecal biochemistry and microbiota, and markers of immunity in healthy active individuals. Design: Male and female volunteers were assigned randomly to consume either two doses of 20 g HAMSB (n = 23; age 37.9 +/- 7.8 y; mean +/- SD) or a low amylose maize starch (LAMS) (n = 18; age 36.9 = 9.5 y) twice daily for 28 days. Samples were collected on days 0, 10 and 28 for assessment of faecal bacterial groups, faecal biochemistry, serum cytokines and salivary antimicrobial proteins. Results: HAMSB led to relative increases in faecal free (45%; 12-86%; mean; 90% confidence interval; P = 0.02), bound (950%; 563-1564%; P &lt; 0.01) and total butyrate (260%; 174-373%; P &lt; 0.01) and faecal propionate (41%; 12-77%; P = 0.02) from day 0 to day 28 compared to LAMS. HAMSB was also associated with a relative 1.6-fold (1.2- to 2.0-fold; P &lt; 0.01) and 2.5-fold (1.4- to 4.4-fold; P = 0.01) increase in plasma IL-10 and TNF-alpha but did not alter other indices of immunity. There were relative greater increases in faecal P. distasonis (81-fold (28- to 237-fold; P &lt; 0.01) and F. prausnitzii (5.1-fold (2.1- to 12-fold; P &lt; 0.01) in the HAMSB group. Conclusions: HAMSB supplementation in healthy active individuals promotes the growth of bacteria that may improve bowel health and has only limited effects on plasma cytokines.</t>
  </si>
  <si>
    <t>https://search.ebscohost.com/login.aspx?direct=true&amp;db=mdc&amp;AN=23977723&amp;site=ehost-live</t>
  </si>
  <si>
    <t>Changes in serum fast and slow skeletal troponin I concentration following maximal eccentric contractions.</t>
  </si>
  <si>
    <t>Chapman DW; Simpson JA; Iscoe S; Robins T; Nosaka K</t>
  </si>
  <si>
    <t>10.1016/j.jsams.2012.05.006</t>
  </si>
  <si>
    <t>Isometric Contraction physiology; Muscle Fibers, Fast-Twitch physiology; Muscle Fibers, Slow-Twitch physiology; Soft Tissue Injuries blood; Troponin I blood; Adult; Arm; Biomarkers blood; Creatine Kinase blood; Exercise Test; Humans; Male; Time Factors; Torque; Young Adult</t>
  </si>
  <si>
    <t>Objectives: We tested the hypothesis that fast skeletal muscle troponin I (fsTnI) concentration in serum would increase more than those of slow skeletal muscle troponin I (ssTnI) after eccentric exercise of the elbow flexors using a sensitive blood marker to track fibre specific muscle damage. Design: Observational comparison of response in a single experimental group. Methods: Eight young men (26.4±6.2 years) performed 210 (35 sets of 6) eccentric contractions of the elbow flexors on an isokinetic dynamometer with one arm. Changes in serum fsTnI and ssTnI concentrations, serum creatine kinase (CK) activity, and maximal voluntary isometric contraction torque (MVIC) before and 1, 2, 3, 4 and 14 days following exercise were analysed by a Student-Newman-Keuls multiple comparison test. The relationship between serum CK activity and fsTnI or ssTnI concentrations was determined using a Pearson's product moment correlation. Results: Significant (P&lt;0.05) decreases in MVIC and increases in serum CK activity and fsTnI were evident after exercise, but ssTnI did not change. The time course of changes in fsTnI was similar to that of CK, peaking at 4 days post-exercise, and the two were highly correlated (r=0.8). Conclusions: Increases in serum fsTnI concentrations reflect muscle damage, and it seems likely that only fast twitch fibres were damaged by eccentric contractions. Copyright © 2012 Sports Medicine Australia. Published by Elsevier Ltd. All rights reserved.</t>
  </si>
  <si>
    <t>https://search.ebscohost.com/login.aspx?direct=true&amp;db=mdc&amp;AN=22795680&amp;site=ehost-live</t>
  </si>
  <si>
    <t>Comparison of live high: train low altitude and intermittent hypoxic exposure.</t>
  </si>
  <si>
    <t>Humberstone-Gough CE; Saunders PU; Bonetti DL; Stephens S; Bullock N; Anson JM; Gore CJ</t>
  </si>
  <si>
    <t>Live High:Train Low (LHTL) altitude training is a popular ergogenic aid amongst athletes. An alternative hypoxia protocol, acute (60-90 min daily) Intermittent Hypoxic Exposure (IHE), has shown potential for improving athletic performance. The aim of this study was to compare directly the effects of LHTL and IHE on the running and blood characteristics of elite triathletes. Changes in total haemoglobin mass (Hbmass), maximal oxygen consumption (VO2max), velocity at VO2max (vVO2max), time to exhaustion (TTE), running economy, maximal blood lactate concentration ([La]) and 3 mM [La] running speed were compared following 17 days of LHTL (240 h of hypoxia), IHE (10.2 h of hypoxia) or Placebo treatment in 24 Australian National Team triathletes (7 female, 17 male). There was a clear 3.2 ± 4.8% (mean ± 90% confidence limits) increase in Hbmass following LHTL compared with Placebo, whereas the corresponding change of -1.4 ± 4.5% in IHE was unclear. Following LHTL, running economy was 2.8 ± 4.4% improved compared to IHE and 3mM [La] running speed was 4.4 ± 4.5% improved compared to Placebo. After IHE, there were no beneficial changes in running economy or 3mM [La] running speed compared to Placebo. There were no clear changes in VO2max, vVO2max and TTE following either method of hypoxia. The clear difference in Hbmass response between LHTL and IHE indicated that the dose of hypoxia in IHE was insufficient to induce accelerated erythropoiesis. Improved running economy and 3mM [La] running speed following LHTL suggested that this method of hypoxic exposure may enhance performance at submaximal running speeds. Overall, there was no evidence to support the use of IHE in elite triathletes. Key PointsDespite a clear 3.2% increase in haemoglobin mass following 17 days of Live High: Train Low altitude training, no change in maximal aerobic capacity was observed.There were positive changes in running economy and the lactate-speed relationship at submaximal running speeds following Live High: Train Low altitude training.There was no evidence to support the use of daily 60-90 minute Intermittent Hypoxic Exposure in elite triathletes.</t>
  </si>
  <si>
    <t>https://search.ebscohost.com/login.aspx?direct=true&amp;db=mdc&amp;AN=24149143&amp;site=ehost-live</t>
  </si>
  <si>
    <t>Do physical capacity and interchange rest periods influence match exercise-intensity profile in Australian football?</t>
  </si>
  <si>
    <t>Mooney M; Cormack S; O'Brien B; Coutts AJ</t>
  </si>
  <si>
    <t>10.1123/ijspp.8.2.165</t>
  </si>
  <si>
    <t>Australia; Athletic Performance physiology; Football physiology; Rest; Analysis of Variance; Australia; Geographic Information Systems; Humans; Linear Models; Male; Physical Endurance physiology; Physical Fitness physiology; Task Performance and Analysis; Young Adult</t>
  </si>
  <si>
    <t>Purpose: The purpose of this study was to determine if Yo-Yo Intermittent Recovery level 2 (Yo-Yo IR2) and the number of interchange rotations affected the match activity profile of elite Australian footballers. Method: Fifteen elite Australian footballers completed the Yo-Yo IR2 before the beginning of the season and played across 22 matches in which match activity profiles were measured via microtechnology devices containing a global positioning system (GPS) and accelerometer. An interchange rotation was counted when a player left the field and was replaced with another player. Yo-Yo IR2 results were further split into high and low groups. Results: Players match speed decreased from 1st to 4th quarter, while average-speed (m/min: P = .05) and low-speed activity (LSA, &lt;15 km/h) per minute (LSA m/min; P = .06) significantly decreased in the 2nd half. Yo-Yo IR2 influenced the amount of m/min, high-speed running (HSR, &gt;15 km/h) per minute (HSR m/min) and accelerometer load/min throughout the entire match. The number of interchanges significantly influenced the HSR m/min and m/min throughout the match except in the 2nd quarter. Furthermore, the low Yo-Yo IR2 group had significantly less LSA m/min in the 4th quarter than the high Yo-Yo IR2 group (92.2 vs 96.7 m/min, P = .06). Conclusions: Both the Yo-Yo IR2 and number of interchanges contribute to m/min and HSR m/min produced by elite Australian footballers, affecting their match activity. However, while it appears that improved Yo-Yo IR2 performance prevents reductions in LSA m/min during a match, higher-speed activities (HSR m/min) and overall physical activity (m/min and load/min) are still reduced in the 4th quarter compared with the 1st quarter.</t>
  </si>
  <si>
    <t>https://search.ebscohost.com/login.aspx?direct=true&amp;db=mdc&amp;AN=23428488&amp;site=ehost-live</t>
  </si>
  <si>
    <t>Effects of exercise sessions on DXA measurements of body composition in active people.</t>
  </si>
  <si>
    <t>Nana A; Slater GJ; Hopkins WG; Burke LM</t>
  </si>
  <si>
    <t>10.1249/MSS.0b013e31826c9cfd</t>
  </si>
  <si>
    <t>Absorptiometry, Photon standards; Athletes; Bicycling physiology; Body Composition physiology; Resistance Training; Adiposity physiology; Adult; Bone Density physiology; Drinking physiology; Eating physiology; Exercise physiology; Female; Humans; Linear Models; Male; Reproducibility of Results; Sex Factors</t>
  </si>
  <si>
    <t>Purpose: Dual-energy x-ray absorptiometry (DXA) is rapidly becoming more accessible and popular as a technique to monitor body composition, especially in athletic populations. This study investigates the reliability of DXA in measuring body composition of active individuals, specifically to ascertain biological variability associated with two different types of exercise under free-living conditions in active individuals. Methods: Well-trained individuals (27 strength-trained male subjects, 14 female cyclists, and 14 male cyclists) underwent three whole-body DXA scans over a 1-d period: in the morning after an overnight fast, approximately 5 min later after repositioning on the scanning bed, and shortly after a self-chosen exercise session (resistance training or cycling). Subjects were allowed to consume food and fluid ad libitum before and during exercise as per their usual practices. Magnitude of typical (standard) errors of measurement and changes in the mean of DXA measures were assessed by standardization. Results: Exercise and its related practices of fluid and food intake are associated with changes in the mean estimates of total and regional body composition that range from trivial to small but substantial. An exercise session also increases the typical error of measurement of these characteristics by approximately 10%. Conclusion: The easiest and most practical way to minimize the biological "noise" associated with undertaking a DXA scan is to have subjects fasted and rested before measurement. Until sufficient data on the smallest important effect are available, both biological and technical "noises" should be minimized so that any small but potentially "real" changes can be confidently detected.</t>
  </si>
  <si>
    <t>https://search.ebscohost.com/login.aspx?direct=true&amp;db=mdc&amp;AN=22895377&amp;site=ehost-live</t>
  </si>
  <si>
    <t>Energy expenditure of constant- and variable-intensity cycling: power meter estimates.</t>
  </si>
  <si>
    <t>Haakonssen EC; Martin DT; Burke LM; Jenkins DG</t>
  </si>
  <si>
    <t>10.1249/MSS.0b013e31828e18e6</t>
  </si>
  <si>
    <t>Bicycling physiology; Energy Metabolism physiology; Exercise Test instrumentation; Adult; Calorimetry; Female; Humans; Oxygen Consumption; Pulmonary Ventilation; Young Adult</t>
  </si>
  <si>
    <t>Purpose: The objective of this study is to compare the effects of constant- and variable-intensity cycling on gross efficiency (GE) and to compare estimates of energy expenditure (EE) made using indirect calorimetry (CAL) with estimates derived from commercially available power meters. Methods: Nine national team female road cyclists completed a GE test (GEtest = 4 min at approximately 45%, approximately 55%, approximately 65%, and approximately 75% maximal aerobic power (MAP)) before and after 10.5 min of either constant- (CON)- or variable- (VAR)-intensity cycling averaging approximately 55% MAP. GE measured before, after, and during CON and VAR cycling was compared. Total EE (kJ) for 10.5 min of VAR cycling was estimated using indirect CAL and compared with estimates on the basis of mechanical power [Schoberer Rad Messtechnik (SRM)] using the group mean GE, each athlete's mean GE, and each athlete's power to GE regression. Results: There was no effect of VAR on GEtests (P = 0.74). GE reduced from 19.1% ± 0.4% (mean ± SE) during the pretrial GEtests to 18.7% ± 0.4% during the posttrial GEtests (P &lt; 0.05) in both conditions. Differences in GE (mean ± SD) measured during CON (18.4% ± 1.6%) and VAR cycling (18.6% ± 1.1%) were trivial (P = 0.28). SRM-based estimates of EE were most accurate when using individual athlete's power GE regression using Pre- and Post-VAR GEtest data combined (Δ(Equation is included in full-text article.)(%) ± 90% CI, 0.3 ± 0.8; R 0.98, P &lt;0.001). Group mean estimates were within approximately 1% of CAL, although individual errors were approximately 11%. Conclusion: Findings support the use of calibrated power meters for estimating cycling EE. For trained female road cyclists, total mechanical work (kJ) multiplied by 5.3 (GE = 19%) provides a valid estimation of total EE during variable-intensity cycling &lt;75% MAP, although determining each athlete's GE improves accuracy greatly.</t>
  </si>
  <si>
    <t>https://search.ebscohost.com/login.aspx?direct=true&amp;db=mdc&amp;AN=23470312&amp;site=ehost-live</t>
  </si>
  <si>
    <t>Functional performance deficits associated with ligamentous instability at the ankle.</t>
  </si>
  <si>
    <t>Witchalls JB; Newman P; Waddington G; Adams R; Blanch P</t>
  </si>
  <si>
    <t>10.1016/j.jsams.2012.05.018</t>
  </si>
  <si>
    <t>Ankle Joint physiopathology; Athletic Performance physiology; Joint Instability physiopathology; Ligaments, Articular physiopathology; Adolescent; Analysis of Variance; Cohort Studies; Cross-Sectional Studies; Female; Humans; Male; Proprioception; Range of Motion, Articular; Young Adult</t>
  </si>
  <si>
    <t>Objectives: To examine whether ankle anterior drawer ligament laxity is associated with deficits in performance testing among otherwise healthy sportspeople. Design: Cross-sectional cohort study. Methods: Eighty-six volunteers from among sports participants at a military academy consented to the use of their pre-participation musculoskeletal screening information for the lower limb, and to an additional test of ankle proprioception. The lower limb screening included tests of ankle ligament laxity, dorsiflexion range of movement, single leg hop-for-distance, hexagon agility hopping test, and hop-and-hold landing stability test. Results: There was a significant difference between lax and stable ankles on the 4 screening tests when they were examined together with MANOVA (F=3.52, df=4, 167, p=0.009, Wilks' Lambda=0.92). Independent t-tests showed worse performance on the hop-for-distance (p=0.001), hexagon hop (p=0.039) and the proprioception tests (p=0.033) associated with laxity. Comparing stable and unstable ankles in the same individual, paired t-tests showed significantly lower hop counts for lax ankles on the hexagon hop test (p=&lt;0.001). Conclusions: Ankle ligament laxity is associated with persisting deficits in explosive power, agility and proprioception, as demonstrated by less hopping distance, fewer hops in hexagon hop testing, and reduced proprioceptive acuity, despite ongoing participation in sport. Attention to maximising sport-related performance in the late stages of rehabilitation is suggested as an essential addition to clinical management of these injuries. Copyright © 2012 Sports Medicine Australia. All rights reserved.</t>
  </si>
  <si>
    <t>https://search.ebscohost.com/login.aspx?direct=true&amp;db=mdc&amp;AN=22743237&amp;site=ehost-live</t>
  </si>
  <si>
    <t>Harnessing and understanding feedback technology in applied settings.</t>
  </si>
  <si>
    <t>Phillips E; Farrow D; Ball K; Helmer R</t>
  </si>
  <si>
    <t>10.1007/s40279-013-0072-7</t>
  </si>
  <si>
    <t>Biomedical Research methods; Feedback, Physiological physiology; Movement physiology; Sports Medicine methods; Humans</t>
  </si>
  <si>
    <t>Research on the influence of augmented feedback effects on both skill learning and performance has been examined from two differing positions, generally reflective of two core movement science disciplines: motor learning and biomechanics. The motor learning approach has been to examine the content and timing of feedback under tightly controlled laboratory settings, with a focus on simple tasks and the influence of movement outcome feedback. At the other end of the spectrum are biomechanical approaches, which have been primarily devoted to demonstrating the capacity of measurement technology to quantify and report on movement pattern effectiveness. This review highlights the gap left by these two approaches and argues that advancement of our understanding of feedback application in practical settings requires a shift towards a multi-disciplinary focus. A particular focus of the review is on how researchers and practitioners need to harness our understanding and subsequent application of the emergent feedback technologies most prevalent in elite sport settings and clinical sports medicine. We highlight important considerations for future applied multidisciplinary research driven by relevant theory and methodological design to more comprehensively capture how feedback systems can be used to facilitate the development of skilled performance.</t>
  </si>
  <si>
    <t>https://search.ebscohost.com/login.aspx?direct=true&amp;db=mdc&amp;AN=23828029&amp;site=ehost-live</t>
  </si>
  <si>
    <t>Identifying Optimal Overload and Taper in Elite Swimmers over Time.</t>
  </si>
  <si>
    <t>Hellard P; Avalos M; Hausswirth C; Pyne D; Toussaint JF; Mujika I</t>
  </si>
  <si>
    <t>The aim of this exploratory study was to identify the most influential training designs during the final six weeks of training (F6T) before a major swimming event, taking into account athletes' evolution over several seasons. Fifteen female and 17 male elite swimmers were followed for one to nine F6T periods. The F6T was divided into two sub-periods of a three-week overload period (OP) and a three-week taper period (TP). The final time trial performance was recorded for each swimmer in his or her specialty at the end of both OP and TP. The change in performances (ΔP) between OP and TP was recorded. Training variables were derived from the weekly training volume at several intensity levels as a percentage of the individual maximal volume measured at each intensity level, and the individual total training load (TTL) was considered to be the mean of the loads at these seven intensity levels. Also, training patterns were identified from TTL in the three weeks of both OP and TP by cluster analysis. Mixed-model was used to analyse the longitudinal data. The training pattern during OP that was associated with the greatest improvement in performance was a training load peak followed by a linear slow decay (84 ± 17, 81 ± 22, and 80 ± 19 % of the maximal training load measured throughout the F6T period for each subject, Mean ± SD) (p &lt; 0.05). During TP, a training load peak in the 1(st) week associated with a slow decay design (57 ± 26, 45 ± 24 and 38 ± 14%) led to higher ΔP (p &lt; 0.05). From the 1(st) to 3(rd) season, the best results were characterized by maintenance of a medium training load from OP to TP. Progressively from the 4(th) season, high training loads during OP followed by a sharp decrease during TP were associated with higher ΔP. Key PointsDuring the overload training period, a medium training load peak in the first week followed by an exponential slow decay training load design was linked to highest performance improvement.During the taper period, a training load peak in the first week associated with a slow decay design led to higher performances.Over the course of the swimmers' athletic careers, better performances were obtained with an increase in training load during the overload period followed by a sharper decrease in the taper period.Training loads schedules during the final six weeks of training before a major swimming event and changes over time could be prescribed on the basis of the model results.</t>
  </si>
  <si>
    <t>https://search.ebscohost.com/login.aspx?direct=true&amp;db=mdc&amp;AN=24421726&amp;site=ehost-live</t>
  </si>
  <si>
    <t>Influence of rest interval duration on muscular power production in the lower-body power profile.</t>
  </si>
  <si>
    <t>10.1519/JSC.0b013e318280c6fb</t>
  </si>
  <si>
    <t>Movement physiology; Muscle Strength physiology; Muscle, Skeletal physiology; Adult; Biomechanical Phenomena; Cross-Over Studies; Humans; Male; Rest; Time Factors</t>
  </si>
  <si>
    <t>There is a paucity of evidence-based support for the allocation of rest interval duration between incremental loads in the assessment of the load-power profile. We examined the effect of rest interval duration on muscular power production in the load-power profile and sought to determine if greater rest is required with increasing load (i.e., variable rest interval). Ten physically trained men completed 4 experimental conditions in a crossover balanced design. Participants performed jump squats across incremental loads (0-60 kg) on 4 occasions, with an allocated recovery interval of 1, 2, 3, or 4 minutes. The mean log-transformed power output at each load was used for comparison between conditions (rest intervals). Unloaded jump squats (0 kg) maximized power output at each condition. The maximal mechanical power output was 66.6 ± 6.5 W·kg (1 minute), 66.2 ± 5.2 W·kg (2 minutes), 67.1 ± 5.9 W·kg (3 minutes), and 66.2 ± 6.5 W·kg (4 minutes). Trivial or unclear differences in power output were observed between rest intervals at each incremental load. As expected, power declined per 10 kg increment in load, the magnitude of decrease was 13.9-14.5% (confidence limits [CL]: ±1.3-2.0%) and 13.4-14.6% (CL: ±2.4-3.9%) for relative peak and mean power, respectively, yet differences in power output between conditions were likely insubstantial. The prescription of rest intervals between loads that are longer than 1 minute have a likely negligible effect on muscular power production in the jump squat incremental load-power profile. Practitioners should select either a 1- to 4-minute rest interval to best accommodate the logistical constraints of their monitoring sessions.</t>
  </si>
  <si>
    <t>https://search.ebscohost.com/login.aspx?direct=true&amp;db=mdc&amp;AN=23254546&amp;site=ehost-live</t>
  </si>
  <si>
    <t>Is the relationship between pattern recall and decision-making influenced by anticipatory recall?</t>
  </si>
  <si>
    <t>10.1080/17470218.2013.777083</t>
  </si>
  <si>
    <t>Decision Making physiology; Mental Recall physiology; Motivation physiology; Pattern Recognition, Visual physiology; Professional Competence; Psychomotor Performance physiology; Adolescent; Adult; Analysis of Variance; Basketball; Humans; Imagination; Male; Practice, Psychological; Young Adult</t>
  </si>
  <si>
    <t>The present study compared traditional measures of pattern recall to measures of anticipatory recall and decision-making to examine the underlying mechanisms of expert pattern perception and to address methodological limitations in previous studies where anticipatory recall has generally been overlooked. Recall performance in expert and novice basketball players was measured by examining the spatial error in recalling player positions both for a target image (traditional recall) and at 40-ms increments following the target image (anticipatory recall). Decision-making performance was measured by comparing the participant's response to those identified by a panel of expert coaches. Anticipatory recall was observed in the recall task and was significantly more pronounced for the experts, suggesting that traditional methods of spatial recall analysis may not have provided a completely accurate determination of the full magnitude of the experts' superiority. Accounting for anticipatory recall also increased the relative contribution of recall skill to decision-making accuracy although the gains in explained variance were modest and of debatable functional significance.</t>
  </si>
  <si>
    <t>https://search.ebscohost.com/login.aspx?direct=true&amp;db=mdc&amp;AN=23547767&amp;site=ehost-live</t>
  </si>
  <si>
    <t>Methods of the international study on soccer at altitude 3600 m (ISA3600).</t>
  </si>
  <si>
    <t>Gore CJ; Aughey RJ; Bourdon PC; Garvican-Lewis LA; Soria R; Claros JC; Sargent C; Roach GD; Buchheit M; Simpson BM; Hammond K; Kley M; Wachsmuth N; Pepper M; Edwards A; Cuenca D; Vidmar T; Spielvogel H; Schmidt WF</t>
  </si>
  <si>
    <t>i80</t>
  </si>
  <si>
    <t>10.1136/bjsports-2013-092770</t>
  </si>
  <si>
    <t>Australia; Bolivia; Altitude; Athletic Performance physiology; Running physiology; Soccer physiology; Acclimatization physiology; Acid-Base Equilibrium physiology; Adolescent; Australia ethnology; Blood Volume physiology; Bolivia ethnology; Hemoglobins metabolism; Humans; Male; Sleep physiology</t>
  </si>
  <si>
    <t>Background: We describe here the 3-year process underpinning a multinational collaboration to investigate soccer played at high altitude--La Paz, Bolivia (3600 m). There were two main aims: first, to quantify the extent to which running performance would be altered at 3600 m compared with near sea level; and second, to characterise the time course of acclimatisation of running performance and underlying physiology to training and playing at 3600 m. In addition, this project was able to measure the physiological changes and the effect on running performance of altitude-adapted soccer players from 3600 m playing at low altitude. Methods: A U20 Bolivian team ('The Strongest' from La Paz, n=19) played a series of five games against a U17 team from sea level in Australia (The Joeys, n=20). 2 games were played near sea level (Santa Cruz 430 m) over 5 days and then three games were played in La Paz over the next 12 days. Measures were (1) game and training running performance--including global positioning system (GPS) data on distance travelled and velocity of movement; (2) blood--including haemoglobin mass, blood volume, blood gases and acid-base status; (3) acclimatisation--including resting heart rate variability, perceived altitude sickness, as well as heart rate and perceived exertion responses to a submaximal running test; and (4) sleep patterns. Conclusions: Pivotal to the success of the project were the strong professional networks of the collaborators, with most exceeding 10 years, the links of several of the researchers to soccer federations, as well as the interest and support of the two head coaches.</t>
  </si>
  <si>
    <t>https://search.ebscohost.com/login.aspx?direct=true&amp;db=mdc&amp;AN=24282214&amp;site=ehost-live</t>
  </si>
  <si>
    <t>National Nutritional Programs for the 2012 London Olympic Games: a systematic approach by three different countries.</t>
  </si>
  <si>
    <t>Burke LM; Meyer NL; Pearce J</t>
  </si>
  <si>
    <t>Nestle Nutrition Institute workshop series</t>
  </si>
  <si>
    <t>10.1159/000350263</t>
  </si>
  <si>
    <t>Australia; London; United States; Diet; Food Services; Sports; Sports Nutritional Sciences; Australia; Humans; London; United States</t>
  </si>
  <si>
    <t>Preparing a national team for success at major sporting competitions such as the Olympic Games has become a systematic and multi-faceted activity. Sports nutrition contributes to this success via strategic nutritional interventions that optimize the outcomes from both the training process and the competitive event. This review summarizes the National Nutrition Programs involved with the 2012 London Olympic Games preparation of the Australian, British and American sports systems from the viewpoints of three key agencies: the Australian Institute of Sport, the English Institute of Sport and the United States Olympic Committee. Aspects include development of a nutrition network involving appropriately qualified sports dietitians/nutritionists within a multi-disciplinary team, recognition of continual updates in sports nutrition knowledge, and a systematic approach to service delivery, education and research within the athlete's daily training environment. Issues of clinical nutrition support must often be integrated into the performance nutrition matrix. Food service plays an important role in the achievement of nutrition goals during the Olympic Games, both through the efforts of the Athlete Dining Hall and catering activities of the host Olympic Games Organizing Committees as well as adjunct facilities often provided by National Olympic Committees for their own athletes. Copyright © 2013 Nestec Ltd., Vevey/S. Karger AG, Basel.</t>
  </si>
  <si>
    <t>https://search.ebscohost.com/login.aspx?direct=true&amp;db=mdc&amp;AN=23899758&amp;site=ehost-live</t>
  </si>
  <si>
    <t>Patterns of performance development in elite athletes.</t>
  </si>
  <si>
    <t>Gulbin J; Weissensteiner J; Oldenziel K; Gagné F</t>
  </si>
  <si>
    <t>10.1080/17461391.2012.756542</t>
  </si>
  <si>
    <t>Australia; Athletic Performance physiology; Adult; Australia; Competitive Behavior physiology; Female; Human Development physiology; Humans; Male</t>
  </si>
  <si>
    <t>This investigation sought to contrast generalised models of athlete development with the specific pathway trajectories and transitions experienced by 256 elite athletes across 27 different sports. All participants completed the National Athlete Development Survey and within it, the Athlete Development Triangle featuring the differentiation of junior and senior competition experience and progression. Developmental initiation; prevalence, magnitude and direction of pathway trajectory; extent of concurrent junior and senior competitive experience; and variability between sports were examined. Three major trajectories were identified in relation to athlete transition from Nil competition to Elite competition, via junior and senior competition phases. These included Pure ascent (16.4%), Mixed ascent (26.2%) and Mixed descent (57.4%). These were further partitioned into eight sub-trajectories, demonstrating a mix of linear, crossover and concurrent competition profiles. Substantial variability with regard to starting age, pattern of ascent and magnitude of transition was apparent. Non-linear trajectories were experienced by the majority of athletes (83.6%), with pure junior to senior developmental linearity evident in less than 7% of cases. Athletes in cgs sports (those measured in centimetres, grams or seconds) were less likely (43%) to experience a descending trajectory in comparison with non-cgs athletes (70%; p&lt;0.001). The collective findings of this investigation demonstrate that, contrary to the popular pyramidal concept of athlete development, a single linear assault on expertise is rare, and that the common normative junior to senior competition transition is mostly characterised by complex oscillations featuring highly varied transitions. More developmental 'granularity' is needed to advance our understanding of sport expertise.</t>
  </si>
  <si>
    <t>https://search.ebscohost.com/login.aspx?direct=true&amp;db=mdc&amp;AN=24251738&amp;site=ehost-live</t>
  </si>
  <si>
    <t>Physiological, anthropometric, and performance characteristics of rugby sevens players.</t>
  </si>
  <si>
    <t>Higham DG; Pyne DB; Anson JM; Eddy A</t>
  </si>
  <si>
    <t>10.1123/ijspp.8.1.19</t>
  </si>
  <si>
    <t>Anthropometry; Athletic Performance physiology; Football physiology; Acceleration; Cross-Sectional Studies; Humans; Male; Muscle Strength physiology; Oxygen Consumption physiology; Physical Endurance physiology; Physical Fitness physiology; Recovery of Function physiology; Young Adult</t>
  </si>
  <si>
    <t>Unlabelled: Although the characteristics of 15-a-side rugby union players have been well defined, there is little information on rugby sevens players. Purpose: The authors profiled the anthropometric, physiological, and performance qualities of elite-level rugby sevens players and quantified relationships between these characteristics. Methods: Eighteen male international rugby sevens players undertook anthropometric (body mass, height, sum of 7 skinfolds, lean-mass index), acceleration and speed (40-m sprint), muscle-power (vertical jump), repeated-sprint-ability (6 × 30-m sprint), and endurance (Yo-Yo Intermittent Recovery test and treadmill VO2max) testing. Associations between measurements were assessed by correlation analysis. Results: Rugby sevens players had anthropometric characteristics (body mass 89.7 ± 7.6 kg, height 1.83 ± 0.06 m, sum of 7 skinfolds 52.2 ± 11.5 mm; mean ± SD) similar to those of backs in international 15-player rugby union. Acceleration and speed (40-m sprint 5.11 ± 0.15 s), muscle-power (vertical jump 66 ± 7 cm), and endurance (VO2max 53.8 ± 3.4 mL · kg-1 · min-1) qualities were similar to, or better than, those of professional 15-a-side players. Coefficients of variation ranged from 2.5% to 22%. Relative VO2max was largely correlated with Yo-Yo distance (r = .60, .21-.82; 90% confidence interval) and moderately correlated with 40-m sprint time (r = -.46, -.75 to -.02) and repeated-sprint ability (r = -.38, -.72 to .09). Conclusions: International rugby sevens players require highly developed speed, power, and endurance to tolerate the demands of competition. The small between-athletes variability of characteristics in rugby sevens players highlights the need for relatively uniform physical and performance standards in contrast with 15-a-side players.</t>
  </si>
  <si>
    <t>https://search.ebscohost.com/login.aspx?direct=true&amp;db=mdc&amp;AN=22868376&amp;site=ehost-live</t>
  </si>
  <si>
    <t>Practical considerations for bicarbonate loading and sports performance.</t>
  </si>
  <si>
    <t>10.1159/000345814</t>
  </si>
  <si>
    <t>Athletic Performance physiology; Dietary Supplements; Sodium Bicarbonate administration &amp; dosage; Sports Nutritional Physiological Phenomena; Adaptation, Physiological drug effects; Adaptation, Physiological physiology; Athletes; Diet; Exercise physiology; Humans; Sodium Bicarbonate blood; Sports physiology</t>
  </si>
  <si>
    <t>Consumption of sodium bicarbonate (300 mg/kg 1-2 h before exercise) can temporarily increase blood bicarbonate concentrations, enhancing extracellular buffering of hydrogen ions which accumulate and efflux from the working muscle. Such 'bicarbonate loading' provides an ergogenic strategy for sporting events involving high rates of anaerobic glycolysis which are otherwise limited by the body's capacity to manage the progressive increase in intracellular acidity. Studies show that bicarbonate loading strategies have a moderate positive effect on the performance of sports involving 1-7 min of sustained strenuous exercise, and may also be useful for prolonged sports involving intermittent or sustained periods of high-intensity work rates. This potential to enhance sports performance requires further investigation using appropriate research design, but may be limited by practical considerations such as gut discomfort or the logistics of the event. The effect of chronic use of bicarbonate supplementation prior to high-intensity workouts to promote better training performance and adaptations is worthy of further investigation. While this relatively simple dietary strategy has been studied and used by sports people for over 80 years, it is likely that there are still ways in which further benefits from bicarbonate supplementation can be developed and individualized for specific athletes or specific events. Copyright © 2013 Nestec Ltd., Vevey/S. Karger AG, Basel.</t>
  </si>
  <si>
    <t>https://search.ebscohost.com/login.aspx?direct=true&amp;db=mdc&amp;AN=23765347&amp;site=ehost-live</t>
  </si>
  <si>
    <t>Precooling methods and their effects on athletic performance : a systematic review and practical applications.</t>
  </si>
  <si>
    <t>Ross M; Abbiss C; Laursen P; Martin D; Burke L</t>
  </si>
  <si>
    <t>10.1007/s40279-012-0014-9</t>
  </si>
  <si>
    <t>Athletic Performance physiology; Cold Temperature; Humans</t>
  </si>
  <si>
    <t>Background: Precooling is a popular strategy used to combat the debilitating effects of heat-stress-induced fatigue and extend the period in which an individual can tolerate a heat-gaining environment. Interest in precooling prior to sporting activity has increased over the past three decades, with options including the application (external) and ingestion (internal) of cold modalities including air, water and/or ice, separately or in combination, immediately prior to exercise. Although many studies have observed improvements in exercise capacity or performance following precooling, some strategies are more logistically challenging than others, and thus are often impractical for use in competition or field settings. Objective: The purpose of this article was to comprehensively evaluate the established precooling literature, which addresses the application of cooling strategies that are likely to enhance field-based sports performance, while discussing the practical and logistical issues associated with these methods. We undertook a narrative examination that focused on the practical and event-specific application of precooling and its effect on physiological parameters and performance. Data Sources: Relevant precooling literature was located through the PubMed database with second- and third-order reference lists manually cross matched for relevant journal articles. The last day of the literature search was 31 January 2012. Study Selection: Relevant studies were included on the basis of conforming to strict criteria, including the following: (i) cooling was conducted before exercise; (ii) cooling was conducted during the performance task in a manner that was potentially achievable during sports competition; (iii) a measure of athletic performance was assessed; (iv) subjects included were able bodied, and free of diseases or disorders that would affect thermoregulation; (v) subjects were endurance-trained humans (maximal oxygen uptake [[Formula: see text]O(2max)] &gt;50 ml/kg/min for endurance protocols); (vi) cooling was not performed on already hyperthermic subjects that were in immediate danger of heat-related illnesses or had received passive heating treatments; (vii) drink ingestion protocols were used for the intended purpose of benefiting thermoregulation as a result of beverage temperature; and (viii) investigations employed ≥ six subjects. Initial searches yielded 161 studies, but 106 were discarded on failing to meet the established criteria. This final summary evaluated 74 precooling treatments, across 55 studies employing well trained subjects. Study Appraisal and Synthesis Methods: Key physiological and performance information from each study was extracted and presented, and includes respective subject characteristics, detailed precooling methods, exercise protocols, environmental conditions, along with physiological and performance outcomes. Data were presented in comparison to respective control treatments. For studies that include more than one treatment intervention, the comparative results between each precooling treatment were also presented. The practical benefits and limitations of employing each strategy in the field and in relation to sports performance were summarized. Results: Clear evidence of the benefits for a range of precooling strategies undertaken in the laboratory setting exists, which suggest that these strategies could be employed by athletes who compete in hot environmental conditions to improve exercise safety, reduce their perceived thermal stress and improve sports performance. Limitations: This review did not include a systematic assessment of the study quality rating and provided a subjective assessment of the pooled outcomes of studies, which range in precooling methodologies and exercise outcomes. The wide range of research designs, precooling methods, environmental conditions and exercise protocols make it difficult to integrate all the available research into single findings. Conclusion: Most laboratory studies have shown improvements in exercise performance following precooling and the emergence of strategies that are practically relevant to the field setting now allow scientists to individualize relevant strategies for teams and individuals at competition locations. Future research is warranted to investigate the effectiveness of practical precooling strategies in competition or field settings.</t>
  </si>
  <si>
    <t>https://search.ebscohost.com/login.aspx?direct=true&amp;db=mdc&amp;AN=23329610&amp;site=ehost-live</t>
  </si>
  <si>
    <t>Relationship between changes in haemoglobin mass and maximal oxygen uptake after hypoxic exposure.</t>
  </si>
  <si>
    <t>Saunders PU; Garvican-Lewis LA; Schmidt WF; Gore CJ</t>
  </si>
  <si>
    <t>i26</t>
  </si>
  <si>
    <t>10.1136/bjsports-2013-092841</t>
  </si>
  <si>
    <t>Altitude; Athletic Performance physiology; Hemoglobins metabolism; Hypoxia physiopathology; Bicycling physiology; Case-Control Studies; Exercise Tolerance physiology; Female; Humans; Hypoxia metabolism; Male; Oxygen Consumption physiology; Physical Exertion physiology; Running physiology; Swimming physiology; Walking physiology</t>
  </si>
  <si>
    <t>Background: Endurance athletes have been using altitude training for decades to improve near sea-level performance. The predominant mechanism is thought to be accelerated erythropoiesis increasing haemoglobin mass (Hb(mass)) resulting in a greater maximal oxygen uptake (VO₂(max)). Not all studies have shown a proportionate increase in VO₂(max) as a result of increased Hb(mass). The aim of this study was to determine the relationship between the two parameters in a large group of endurance athletes after altitude training. Methods: 145 elite endurance athletes (94 male and 51 female) who participated in various altitude studies as altitude or control participants were used for the analysis. Participants performed Hb(mass) and VO₂(max) testing before and after intervention. Results: For the pooled data, the correlation between per cent change in Hb(mass) and per cent change in VO₂(max) was significant (p&lt;0.0001, r(2)=0.15), with a slope (95% CI) of 0.48 (0.30 to 0.67) intercept free to vary and 0.62 (0.46 to 0.77) when constrained through the origin. When separated, the correlations were significant for the altitude and control groups, with the correlation being stronger for the altitude group (slope of 0.57 to 0.72). Conclusions: With high statistical power, we conclude that altitude training of endurance athletes will result in an increase in VO₂(max) of more than half the magnitude of the increase in Hb(mass), which supports the use of altitude training by athletes. But race performance is not perfectly related to relative VO₂(max), and other non-haematological factors altered from altitude training, such as running economy and lactate threshold, may also be beneficial to performance.</t>
  </si>
  <si>
    <t>https://search.ebscohost.com/login.aspx?direct=true&amp;db=mdc&amp;AN=24282203&amp;site=ehost-live</t>
  </si>
  <si>
    <t>The effects of chronic sodium bicarbonate ingestion and interval training in highly trained rowers.</t>
  </si>
  <si>
    <t>Driller MW; Gregory JR; Williams AD; Fell JW</t>
  </si>
  <si>
    <t>10.1123/ijsnem.23.1.40</t>
  </si>
  <si>
    <t>Australia; Athletic Performance physiology; Exercise physiology; Physical Endurance drug effects; Sodium Bicarbonate pharmacology; Sports physiology; Adult; Australia; Double-Blind Method; Exercise Test; Humans; Hydrogen-Ion Concentration; Lactates blood; Male; Oxygen Consumption; Physical Endurance physiology; Ships; Sodium Bicarbonate blood; Water; Young Adult</t>
  </si>
  <si>
    <t>Recent research has reported performance improvements after chronic NaHCO3 ingestion in conjunction with high-intensity interval training (HIT) in moderately trained athletes. The purpose of the current study was to determine the effects of altering plasma H+ concentration during HIT through NaHCO3 ingestion over 4 wk (2 HIT sessions/wk) in 12 Australian representative rowers (M ± SD; age 22 ± 3 yr, mass 76.4 ± 4.2 kg, VO(2peak) 65.50 ± 2.74 ml · kg(-1) · min(-1)). Baseline testing included a 2,000-m time trial and an incremental exercise test. After baseline testing, rowers were allocated to either a chronic NaHCO3 (ALK) or placebo (PLA) group. Starting 90 min before each HIT session, subjects ingested a 0.3-g/kg body mass dose of NaHCO3 or a placebo substance. Fingertip blood samples were taken throughout the study to analyze bicarbonate and pH levels. The ALK group did not produce any additional improvements in 2,000-m rowing performance time compared with PLA (p &gt; .05). Magnitude-based inferential analysis indicated an unclear or trivial effect on 2,000-m power, 2,000-m time, peak power output, and power at 4 mmol/L lactate threshold in the ALK group compared with the PLA group. Although there was no difference between groups, during the study there was a significant mean (± SD) 2,000-m power improvement in both the ALK and PLA groups of 17.8 ± 14.5 and 15.2 ± 18.3 W, respectively. In conclusion, despite overall improvements in rowing performance after 4 wk of HIT, the addition of chronic NaHCO3 supplementation during the training period did not significantly enhance performance further.</t>
  </si>
  <si>
    <t>https://search.ebscohost.com/login.aspx?direct=true&amp;db=mdc&amp;AN=22899814&amp;site=ehost-live</t>
  </si>
  <si>
    <t>The effects of injury and illness on haemoglobin mass.</t>
  </si>
  <si>
    <t>Gough CE; Sharpe K; Garvican LA; Anson JM; Saunders PU; Gore CJ</t>
  </si>
  <si>
    <t>10.1055/s-0033-1333692</t>
  </si>
  <si>
    <t>Athletes; Athletic Injuries physiopathology; Hemoglobins metabolism; Physical Education and Training methods; Adolescent; Adult; Altitude; Female; Humans; Iron administration &amp; dosage; Linear Models; Male; Sex Factors; Surgical Procedures, Operative methods; Time Factors; Young Adult</t>
  </si>
  <si>
    <t>This study sought to quantify the effects of reduced training, surgery and changes in body mass on haemoglobin mass (Hbmass) in athletes. Hbmass of 15 athletes (6 males, 9 females) was measured 9±6 (mean±SD) times over 162±198 days, during reduced training following injury or illness. Additionally, body mass (n=15 athletes) and episodes of altitude training (n=2), iron supplementation (n=5), or surgery (n=3) were documented. Training was recorded and compared with pre-injury levels. Analysis used linear mixed models for ln(Hbmass), with Sex, Altitude, Surgery, Iron, Training and log(Body Mass) as fixed effects, and Athlete as a fixed and random effect. Reduced training and surgery led to 2.3% (p=0.02) and 2.7% (p=0.04) decreases in Hbmass, respectively. Altitude and iron increased Hbmass by 2.4% (p=0.03) and 4.2% (p=0.05), respectively. The effect of changes in body mass on Hbmass was not statistically significant (p=0.435).The estimates for the effects of surgery and altitude on Hbmass should be confirmed by future research using a larger sample of athletes. These estimates could be used to inform the judgements of experts examining athlete biological passports, improving their interpretation of Hbmass perturbations, which athletes claim are related to injury, thereby protecting innocent athletes from unfair sanctioning. © Georg Thieme Verlag KG Stuttgart · New York.</t>
  </si>
  <si>
    <t>https://search.ebscohost.com/login.aspx?direct=true&amp;db=mdc&amp;AN=23444086&amp;site=ehost-live</t>
  </si>
  <si>
    <t>The expert advantage in dynamic pattern recall persists across both attended and unattended display elements.</t>
  </si>
  <si>
    <t>10.3758/s13414-013-0423-3</t>
  </si>
  <si>
    <t>Attention physiology; Basketball physiology; Basketball psychology; Mental Recall physiology; Pattern Recognition, Visual physiology; Repetition Priming physiology; Adolescent; Humans; Male; Memory, Long-Term physiology; Photic Stimulation methods; Video Recording; Young Adult</t>
  </si>
  <si>
    <t>We examined how differences in attention influence how expert and novice basketball players encode into memory the specific structural information contained within patterns of play from their sport. Our participants were primed during a typical recall task to focus attention on either attacking or defending player formations before being asked to recall the attended or unattended portion of the pattern. Adherence to the instructional set was confirmed through an analysis of gaze distributions. Recall performance was superior for the experts relative to the novices across both the attended and unattended attacking and defensive pattern structures. Expert recall of attacker positions was unchanged with and without attention, whereas recall accuracy for the positions of defenders diminished without attention, as did the novices' recall of both attack and defense formations. The findings suggest that experienced performers are better than novices at encoding the elements from a complex and dynamic pattern in the absence of focused attention, with this advantage being especially evident in relation to the recall of attacking structure. Some revision of long-term memory theories of expertise will be necessary to accommodate these findings.</t>
  </si>
  <si>
    <t>https://search.ebscohost.com/login.aspx?direct=true&amp;db=mdc&amp;AN=23649796&amp;site=ehost-live</t>
  </si>
  <si>
    <t>The reliability of a 30-s sprint test on the Wattbike cycle ergometer.</t>
  </si>
  <si>
    <t>Driller MW; Argus CK; Shing CM</t>
  </si>
  <si>
    <t>10.1123/ijspp.8.4.379</t>
  </si>
  <si>
    <t>Exercise Test methods; Adult; Athletic Performance physiology; Heart Rate physiology; Humans; Lactic Acid blood; Physical Exertion physiology; Reproducibility of Results</t>
  </si>
  <si>
    <t>Purpose: To determine the reliability of a 30-s sprint cycle test on the Wattbike cycle ergometer. Methods: Over 3 consecutive weeks, 11 highly trained cyclists (mean ± SD; age 31 ± 6 y, mass 74.6 ± 10.6 kg, height 180.5 ± 8.1cm) completed four 30-s maximal sprints on a Wattbike ergometer after a standardized warm-up. The sprint test implemented a "rolling start" that consisted of a 60-s preload (at an intensity of 4.5 W/kg) before the 30-s maximal sprint. Variables determined across the duration of the sprint were peak power (Wpeak), mean power (Wmean), W/kg, mean cadence (rpm), maximum heart rate (n = 10), and postexercise blood lactate. Results: The average intraclass correlation coefficients between trials (2v1, 3v2, 4v3, 4v1) were Wpeak .97 (90%CI .94-.99), Wmean .99 (90%CI .97-1.00), W/kg .96 (90%CI .91-.98), mean cadence .96 (90%CI .92-.99), maximum heart rate .99 (90%CI .97-.99), and postexercise blood lactate .94 (90%CI .87-.98). The average typical error of measurement (expressed as a CV% and absolute value between trials-2v1, 3v2, 4v3, 4v1) was Wpeak 4.9%, 52.7 W; Wmean 2.4%, 19.2 W; W/kg 2.3%, 0.18 W/kg; mean cadence 1.4%, 1.6 rpm; maximum heart rate 0.9%, 1.6 beats/min; and postexercise blood lactate 4.6%, 0.48 mmol/L. Conclusion: A 30-s sprint test on the Wattbike cycle ergometer is highly reproducible in trained cyclists.</t>
  </si>
  <si>
    <t>https://search.ebscohost.com/login.aspx?direct=true&amp;db=mdc&amp;AN=23863304&amp;site=ehost-live</t>
  </si>
  <si>
    <t>Validation of jump squats as a practical measure of post-activation potentiation.</t>
  </si>
  <si>
    <t>10.1139/apnm-2012-0277</t>
  </si>
  <si>
    <t>Muscle Strength; Muscle, Skeletal; Athletic Performance; Exercise; Humans; Knee</t>
  </si>
  <si>
    <t>To determine if post-activation potentiation (PAP) can augment sports performance, it is pertinent that researchers be confident that any enhancement in performance is attributable to the PAP phenomenon. However, obtaining mechanistic measures of PAP in the daily training environment of highly trained athletes is impractical. We sought to validate jump squats as a practical measure with ecological validity to sports performance against a mechanistic measure of PAP. We assessed the evoked muscle twitch properties of the knee extensors and jump squat kinetics of 8 physically trained males in response to a 5-repetition-maximum back squat conditioning stimulus (CS). Evoked muscle twitch, followed by 3 jump squats, was assessed before and at 4, 8, and 12 min post CS. Time intervals were assessed on separate occasions using a Latin square design. Linear regression was used to determine the relationship between post-pre changes in kinetic variables and muscle twitch peak force (Ft) and twitch rate of force development (RFDt). Large correlations were observed for both concentric relative and absolute mean power and Ft (r = 0.50 ± 0.30) and RFDt (r = 0.56 ± 0.27 and r = 0.58 ± 0.26). Concentric rate of force development (RFD) showed moderate correlations with Ft (r = 0.45 ± 0.33) and RFDt (r = 0.49 ± 0.32). Small-to-moderate correlations were observed for a number of kinetic variables (r = -0.42-0.43 ± 0.32-0.38). Jump squat concentric mean power and RFD are valid ecological measures of muscle potentiation, capable of detecting changes in athletic performance in response to the PAP phenomenon.</t>
  </si>
  <si>
    <t>https://search.ebscohost.com/login.aspx?direct=true&amp;db=mdc&amp;AN=23537023&amp;site=ehost-live</t>
  </si>
  <si>
    <t>Water immersion recovery for athletes: effect on exercise performance and practical recommendations.</t>
  </si>
  <si>
    <t>Versey NG; Halson SL; Dawson BT</t>
  </si>
  <si>
    <t>10.1007/s40279-013-0063-8</t>
  </si>
  <si>
    <t>Exercise physiology; Fatigue therapy; Immersion; Recovery of Function; Sports physiology; Athletic Performance physiology; Cold Temperature; Fatigue physiopathology; Hot Temperature; Humans; Physical Conditioning, Human methods; Time Factors; Water</t>
  </si>
  <si>
    <t>Water immersion is increasingly being used by elite athletes seeking to minimize fatigue and accelerate post-exercise recovery. Accelerated short-term (hours to days) recovery may improve competition performance, allow greater training loads or enhance the effect of a given training load. However, the optimal water immersion protocols to assist short-term recovery of performance still remain unclear. This article will review the water immersion recovery protocols investigated in the literature, their effects on performance recovery, briefly outline the potential mechanisms involved and provide practical recommendations for their use by athletes. For the purposes of this review, water immersion has been divided into four techniques according to water temperature: cold water immersion (CWI; ≤20 °C), hot water immersion (HWI; ≥36 °C), contrast water therapy (CWT; alternating CWI and HWI) and thermoneutral water immersion (TWI; &gt;20 to &lt;36 °C). Numerous articles have reported that CWI can enhance recovery of performance in a variety of sports, with immersion in 10-15 °C water for 5-15 min duration appearing to be most effective at accelerating performance recovery. However, the optimal CWI duration may depend on the water temperature, and the time between CWI and the subsequent exercise bout appears to influence the effect on performance. The few studies examining the effect of post-exercise HWI on subsequent performance have reported conflicting findings; therefore the effect of HWI on performance recovery is unclear. CWT is most likely to enhance performance recovery when equal time is spent in hot and cold water, individual immersion durations are short (~1 min) and the total immersion duration is up to approximately 15 min. A dose-response relationship between CWT duration and recovery of exercise performance is unlikely to exist. Some articles that have reported CWT to not enhance performance recovery have had methodological issues, such as failing to detect a decrease in performance in control trials, not performing full-body immersion, or using hot showers instead of pools. TWI has been investigated as both a control to determine the effect of water temperature on performance recovery, and as an intervention itself. However, due to conflicting findings it is uncertain whether TWI improves recovery of subsequent exercise performance. Both CWI and CWT appear likely to assist recovery of exercise performance more than HWI and TWI; however, it is unclear which technique is most effective. While the literature on the use of water immersion for recovery of exercise performance is increasing, further research is required to obtain a more complete understanding of the effects on performance.</t>
  </si>
  <si>
    <t>https://search.ebscohost.com/login.aspx?direct=true&amp;db=mdc&amp;AN=23743793&amp;site=ehost-live</t>
  </si>
  <si>
    <t>What do athletes drink during competitive sporting activities?</t>
  </si>
  <si>
    <t>Garth AK; Burke LM</t>
  </si>
  <si>
    <t>10.1007/s40279-013-0028-y</t>
  </si>
  <si>
    <t>Athletes psychology; Beverages; Dehydration prevention &amp; control; Drinking Behavior; Sports psychology; Dehydration etiology; Hot Temperature adverse effects; Humans; Physical Endurance physiology; Sports physiology; Sweating physiology; Water-Electrolyte Balance</t>
  </si>
  <si>
    <t>Although expert groups have developed guidelines for fluid intake during sports, there is debate about their real-world application. We reviewed the literature on self-selected hydration strategies during sporting competitions to determine what is apparently practical and valued by athletes. We found few studies of drinking practices involving elite or highly competitive athletes, even in popular sports. The available literature revealed wide variability in fluid intake and sweat losses across and within different events with varied strategies to allow fluid intake. Typical drinking practices appear to limit body mass (BM) losses to ~2 % in non-elite competitors. There are events, however, in which mean losses are greater, particularly among elite competitors and in hot weather, and evidence that individual participants fail to meet current guidelines by gaining BM or losing &gt;2 % BM over the competition activity. Substantial (&gt;5 %) BM loss is noted in the few studies of elite competitors in endurance and ultra-endurance events; while this may be consistent with winning outcomes, such observations cannot judge whether performance was optimal for that individual. A complex array of factors influence opportunities to drink during continuous competitive activities, many of which are outside the athlete's control: these include event rules and tactics, regulated availability of fluid, need to maintain optimal technique or speed, and gastrointestinal comfort. Therefore, it is questionable, particularly for top competitors, whether drinking can be truly ad libitum (defined as "whenever and in whatever volumes chosen by the athlete"). While there are variable relationships between fluid intake, fluid balance across races, and finishing times, in many situations it appears that top athletes take calculated risks in emphasizing the costs of drinking against the benefits. However, some non-elite competitors may need to be mindful of the disadvantages of drinking beyond requirements during long events. Across the sparse literature on competition hydration practices in other sports, there are examples of planned and/or ad hoc opportunities to consume fluid, where enhanced access to drinks may allow situations at least close to ad libitum drinking. However, this situation is not universal and, again, the complex array of factors that influence the opportunity to drink during an event is also often beyond the athletes' control. Additionally, some competition formats result in athletes commencing the event with a body fluid deficit because of their failure to rehydrate from a previous bout of training/competition or weight-making strategies. Finally, since fluids consumed during exercise may also be a source of other ingredients (e.g., carbohydrate, electrolytes, or caffeine) or characteristics (e.g., temperature) that can increase palatability or performance, there may be both desirable volumes and patterns of intake that are independent of hydration concerns or thirst, as well as benefits from undertaking a "paced" fluid plan. Further studies of real-life hydration practices in sports including information on motives for drinking or not, along with intervention studies that simulate the actual nature of real-life sport, are needed before conclusions can be made about ideal drinking strategies for sports. Different interpretations may be needed for elite competitors and recreational participants.</t>
  </si>
  <si>
    <t>https://search.ebscohost.com/login.aspx?direct=true&amp;db=mdc&amp;AN=23529286&amp;site=ehost-live</t>
  </si>
  <si>
    <t>Ankle instability effects on joint position sense when stepping across the active movement extent discrimination apparatus.</t>
  </si>
  <si>
    <t>Witchalls J; Waddington G; Blanch P; Adams R</t>
  </si>
  <si>
    <t>10.4085/1062-6050-47.6.12</t>
  </si>
  <si>
    <t>Ankle Joint physiology; Joint Instability physiopathology; Proprioception physiology; Range of Motion, Articular; Sprains and Strains physiopathology; Adult; Ankle physiopathology; Ankle Injuries; Female; Humans; Male; Muscle, Skeletal physiology; Muscle, Skeletal physiopathology; Walking physiology; Young Adult</t>
  </si>
  <si>
    <t>Context: Individuals with and without functional ankle instability have been tested for deficits in lower limb proprioception with varied results. Objective: To determine whether a new protocol for testing participants' joint position sense during stepping is reliable and can detect differences between participants with unstable and stable ankles. Design: Descriptive laboratory study. Setting: University clinical laboratory. Patients or Other Participants: Sample of convenience involving 21 young adult university students and staff. Ankle stability was categorized by score on the Cumberland Ankle Instability Tool; 13 had functional ankle instability, 8 had healthy ankles. Intervention(s): Test-retest of ankle joint position sense when stepping onto and across the Active Movement Extent Discrimination Apparatus twice, separated by an interim test, standing still on the apparatus and moving only 1 ankle into inversion. Main Outcome Measure(s): Difference in scores between groups with stable and unstable ankles and between test repeats. Results: Participants with unstable ankles were worse at differentiating between inversion angles underfoot in both testing protocols. On repeated testing with the stepping protocol, performance of the group with unstable ankles was improved (Cohen d = 1.06, P = .006), whereas scores in the stable ankle group did not change in the second test (Cohen d = 0.04, P = .899). Despite this improvement, the unstable group remained worse at differentiating inversion angles on the stepping retest (Cohen d = 0.99, P = .020). Conclusions: The deficits on proprioceptive tests shown by individuals with functional ankle instability improved with repeated exposure to the test situation. The learning effect may be the result of systematic exposure to ankle-angle variation that led to movement-specific learning or increased confidence when stepping across the apparatus.</t>
  </si>
  <si>
    <t>https://search.ebscohost.com/login.aspx?direct=true&amp;db=mdc&amp;AN=23182010&amp;site=ehost-live</t>
  </si>
  <si>
    <t>Classical pattern recall tests and the prospective nature of expert performance.</t>
  </si>
  <si>
    <t>10.1080/17470218.2011.644306</t>
  </si>
  <si>
    <t>Mental Recall physiology; Neuropsychological Tests; Pattern Recognition, Visual physiology; Professional Competence; Adult; Basketball psychology; Humans; Male; Motion Perception; Practice, Psychological; Video Recording; Young Adult</t>
  </si>
  <si>
    <t>It is well established that experts are particularly adept at recalling and/or recognizing the key features of domain-relevant patterns. We compared the recall performance of expert and novice basketball players when viewing static and moving patterns. A novel method of analysis was used where the accuracy of the participants in recalling player positions was compared to actual player positions both at the final frame of pattern presentation and at 50 successive 40 ms increments thereafter. Experts encoded the locations of the players in both the static and moving patterns significantly further in advance of their actual finishing point than did nonexperts. Experts' use of an anticipatory encoding process, which was of a magnitude unmatched by nonexperts, suggests that many previous investigations may have underestimated the extent of the expert advantage in pattern recall.</t>
  </si>
  <si>
    <t>https://search.ebscohost.com/login.aspx?direct=true&amp;db=mdc&amp;AN=22414197&amp;site=ehost-live</t>
  </si>
  <si>
    <t>Comparative analysis of active drag using the MAD system and an assisted towing method in front crawl swimming.</t>
  </si>
  <si>
    <t>Formosa DP; Toussaint HM; Mason BR; Burkett B</t>
  </si>
  <si>
    <t>10.1123/jab.28.6.746</t>
  </si>
  <si>
    <t>Athletic Performance physiology; Models, Biological; Physical Exertion physiology; Rheology methods; Swimming physiology; Computer Simulation; Female; Friction; Humans; Male; Shear Strength physiology; Stress, Mechanical; Young Adult</t>
  </si>
  <si>
    <t>The measurement of active drag in swimming is a biomechanical challenge. This research compared two systems: (i) measuring active drag (MAD) and (ii) assisted towing method (ATM). Nine intermediate-level swimmers (19.7 ± 4.4 years) completed front crawl trials with both systems during one session. The mean (95% confidence interval) active drag for the two systems, at the same maximum speed of 1.68 m/s (1.40-1.87 m/s), was significantly different (p = .002) with a 55% variation in magnitude. The mean active drag was 82.3 N (74.0-90.6 N) for the MAD system and 148.3 N (127.5-169.1 N) for the ATM system. These differences were attributed to variations in swimming style within each measurement system. The inability to measure the early catch phase and kick, along with the fixed length and depth hand place requirement within the MAD system generated a different swimming technique, when compared with the more natural free swimming ATM protocol. A benefit of the MAD system was the measurement of active drag at various speeds. Conversely, the fixed towing speed of the ATM system allowed a natural self-selected arm stroke (plus kick) and the generation of an instantaneous force-time profile.</t>
  </si>
  <si>
    <t>https://search.ebscohost.com/login.aspx?direct=true&amp;db=mdc&amp;AN=22695220&amp;site=ehost-live</t>
  </si>
  <si>
    <t>Curve and instep kick kinematics in elite female footballers.</t>
  </si>
  <si>
    <t>Alcock AM; Gilleard W; Hunter AB; Baker J; Brown N</t>
  </si>
  <si>
    <t>10.1080/02640414.2011.643238</t>
  </si>
  <si>
    <t>Hip physiology; Lower Extremity physiology; Movement; Soccer physiology; Task Performance and Analysis; Adolescent; Adult; Biomechanical Phenomena; Female; Humans; Sports Equipment; Young Adult</t>
  </si>
  <si>
    <t>The three-dimensional kinematics of international female footballers performing a simulated direct free kick (curve kick) were compared with those of an instep kick. Reflective markers attached to the participants were tracked by 17 Vicon cameras sampling at 250 Hz. Foot velocity at ball impact did not differ between the two types of kick, but the way in which foot velocity was generated did differ, with instep kicks using a faster approach velocity and greater linear velocities of the hip and knee, and curve kicks using a greater knee angular velocity at impact. In both types of kick, peak knee angular velocity and peak ankle linear velocity occurred at ball impact, providing biomechanical support to the common coaching recommendation of kicking through the ball. To achieve a curved ball trajectory, players should take a wide approach angle, point the support foot to the right of the intended target (for right-footed players), swing the kicking limb across the face of the goal, and impact the ball with the foot moving upwards and in an abducted position. This information will be useful to coaches and players in identifying the fundamental coaching points necessary to achieve a curved trajectory of the ball compared with the more commonly described instep kick kinematics.</t>
  </si>
  <si>
    <t>https://search.ebscohost.com/login.aspx?direct=true&amp;db=mdc&amp;AN=22214481&amp;site=ehost-live</t>
  </si>
  <si>
    <t>Distinguishing psychological characteristics of expert cricket batsmen.</t>
  </si>
  <si>
    <t>Weissensteiner JR; Abernethy B; Farrow D; Gross J</t>
  </si>
  <si>
    <t>10.1016/j.jsams.2011.07.003</t>
  </si>
  <si>
    <t>Queensland; Adaptation, Psychological; Athletes psychology; Personality; Adult; Humans; Male; Queensland; Sports psychology; Surveys and Questionnaires; Young Adult</t>
  </si>
  <si>
    <t>Objectives: This paper sought to determine the psychological characteristics and skills that are fundamental to batting success in the sport of cricket. Design and Method: Following on from the findings of an earlier qualitative investigation which suggested that a favourable mix of psychological attributes and skills are critical to high performance in batting (Weissensteiner et al.(10)), adult-aged batsmen of two different skill levels (highly skilled n=11; lesser skilled n=10) completed a battery of psychological tests that included measures of mental toughness (Mental Toughness Inventory), perfectionism (Multidimensional Perfectionism Scale), coping ability (Athletic Coping Skills Inventory-28), and optimism (Attributional Styles Questionnaire). Results: Contrary to the research hypothesis, it was found that the highly skilled batsmen were only distinguishable from batsmen of lesser skill by their higher degree of global mental toughness. The skilled batsmen scored significantly higher on mental toughness dimensions relating to motivation (Personal Bests, Task Value and Commitment), coping skill (Perseverance) and self-belief (Potential). Conclusions: If mental toughness can be reliably predicted at an earlier age, it may be an attribute worthy of inclusion in future talent identification and development programs. Copyright © 2011 Sports Medicine Australia. Published by Elsevier Ltd. All rights reserved.</t>
  </si>
  <si>
    <t>https://search.ebscohost.com/login.aspx?direct=true&amp;db=mdc&amp;AN=21820960&amp;site=ehost-live</t>
  </si>
  <si>
    <t>Effect of 10 week beta-alanine supplementation on competition and training performance in elite swimmers.</t>
  </si>
  <si>
    <t>Chung W; Shaw G; Anderson ME; Pyne DB; Saunders PU; Bishop DJ; Burke LM</t>
  </si>
  <si>
    <t>10.3390/nu4101441</t>
  </si>
  <si>
    <t>Athletic Performance; Central Nervous System Stimulants pharmacology; Competitive Behavior drug effects; Dietary Supplements; Physical Education and Training; Swimming physiology; beta-Alanine pharmacology; Adult; Athletes; Blood Chemical Analysis; Double-Blind Method; Female; Humans; Male; Young Adult</t>
  </si>
  <si>
    <t>Although some laboratory-based studies show an ergogenic effect with beta-alanine supplementation, there is a lack of field-based research in training and competition settings. Elite/Sub-elite swimmers (n = 23 males and 18 females, age = 21.7 ± 2.8 years; mean ± SD) were supplemented with either beta-alanine (4 weeks loading phase of 4.8 g/day and 3.2 g/day thereafter) or placebo for 10 weeks. Competition performance times were log-transformed, then evaluated before (National Championships) and after (international or national selection meet) supplementation. Swimmers also completed three standardized training sets at baseline, 4 and 10 weeks of supplementation. Capillary blood was analyzed for pH, bicarbonate and lactate concentration in both competition and training. There was an unclear effect (0.4%; ± 0.8%, mean, ± 90% confidence limits) of beta-alanine on competition performance compared to placebo with no meaningful changes in blood chemistry. While there was a transient improvement on training performance after 4 weeks with beta-alanine (-1.3%; ± 1.0%), there was an unclear effect at ten weeks (-0.2%; ± 1.5%) and no meaningful changes in blood chemistry. Beta-alanine supplementation appears to have minimal effect on swimming performance in non-laboratory controlled real-world training and competition settings.</t>
  </si>
  <si>
    <t>https://search.ebscohost.com/login.aspx?direct=true&amp;db=mdc&amp;AN=23201763&amp;site=ehost-live</t>
  </si>
  <si>
    <t>Effect of contrast water therapy duration on recovery of running performance.</t>
  </si>
  <si>
    <t>10.1123/ijspp.7.2.130</t>
  </si>
  <si>
    <t>Athletic Performance; Cold Temperature; Hot Temperature; Hydrotherapy methods; Immersion; Muscle Contraction; Muscle, Skeletal physiopathology; Muscular Diseases therapy; Running; Adult; Cross-Over Studies; Heart Rate; Humans; Male; Middle Aged; Motivation; Muscle Fatigue; Muscle, Skeletal pathology; Muscular Diseases etiology; Muscular Diseases pathology; Muscular Diseases physiopathology; Organ Size; Pain Measurement; Pain Threshold; Physical Endurance; Recovery of Function; Task Performance and Analysis; Thermosensing; Time Factors; Treatment Outcome</t>
  </si>
  <si>
    <t>Purpose: To investigate whether contrast water therapy (CWT) assists acute recovery from high-intensity running and whether a dose-response relationship exists. Methods: Ten trained male runners completed 4 trials, each commencing with a 3000-m time trial, followed by 8 × 400-m intervals with 1 min of recovery. Ten minutes postexercise, participants performed 1 of 4 recovery protocols: CWT, by alternating 1 min hot (38°C) and 1 min cold (15°C) for 6 (CWT6), 12 (CWT12), or 18 min (CWT18), or a seated rest control trial. The 3000-m time trial was repeated 2 h later. Results: 3000-m performance slowed from 632 ± 4 to 647 ± 4 s in control, 631 ± 4 to 642 ± 4 s in CWT6, 633 ± 4 to 648 ± 4 s in CWT12, and 631 ± 4 to 647 ± 4 s in CWT18. Following CWT6, performance (smallest worthwhile change of 0.3%) was substantially faster than control (87% probability, 0.8 ± 0.8% mean ± 90% confidence limit), however, there was no effect for CWT12 (34%, 0.0 ± 1.0%) or CWT18 (34%, -0.1 ± 0.8%). There were no substantial differences between conditions in exercise heart rates, or postexercise calf and thigh girths. Algometer thigh pain threshold during CWT12 was higher at all time points compared with control. Subjective measures of thermal sensation and muscle soreness were lower in all CWT conditions at some post-water-immersion time points compared with control; however, there were no consistent differences in whole body fatigue following CWT. Conclusions: Contrast water therapy for 6 min assisted acute recovery from high-intensity running; however, CWT duration did not have a dose-response effect on recovery of running performance.</t>
  </si>
  <si>
    <t>https://search.ebscohost.com/login.aspx?direct=true&amp;db=mdc&amp;AN=22173197&amp;site=ehost-live</t>
  </si>
  <si>
    <t>Effect of intake of different dietary protein sources on plasma amino acid profiles at rest and after exercise.</t>
  </si>
  <si>
    <t>Burke LM; Winter JA; Cameron-Smith D; Enslen M; Farnfield M; Decombaz J</t>
  </si>
  <si>
    <t>10.1123/ijsnem.22.6.452</t>
  </si>
  <si>
    <t>Amino Acids blood; Dietary Proteins administration &amp; dosage; Physical Endurance; Sedentary Behavior; Sports Nutritional Physiological Phenomena; Adult; Amino Acids metabolism; Amino Acids urine; Animals; Cattle; Cross-Over Studies; Dietary Proteins metabolism; Eggs; Exercise Test; Female; Half-Life; Humans; Male; Meat; Milk; Postprandial Period; Renal Elimination; Rest; Soy Milk administration &amp; dosage; Young Adult</t>
  </si>
  <si>
    <t>The authors undertook 2 crossover-designed studies to characterize plasma amino acid (AA) responses to the intake of 20 g of protein. In Study 1, 15 untrained and overnight-fasted subjects consumed 20 g protein from skim milk, soy milk, beefsteak, boiled egg, and a liquid meal supplement. In Study 2, 10 fasted endurance-trained subjects consumed 20 g protein from a protein-rich sports bar at rest and after a 60-min submaximal ride. Plasma AA concentrations were measured immediately before and for 180 min after food ingestion using a gas-chromatography flame-ionization detection technique. A pharmacokinetic analysis was undertaken for profiles of total AAs (TAA), essential AAs, branched-chain AAs (BCAA), and leucine. Although area-under-the-curve values for plasma TAA were similar across protein sources, the pattern of aminoacidemia showed robust differences between foods, with liquid forms of protein achieving peak concentrations twice as quickly after ingestion as solid protein-rich foods (e.g., ~50 min vs ~100 min) and skim milk achieving a significantly faster peak leucine concentration than all other foods (~25 min). Completing exercise before ingesting protein sources did not cause statistically significant changes in the pattern of delivery of key AAs, BCAAs, and leucine apart from a 20-40% increase in the rate of elimination. These results may be useful to plan the type and timing of intake of protein-rich foods to maximize the protein synthetic response to various stimuli such as exercise.</t>
  </si>
  <si>
    <t>https://search.ebscohost.com/login.aspx?direct=true&amp;db=mdc&amp;AN=22807528&amp;site=ehost-live</t>
  </si>
  <si>
    <t>Effects of daily activities on dual-energy X-ray absorptiometry measurements of body composition in active people.</t>
  </si>
  <si>
    <t>10.1249/MSS.0b013e318228b60e</t>
  </si>
  <si>
    <t>Absorptiometry, Photon standards; Activities of Daily Living; Body Composition; Absorptiometry, Photon methods; Adult; Female; Humans; Male; Reproducibility of Results; Young Adult</t>
  </si>
  <si>
    <t>Purpose: Dual-energy x-ray absorptiometry (DXA) is becoming a popular tool to measure body composition in athletes, owing to its ease of operation and comprehensive analysis of body composition. This study represents the first systematic investigation of the reliability of DXA measurements of body composition in trained individuals and includes measurements of daily variability as well as the specific effect of the intake of a meal. Methods: Physically active young adults (15 females, 16 males) underwent five whole-body DXA scans during a 2-d period: in the morning after an overnight fast, ~5 min later after repositioning on the scanning bed, ~8 h later after usual daily activities, and the next morning before and ~30 min after consumption of a simple breakfast. Magnitudes of typical (standard) errors of measurement and changes in the mean of DXA measures were assessed by standardization. Results: Repositioning produced trivial typical errors for whole-body composition, whereas regional body composition showed substantial errors. Daily activities and consumption of breakfast generally produced a substantial increase in the typical error and mean of DXA estimates of total and regional lean mass and associated body mass. Conclusions: Having a standardized scanning protocol and fasted subjects is the most practical way to minimize measurement errors. Future studies involving DXA in measuring body composition should report their scanning and analysis protocol with their associated typical errors of measurement so that the level of reliability can be assessed.</t>
  </si>
  <si>
    <t>https://search.ebscohost.com/login.aspx?direct=true&amp;db=mdc&amp;AN=22179140&amp;site=ehost-live</t>
  </si>
  <si>
    <t>Effects of lowering body temperature via hyperhydration, with and without glycerol ingestion and practical precooling on cycling time trial performance in hot and humid conditions.</t>
  </si>
  <si>
    <t>Ross ML; Jeacocke NA; Laursen PB; Martin DT; Abbiss CR; Burke LM</t>
  </si>
  <si>
    <t>Journal of the International Society of Sports Nutrition</t>
  </si>
  <si>
    <t>10.1186/1550-2783-9-55</t>
  </si>
  <si>
    <t>BioMed Central, Ltd</t>
  </si>
  <si>
    <t>Background: Hypohydration and hyperthermia are factors that may contribute to fatigue and impairment of endurance performance. The purpose of this study was to investigate the effectiveness of combining glycerol hyperhydration and an established precooling technique on cycling time trial performance in hot environmental conditions. Methods: Twelve well-trained male cyclists performed three 46.4-km laboratory-based cycling trials that included two climbs, under hot and humid environmental conditions (33.3 ± 1.1°C; 50 ± 6% r.h.). Subjects were required to hyperhydrate with 25 g.kg-1 body mass (BM) of a 4°C beverage containing 6% carbohydrate (CON) 2.5 h prior to the time trial. On two occasions, subjects were also exposed to an established precooling technique (PC) 60 min prior to the time trial, involving 14 g.kg-1 BM ice slurry ingestion and applied iced towels over 30 min. During one PC trial, 1.2 g.kg-1 BM glycerol was added to the hyperhydration beverage in a double-blind fashion (PC+G). Statistics used in this study involve the combination of traditional probability statistics and a magnitude-based inference approach. Results: Hyperhydration resulted in large reductions (-0.6 to -0.7°C) in rectal temperature. The addition of glycerol to this solution also lowered urine output (330 ml, 10%). Precooling induced further small (-0.3°C) to moderate (-0.4°C) reductions in rectal temperature with PC and PC+G treatments, respectively, when compared with CON (0.0°C, P&lt;0.05). Overall, PC+G failed to achieve a clear change in cycling performance over CON, but PC showed a possible 2% (30 s, P=0.02) improvement in performance time on climb 2 compared to CON. This improvement was attributed to subjects' lower perception of effort reported over the first 10 km of the trial, despite no clear performance change during this time. No differences were detected in any other physiological measurements throughout the time trial. Conclusions: Despite increasing fluid intake and reducing core temperature, performance and thermoregulatory benefits of a hyperhydration strategy with and without the addition of glycerol, plus practical precooling, were not superior to hyperhydration alone. Further research is warranted to further refine preparation strategies for athletes competing in thermally stressful events to optimize health and maximize performance outcomes.</t>
  </si>
  <si>
    <t>https://search.ebscohost.com/login.aspx?direct=true&amp;db=mdc&amp;AN=23245800&amp;site=ehost-live</t>
  </si>
  <si>
    <t>EMG of the hip adductor muscles in six clinical examination tests.</t>
  </si>
  <si>
    <t>Lovell GA; Blanch PD; Barnes CJ</t>
  </si>
  <si>
    <t>10.1016/j.ptsp.2011.08.004</t>
  </si>
  <si>
    <t>Electromyography; Hip Joint; Isometric Contraction physiology; Muscle, Skeletal physiology; Musculoskeletal System; Physical Examination; Adolescent; Confidence Intervals; Humans; Male; Soccer; Sports Medicine</t>
  </si>
  <si>
    <t>Objectives: To assess activation of muscles of hip adduction using EMG and force analysis during standard clinical tests, and compare athletes with and without a prior history of groin pain. Study Design: Controlled laboratory study. Participants: 21 male athletes from an elite junior soccer program. Main Outcome Measures: Bilateral surface EMG recordings of the adductor magnus, adductor longus, gracilis and pectineus as well as a unilateral fine-wire EMG of the pectineus were made during isometric holds in six clinical examination tests. A load cell was used to measure force data. Results: Test type was a significant factor in the EMG output for all four muscles (all muscles p &lt; 0.01). EMG activation was highest in Hips 0 or Hips 45 for adductor magnus, adductor longus and gracilis. EMG activation for pectineus was highest in Hips 90. Injury history was a significant factor in the EMG output for the adductor longus (p &lt; 0.05), pectineus (p &lt; 0.01) and gracilis (p &lt; 0.01) but not adductor magnus. For force data, clinical test type was a significant factor (p &lt; 0.01) with Hips 0 being significantly stronger than Hips 45, Hips 90 and Side lay. BMI (body mass index) was a significant factor (p &lt; 0.01) for producing a higher force. All other factors had no significant effect on the force outputs. Conclusions: Hip adduction strength assessment is best measured at hips 0 (which produced most force) or 45° flexion (which generally gave the highest EMG output). Muscle EMG varied significantly with clinical test position. Athletes with previous groin injury had a significant fall in some EMG outputs. Copyright © 2011 Elsevier Ltd. All rights reserved.</t>
  </si>
  <si>
    <t>https://search.ebscohost.com/login.aspx?direct=true&amp;db=mdc&amp;AN=22814446&amp;site=ehost-live</t>
  </si>
  <si>
    <t>How specific is domain specificity: does it extend across playing position?</t>
  </si>
  <si>
    <t>Bruce L; Farrow D; Raynor A</t>
  </si>
  <si>
    <t>10.1016/j.jsams.2011.11.255</t>
  </si>
  <si>
    <t>Athletic Performance psychology; Decision Making; Psychomotor Performance; Adolescent; Adult; Female; Humans; Young Adult</t>
  </si>
  <si>
    <t>Objectives: The current study sought to examine the scope of domain specificity within a sport expertise context through the examination of positional specificity effects in the sport of netball. Design: Skilled goalers, centre court and defenders along with less skilled (novice) participants were tested on a video-based decision making task. Methods: Skilled and less skilled netballers completed a video-based decision making task, comprising scenarios from the three different positional areas in netball (goalers, centre court and defence). Participants completed the scenarios from the playing position they were most familiar with, followed by the remaining two positions in a counterbalanced order. Results: Analysis of the goaler and defence scenarios revealed that the skilled goalers and centre court players were significantly more accurate than the novice players, whilst the skilled defenders did not differ to the other three groups (skilled goalers, skilled centre court and novice). For the centre court scenarios the skilled centre court players and defenders were significantly more accurate than the novice players, whilst the skilled goalers did not differ to any of the groups. Conclusions: Limited evidence was shown to support the theory that decision making is specific to the position being played with the goalers and the centre court players most accurate on the attack and centre court scenarios respectively. Crown Copyright © 2011. Published by Elsevier Ltd. All rights reserved.</t>
  </si>
  <si>
    <t>https://search.ebscohost.com/login.aspx?direct=true&amp;db=mdc&amp;AN=22192624&amp;site=ehost-live</t>
  </si>
  <si>
    <t>Influence of altitude training modality on performance and total haemoglobin mass in elite swimmers.</t>
  </si>
  <si>
    <t>Gough CE; Saunders PU; Fowlie J; Savage B; Pyne DB; Anson JM; Wachsmuth N; Prommer N; Gore CJ</t>
  </si>
  <si>
    <t>10.1007/s00421-011-2291-7</t>
  </si>
  <si>
    <t>Altitude; Athletic Performance physiology; Hemoglobins analysis; Physical Education and Training methods; Swimming physiology; Adaptation, Physiological physiology; Adolescent; Adult; Athletes; Erythrocyte Count; Female; Humans; Male; Young Adult</t>
  </si>
  <si>
    <t>We compared changes in performance and total haemoglobin mass (tHb) of elite swimmers in the weeks following either Classic or Live High:Train Low (LHTL) altitude training. Twenty-six elite swimmers (15 male, 11 female, 21.4 ± 2.7 years; mean ± SD) were divided into two groups for 3 weeks of either Classic or LHTL altitude training. Swimming performances over 100 or 200 m were assessed before altitude, then 1, 7, 14 and 28 days after returning to sea-level. Total haemoglobin mass was measured twice before altitude, then 1 and 14 days after return to sea-level. Changes in swimming performance in the first week after Classic and LHTL were compared against those of Race Control (n = 11), a group of elite swimmers who did not complete altitude training. In addition, a season-long comparison of swimming performance between altitude and non-altitude groups was undertaken to compare the progression of performances over the course of a competitive season. Regardless of altitude training modality, swimming performances were substantially slower 1 day (Classic 1.4 ± 1.3% and LHTL 1.6 ± 1.6%; mean ± 90% confidence limits) and 7 days (0.9 ± 1.0% and 1.9 ± 1.1%) after altitude compared to Race Control. In both groups, performances 14 and 28 days after altitude were not different from pre-altitude. The season-long comparison indicated that no clear advantage was obtained by swimmers who completed altitude training. Both Classic and LHTL elicited ~4% increases in tHb. Although altitude training induced erythropoeisis, this physiological adaptation did not transfer directly into improved competitive performance in elite swimmers.</t>
  </si>
  <si>
    <t>https://search.ebscohost.com/login.aspx?direct=true&amp;db=mdc&amp;AN=22234397&amp;site=ehost-live</t>
  </si>
  <si>
    <t>Intrinsic functional deficits associated with increased risk of ankle injuries: a systematic review with meta-analysis.</t>
  </si>
  <si>
    <t>Witchalls J; Blanch P; Waddington G; Adams R</t>
  </si>
  <si>
    <t>10.1136/bjsports-2011-090137</t>
  </si>
  <si>
    <t>Ankle Injuries etiology; Athletic Injuries etiology; Ankle Injuries physiopathology; Bias; Feedback, Sensory physiology; Humans; Joint Instability etiology; Joint Instability physiopathology; Muscle Strength physiology; Muscle, Skeletal physiology; Posture physiology; Proprioception physiology; Risk Factors; Secondary Prevention; Sprains and Strains epidemiology; Sprains and Strains etiology; Sprains and Strains physiopathology</t>
  </si>
  <si>
    <t>Background: A history of ankle injury is known to be associated with an increased risk of future injuries. Prevention of a first-time injury to an ankle will also prevent subsequent re-injury; yet these participants are often overlooked in reports of preventive testing. Determining the functional deficits which promote injury risk in all ankles, through studies inclusive of previously injured and never injured ankles, will enable training to be directed at improving known deficits in all sports participants. Objective: To review studies investigating the measurement of intrinsic functions in healthy ankles and assess their predictive value for injury. Method: Systematic review and meta-analysis of journal articles from selected electronic databases. Using all papers that included sufficient data for extraction in any paradigm, the authors pooled results for measures of strength, postural control, proprioception, muscle reaction time in response to perturbation, range of movement and ligament stability. Results: Thirteen papers were found with adequate data reporting to allow calculation of pooled standardised mean difference (SMD) or pooled RR. The following are all associated with an increased risk of ankle injury: higher postural sway (SMD=0.693, 95% CI=0.151 to 1.235, p=0.012), being in the lower postural stability group (RR=2.06, 95% CI=1.364 to 3.111, p=0.001), lower inversion proprioception (0.573, 0.244 to 0.902, &lt;0.001), higher concentric plantar flexion strength at faster speeds (0.372, 0.092 to 0.652, 0.009) and lower eccentric eversion strength at slower speeds (0.337, 0.117 to 0.557, 0.003). Conclusion: There is a set of intrinsic functional and structural ankle deficits associated with significantly increased risk of ankle injury. These findings will enable clinicians and sports trainers to measure and train specific deficits in sports people for the prevention of ankle injury.</t>
  </si>
  <si>
    <t>https://search.ebscohost.com/login.aspx?direct=true&amp;db=mdc&amp;AN=22171337&amp;site=ehost-live</t>
  </si>
  <si>
    <t>Lower extremity kinematics and kinetics when landing from unloaded and loaded jumps.</t>
  </si>
  <si>
    <t>Janssen I; Sheppard JM; Dingley AA; Chapman DW; Spratford W</t>
  </si>
  <si>
    <t>10.1123/jab.28.6.687</t>
  </si>
  <si>
    <t>Athletic Performance physiology; Hip Joint physiology; Lower Extremity physiology; Range of Motion, Articular physiology; Volleyball physiology; Weight-Bearing physiology; Adolescent; Humans; Male</t>
  </si>
  <si>
    <t>Countermovement jumps loaded with a weighted vest are often used for the training of lower body power to improve jump performance. However, it is currently unknown how this added load affects the lower extremity kinematics and kinetics, in particular whether this results in an increased injury risk. Therefore, the purpose of this investigation was to determine how lower extremity kinematics and kinetics during landing are affected by loaded jumps as demonstrated in a volleyball block jump landing. Ten elite male volleyball players performed block jump landings in an unloaded and loaded (9.89 kg) condition. Kinematic and kinetic landing data from the three highest jumps were collected and assessed. Paired samples t test was used to establish whether load condition had a significant effect on lower extremity kinematics and kinetics. Hip flexion was significantly greater in the unloaded condition compared with the loaded condition (p = .004). There was no significant difference in any other kinematic or kinetic variables measures between the unloaded and loaded conditions. These results suggest that landing from loaded volleyball block jumps does not increase injury risk compared with unloaded jumps in elite male volleyball players.</t>
  </si>
  <si>
    <t>https://search.ebscohost.com/login.aspx?direct=true&amp;db=mdc&amp;AN=23348132&amp;site=ehost-live</t>
  </si>
  <si>
    <t>Movement patterns in rugby sevens: effects of tournament level, fatigue and substitute players.</t>
  </si>
  <si>
    <t>10.1016/j.jsams.2011.11.256</t>
  </si>
  <si>
    <t>Football physiology; Movement; Muscle Fatigue physiology; Acceleration; Adolescent; Adult; Athletic Performance physiology; Geographic Information Systems; Humans; Male; Running physiology; Task Performance and Analysis; Young Adult</t>
  </si>
  <si>
    <t>Objectives: Understanding of the physical demands and the effects of fatigue and substitute players in rugby sevens is limited. This study quantified the differences in movement patterns between domestic and international rugby sevens tournaments, the effects of fatigue within and between matches during tournaments, and movement patterns of second half substitute players. Design: Movement patterns of 19 international-level male rugby sevens players were recorded using a Global Positioning System (GPS) device during 11 international and 16 domestic matches (n = 174 files). Methods: Maximum velocity, total distance covered, distance covered in velocity zones and number of moderate and high accelerations and decelerations are reported per min of match time. Movement patterns were compared between international and domestic matches, first and second half, first and last tournament match and substitute and full-match players. Results: Substantially greater distance was covered at high velocity (~27% at ≥ 6 ms(-1)) and 4-39% more accelerations and decelerations were performed in international than domestic matches. The relative distance covered by players at velocities &gt;2 ms(-1) and the number of changes in velocity were reduced by 1-16% from first to second half. Small differences were observed in activity at &lt;5 ms(-1) (-8-8%) and moderate accelerations (-18%) from first to last tournament match. All movement variables were higher (2-123%) for substitute players. Conclusions: International rugby sevens competition is more intense than domestic matches. Despite reductions in work-rate within individual matches, there is little indication of accumulated fatigue over a multi-day tournament. Copyright © 2011 Sports Medicine Australia. All rights reserved.</t>
  </si>
  <si>
    <t>https://search.ebscohost.com/login.aspx?direct=true&amp;db=mdc&amp;AN=22188846&amp;site=ehost-live</t>
  </si>
  <si>
    <t>Optimising technical skills and physical loading in small-sided basketball games.</t>
  </si>
  <si>
    <t>Klusemann MJ; Pyne DB; Foster C; Drinkwater EJ</t>
  </si>
  <si>
    <t>10.1080/02640414.2012.712714</t>
  </si>
  <si>
    <t>Athletic Performance physiology; Basketball physiology; Heart Rate; Physical Exertion physiology; Psychomotor Performance physiology; Rest physiology; Running physiology; Adolescent; Adult; Female; Humans; Male; Movement; Physical Fitness; Task Performance and Analysis; Young Adult</t>
  </si>
  <si>
    <t>Differences in physiological, physical, and technical demands of small-sided basketball games related to the number of players, court size, and work-to-rest ratios are not well characterised. A controlled trial was conducted to compare the influence of number of players (2v2/4v4), court size (half/full court) and work-to-rest ratios (4x2.5 min/2x5 min) on the demands of small-sided games. Sixteen elite male and female junior players (aged 15-19 years) completed eight variations of a small-sided game in randomised order over a six-week period. Heart rate responses and rating of perceived exertion (RPE) were measured to assess the physiological load. Movement patterns and technical elements were assessed by video analysis. There were ∼60% more technical elements in 2v2 and ∼20% more in half court games. Heart rate (86 ± 4% &amp; 83 ± 5% of maximum; mean ± SD) and RPE (8 ± 2 &amp; 6 ± 2; scale 1-10) were moderately higher in 2v2 than 4v4 small-sided games, respectively. The 2v2 format elicited substantially more sprints (36 ±12%; mean ±90% confidence limits) and high intensity shuffling (75 ±17%) than 4v4. Full court games required substantially more jogging (9 ±6%) compared to half court games. Fewer players in small-sided basketball games substantially increases the technical, physiological and physical demands.</t>
  </si>
  <si>
    <t>https://search.ebscohost.com/login.aspx?direct=true&amp;db=mdc&amp;AN=22928779&amp;site=ehost-live</t>
  </si>
  <si>
    <t>Performance accuracy and functional variability in elite and developing fast bowlers.</t>
  </si>
  <si>
    <t>Phillips E; Portus M; Davids K; Renshaw I</t>
  </si>
  <si>
    <t>10.1016/j.jsams.2011.07.006</t>
  </si>
  <si>
    <t>Athletic Performance physiology; Sports physiology; Adolescent; Adult; Athletes; Humans; Male; Range of Motion, Articular physiology; Task Performance and Analysis; Young Adult</t>
  </si>
  <si>
    <t>Objectives: The relationship between performance variability and accuracy in cricket fast bowlers of different skill levels under three different task conditions was investigated. Bowlers of different skill levels were examined to observe if they could adapt movement patterns to maintain performance accuracy on a bowling skills test. Design: 8 national, 12 emerging and 12 junior pace bowlers completed an adapted version of the Cricket Australia bowling skills test, in which they performed 30 trials involving short (n=10), good (n=10), and full (n=10) length deliveries. Methods: Bowling accuracy was recorded by digitising ball position relative to the centre of a target. Performance measures were mean radial error (accuracy), variable error (consistency), centroid error (bias), bowling score and ball speed. Radial error changes across the duration of the skills test were used to record accuracy adjustment in subsequent deliveries. Results: Elite fast bowlers performed better in speed, accuracy, and test scores than developing athletes. Bowlers who were less variable were also more accurate across all delivery lengths. National and emerging bowlers were able to adapt subsequent performance trials within the same bowling session for short length deliveries. Conclusions: Accuracy and adaptive variability were key components of elite performance in fast bowling which improved with skill level. In this study, only national elite bowlers showed requisite levels of adaptive variability to bowl a range of lengths to different pitch locations. Copyright Â© 2011 Sports Medicine Australia. Published by Elsevier Ltd. All rights reserved.</t>
  </si>
  <si>
    <t>https://search.ebscohost.com/login.aspx?direct=true&amp;db=mdc&amp;AN=21907618&amp;site=ehost-live</t>
  </si>
  <si>
    <t>Preexercise aminoacidemia and muscle protein synthesis after resistance exercise.</t>
  </si>
  <si>
    <t>Burke LM; Hawley JA; Ross ML; Moore DR; Phillips SM; Slater GR; Stellingwerff T; Tipton KD; Garnham AP; Coffey VG</t>
  </si>
  <si>
    <t>10.1249/MSS.0b013e31825d28fa</t>
  </si>
  <si>
    <t>Acidosis blood; Amino Acids blood; Milk Proteins administration &amp; dosage; Muscle Proteins biosynthesis; Muscle, Skeletal metabolism; Resistance Training; Adult; Humans; Leg physiology; Leucine administration &amp; dosage; Male; Phosphorylation; Ribosomal Protein S6 Kinases, 70-kDa metabolism; Serine metabolism; Sweetening Agents administration &amp; dosage; Threonine metabolism; Whey Proteins</t>
  </si>
  <si>
    <t>Purpose: We have previously shown that the aminoacidemia caused by the consumption of a rapidly digested protein after resistance exercise enhances muscle protein synthesis (MPS) more than the amino acid (AA) profile associated with a slowly digested protein. Here, we investigated whether differential feeding patterns of a whey protein mixture commencing before exercise affect postexercise intracellular signaling and MPS. Methods: Twelve resistance-trained males performed leg resistance exercise 45 min after commencing each of three volume-matched nutrition protocols: placebo (PLAC, artificially sweetened water), BOLUS (25 g of whey protein + 5 g of leucine dissolved in artificially sweetened water; 1 × 500 mL), or PULSE (15 × 33-mL aliquots of BOLUS drink every 15 min). Results: The preexercise rise in plasma AA concentration with PULSE was attenuated compared with BOLUS (P &lt; 0.05); this effect was reversed after exercise, with two-fold greater leucine concentrations in PULSE compared with BOLUS (P &lt; 0.05). One-hour postexercise, phosphorylation of p70 S6K(thr389) and rpS6(ser235/6) was increased above baseline with BOLUS and PULSE, but not PLAC (P &lt; 0.05); furthermore, PULSE &gt; BOLUS (P &lt; 0.05). MPS throughout 5 h of recovery was higher with protein ingestion compared with PLAC (0.037 ± 0.007), with no differences between BOLUS or PULSE (0.085 ± 0.013 vs. 0.095 ± 0.010%.h(-1), respectively, P = 0.56). Conclusions: Manipulation of aminoacidemia before resistance exercise via different patterns of intake of protein altered plasma AA profiles and postexercise intracellular signaling. However, there was no difference in the enhancement of the muscle protein synthetic response after exercise. Protein sources producing a slow AA release, when consumed before resistance exercise in sufficient amounts, are as effective as rapidly digested proteins in promoting postexercise MPS.</t>
  </si>
  <si>
    <t>https://search.ebscohost.com/login.aspx?direct=true&amp;db=mdc&amp;AN=22617396&amp;site=ehost-live</t>
  </si>
  <si>
    <t>Ramadan fasting and the goals of sports nutrition around exercise.</t>
  </si>
  <si>
    <t>Burke LM; King C</t>
  </si>
  <si>
    <t>30 Suppl 1</t>
  </si>
  <si>
    <t>10.1080/02640414.2012.680484</t>
  </si>
  <si>
    <t>Diet; Energy Intake; Exercise; Fasting; Islam; Nutritional Requirements; Sports; Adaptation, Physiological; Athletic Performance; Drinking; Humans; Physical Education and Training; Stress, Physiological</t>
  </si>
  <si>
    <t>Ramadan fasting, involving abstinence from fluid and food from sunrise to sundown, results in prolonged periods without nutrient intake and inflexibility with the timing of eating and drinking over the day. Dietary choices may also change due to special eating rituals. Although nutrition guidelines are specific to the sport, to the periodized training and competition calendar, and to the individual, many promote the consumption of carbohydrate and fluid before and during exercise, and consumption of protein, carbohydrate, and fluids soon after the session is completed. Failing to meet overall nutritional needs, or to provide specific nutritional support to a session of exercise, is likely to impair acute performance and reduce the effectiveness of training or recovery. Muslim athletes who fast during Ramadan should use overnight opportunities to consume foods and drinks that can supply the nutrients needed to promote performance, adaptation, and recovery in their sports. Because of the benefits of being able to consume at least some of these nutrients before, during or after an exercise session, the schedule of exercise should be shifted where possible to the beginning or end of the day, or during the evening when some nutritional support can be provided.</t>
  </si>
  <si>
    <t>https://search.ebscohost.com/login.aspx?direct=true&amp;db=mdc&amp;AN=22551533&amp;site=ehost-live</t>
  </si>
  <si>
    <t>Reliability and effect of sodium bicarbonate: buffering and 2000-m rowing performance.</t>
  </si>
  <si>
    <t>Carr AJ; Slater GJ; Gore CJ; Dawson B; Burke LM</t>
  </si>
  <si>
    <t>10.1123/ijspp.7.2.152</t>
  </si>
  <si>
    <t>Athletic Performance; Dietary Supplements; Physical Endurance drug effects; Sodium Bicarbonate administration &amp; dosage; Administration, Oral; Adolescent; Adult; Alkalosis blood; Alkalosis physiopathology; Buffers; Capsules; Cross-Over Studies; Double-Blind Method; Female; Humans; Hydrogen-Ion Concentration; Male; Placebos; Reproducibility of Results; Sodium Bicarbonate blood; Time Factors; Treatment Outcome; Young Adult</t>
  </si>
  <si>
    <t>Purpose: The aim of this study was to determine the effect and reliability of acute and chronic sodium bicarbonate ingestion for 2000-m rowing ergometer performance (watts) and blood bicarbonate concentration [HCO3-]. Methods: In a crossover study, 7 well-trained rowers performed paired 2000-m rowing ergometer trials under 3 double-blinded conditions: (1) 0.3 grams per kilogram of body mass (g/kg BM) acute bicarbonate; (2) 0.5 g/kg BM daily chronic bicarbonate for 3 d; and (3) calcium carbonate placebo, in semi-counterbalanced order. For 2000-m performance and [HCO3-], we examined differences in effects between conditions via pairwise comparisons, with differences interpreted in relation to the likelihood of exceeding smallest worthwhile change thresholds for each variable. We also calculated the within-subject variation (percent typical error). Results: There were only trivial differences in 2000-m performance between placebo (277 ± 60 W), acute bicarbonate (280 ± 65 W) and chronic bicarbonate (282 ± 65 W); however, [HCO3-] was substantially greater after acute bicarbonate, than with chronic loading and placebo. Typical error for 2000-m mean power was 2.1% (90% confidence interval 1.4 to 4.0%) for acute bicarbonate, 3.6% (2.5 to 7.0%) for chronic bicarbonate, and 1.6% (1.1 to 3.0%) for placebo. Postsupplementation [HCO3-] typical error was 7.3% (5.0 to 14.5%) for acute bicarbonate, 2.9% (2.0 to 5.7%) for chronic bicarbonate and 6.0% (1.4 to 11.9%) for placebo. Conclusion: Performance in 2000-m rowing ergometer trials may not substantially improve after acute or chronic bicarbonate loading. However, performances will be reliable with both acute and chronic bicarbonate loading protocols.</t>
  </si>
  <si>
    <t>https://search.ebscohost.com/login.aspx?direct=true&amp;db=mdc&amp;AN=22634964&amp;site=ehost-live</t>
  </si>
  <si>
    <t>Spurious Hb mass increases following exercise.</t>
  </si>
  <si>
    <t>Gough CE; Eastwood A; Saunders PU; Anson JM; Gore CJ</t>
  </si>
  <si>
    <t>10.1055/s-0031-1295441</t>
  </si>
  <si>
    <t>Bicycling physiology; Hemoglobins metabolism; Running physiology; Swimming physiology; Adult; Athletes; Carbon Monoxide metabolism; Doping in Sports prevention &amp; control; Exercise physiology; Haptoglobins metabolism; Hemolysis physiology; Humans; Male; Myoglobin metabolism; Physical Endurance physiology</t>
  </si>
  <si>
    <t>Sensitivity of the Athlete Blood Passport for blood doping could be improved by including total haemoglobin mass (Hb(mass)), but this measure may be unreliable immediately following strenuous exercise. We examined the stability of Hb(mass) following ultra-endurance triathlon (3.8 km swim, 180 km bike, 42.2 km run). 26 male sub-elite triathletes, 18 Racers and 8 Controls, were tested for Hb(mass) using CO re-breathing, twice 1-5 days apart. Racers were measured before and 1-3 h after the triathlon. Controls did no vigorous exercise on either test day. Serum haptoglobin concentration and urine haemoglobin concentration were measured to assess intravascular haemolysis. There was a 3.2% (p&lt;0.01) increase in Racers' Hb(mass) from pre-race (976 g ± 14.6%, mean ±% coefficient of variation) to post-race (1 007 g ± 13.8%), as opposed to a - 0.5% decrease in Controls (pre-race 900 g ± 13.9%, post-race 896 g ± 12.4%). Haptoglobin was - 67% (p&lt;0.01) reduced in Racers (pre-race 0.48 g / L ± 150%, post-race 0.16 g / L ± 432%), compared to - 6% reduced in Controls (pre-race 1.08 g / L ± 37%, post-race 1.02 g / L ± 37%). Decreased serum haptoglobin concentration in Racers, which is suggestive of mild intravascular blood loss, was contrary to the apparent Hb(mass) increase post-race. Ultra-endurance triathlon racing may confound the accuracy of post-exercise Hb(mass) measures, possibly due to splenic contraction or an increased rate of CO diffusion to intramuscular myoglobin. © Georg Thieme Verlag KG Stuttgart · New York.</t>
  </si>
  <si>
    <t>https://search.ebscohost.com/login.aspx?direct=true&amp;db=mdc&amp;AN=22706938&amp;site=ehost-live</t>
  </si>
  <si>
    <t>Techniques for undertaking dual-energy X-ray absorptiometry whole-body scans to estimate body composition in tall and/or broad subjects.</t>
  </si>
  <si>
    <t>10.1123/ijsnem.22.5.313</t>
  </si>
  <si>
    <t>Absorptiometry, Photon; Reproducibility of Results; Athletes; Body Composition; Humans</t>
  </si>
  <si>
    <t>Dual-energy X-ray absorptiometry (DXA) is becoming a popular tool to measure body composition, owing to its ease of operation and comprehensive analysis. However, some people, especially athletes, are taller and/or broader than the active scanning area of the DXA bed and must be scanned in sections. The aim of this study was to investigate the reliability of DXA measures of whole-body composition summed from 2 or 3 partial scans. Physically active young adults (15 women, 15 men) underwent 1 whole-body and 4 partial DXA scans in a single testing session under standardized conditions. The partial scanning areas were head, whole body from the bottom of the chin down, and right and left sides of the body. Body-composition estimates from whole body were compared with estimates from summed partial scans to simulate different techniques to accommodate tall and/or broad subjects relative to the whole-body scan. Magnitudes of differences in the estimates were assessed by standardization. In simulating tall subjects, summation of partial scans that included the head scan overestimated whole-body composition by ~3 kg of lean mass and ~1 kg of fat mass, with substantial technical error of measurement. In simulating broad subjects, summation of right and left body scans produced no substantial differences in body composition than those of the whole-body scan. Summing partial DXA scans provides accurate body-composition estimates for broad subjects, but other strategies are needed to accommodate tall subjects.</t>
  </si>
  <si>
    <t>https://search.ebscohost.com/login.aspx?direct=true&amp;db=mdc&amp;AN=23011648&amp;site=ehost-live</t>
  </si>
  <si>
    <t>Time course of the hemoglobin mass response to natural altitude training in elite endurance cyclists.</t>
  </si>
  <si>
    <t>Garvican L; Martin D; Quod M; Stephens B; Sassi A; Gore C</t>
  </si>
  <si>
    <t>10.1111/j.1600-0838.2010.01145.x</t>
  </si>
  <si>
    <t>Altitude; Bicycling physiology; Exercise physiology; Hemoglobins metabolism; Adult; Erythrocyte Count; Erythropoietin blood; Ferritins blood; Humans; Receptors, Transferrin blood; Reticulocytes; Time Factors; Young Adult</t>
  </si>
  <si>
    <t>To determine the time course of hemoglobin mass (Hb(mass)) to natural altitude training, Hb(mass), erythropoietin [EPO], reticulocytes, ferritin and soluble transferrin receptor (sTfR) were measured in 13 elite cyclists during, and 10 days after, 3 weeks of sea level (n=5) or altitude (n=8, 2760 m) training. Mean Hb(mass), with a typical error of ∼2%, increased during the first 11 days at altitude (mean ± standard deviation 2.9 ± 2.0%) and was 3.5 ± 2.5% higher than baseline after 19 days. [EPO] increased 64.2 ± 18.8% after 2 nights at altitude but was not different from baseline after 12 nights. Hb(mass) and [EPO] did not increase in sea level. Reticulocytes (%) were slightly elevated in altitude at Days 5 and 12 (18.9 ± 17.7% and 20.4 ± 25.3%), sTfR was elevated at Day 12 (18.9 ± 15.0%), but both returned to baseline by Day 20. Hb(mass) and [EPO] decreased on descent to sea level while ferritin increased. The mean increase in Hb(mass) observed after 11 days (∼300 h) of altitude training was beyond the measurement error and consitent with the mean increase after 300 h of simulated live high:train low altitude. Our results suggest that in elite cyclists, Hb(mass) increases progressively with 3 weeks of natural altitude exposure, with greater increases expected as exposure persists. © 2010 John Wiley &amp; Sons A/S.</t>
  </si>
  <si>
    <t>https://search.ebscohost.com/login.aspx?direct=true&amp;db=mdc&amp;AN=20561279&amp;site=ehost-live</t>
  </si>
  <si>
    <t>An implicit basis for the retention benefits of random practice.</t>
  </si>
  <si>
    <t>Rendell MA; Masters RS; Farrow D; Morris T</t>
  </si>
  <si>
    <t>10.1080/00222895.2010.530304</t>
  </si>
  <si>
    <t>Athletic Performance psychology; Practice, Psychological; Retention, Psychology; Adult; Cognition; Female; Humans; Learning; Male; Motor Skills; Random Allocation; Reaction Time; Transfer, Psychology</t>
  </si>
  <si>
    <t>The cognitive effort explanations of contextual interference (CI) and implicit motor learning represent a paradox in which cognitive involvement is seen to be advantageous or disadvantageous for learning. The authors aimed to resolve this paradox by measuring cognitive effort and working memory dependence during low and high CI practice on two Australian Rules Football tasks (kicking and handball). Measures of cognitive effort included: kicking and handball outcome performance during acquisition and during a test of retention, performance on a probe reaction time task during a sample of acquisition trials, and self-reported levels of cognitive effort. Measures of implicit and explicit learning included kicking and handball performance during a secondary task transfer, and self-report verbal protocols (number of verbal rules and hypotheses reported). The results suggest that high CI may cause an implicit mode of learning, perhaps due to the interference caused by task switching. However, these findings are restricted to the more complex of the 2 tasks (kicking).</t>
  </si>
  <si>
    <t>https://search.ebscohost.com/login.aspx?direct=true&amp;db=mdc&amp;AN=21186459&amp;site=ehost-live</t>
  </si>
  <si>
    <t>A-Z of nutritional supplements: dietary supplements, sports nutrition foods and ergogenic aids for health and performance--Part 19.</t>
  </si>
  <si>
    <t>Burke LM; Stear SJ; Lobb A; Ellison M; Castell LM</t>
  </si>
  <si>
    <t>10.1136/bjsm.2011.084988</t>
  </si>
  <si>
    <t>Glycerol therapeutic use; Plant Extracts therapeutic use; Plant Preparations therapeutic use; Athletic Performance; Caffeine pharmacology; Dietary Supplements; Glycerol metabolism; Glycerol pharmacology; Humans; Paullinia chemistry; Plant Extracts pharmacology; Plant Preparations adverse effects; Weight Loss</t>
  </si>
  <si>
    <t>https://search.ebscohost.com/login.aspx?direct=true&amp;db=mdc&amp;AN=21393262&amp;site=ehost-live</t>
  </si>
  <si>
    <t>Carbohydrates for training and competition.</t>
  </si>
  <si>
    <t>Burke LM; Hawley JA; Wong SH; Jeukendrup AE</t>
  </si>
  <si>
    <t>29 Suppl 1</t>
  </si>
  <si>
    <t>S17</t>
  </si>
  <si>
    <t>10.1080/02640414.2011.585473</t>
  </si>
  <si>
    <t>Adaptation, Physiological; Athletic Performance physiology; Diet; Dietary Carbohydrates administration &amp; dosage; Energy Intake; Exercise physiology; Sports physiology; Central Nervous System drug effects; Dietary Carbohydrates pharmacology; Drug Administration Schedule; Energy Metabolism; Humans; Intestinal Absorption; Nutritional Requirements; Physical Education and Training; Physical Endurance physiology; Rest physiology</t>
  </si>
  <si>
    <t>An athlete's carbohydrate intake can be judged by whether total daily intake and the timing of consumption in relation to exercise maintain adequate carbohydrate substrate for the muscle and central nervous system ("high carbohydrate availability") or whether carbohydrate fuel sources are limiting for the daily exercise programme ("low carbohydrate availability"). Carbohydrate availability is increased by consuming carbohydrate in the hours or days prior to the session, intake during exercise, and refuelling during recovery between sessions. This is important for the competition setting or for high-intensity training where optimal performance is desired. Carbohydrate intake during exercise should be scaled according to the characteristics of the event. During sustained high-intensity sports lasting ~1 h, small amounts of carbohydrate, including even mouth-rinsing, enhance performance via central nervous system effects. While 30-60 g · h(-1) is an appropriate target for sports of longer duration, events &gt;2.5 h may benefit from higher intakes of up to 90 g · h(-1). Products containing special blends of different carbohydrates may maximize absorption of carbohydrate at such high rates. In real life, athletes undertake training sessions with varying carbohydrate availability. Whether implementing additional "train-low" strategies to increase the training adaptation leads to enhanced performance in well-trained individuals is unclear.</t>
  </si>
  <si>
    <t>https://search.ebscohost.com/login.aspx?direct=true&amp;db=mdc&amp;AN=21660838&amp;site=ehost-live</t>
  </si>
  <si>
    <t>Does the time frame between exercise influence the effectiveness of hydrotherapy for recovery?</t>
  </si>
  <si>
    <t>10.1123/ijspp.6.2.147</t>
  </si>
  <si>
    <t>Athletic Performance; Exercise Therapy methods; Hydrotherapy methods; Recovery of Function; Humans; Time Factors; Treatment Outcome</t>
  </si>
  <si>
    <t>An increase in research investigating recovery strategies has occurred alongside the increase in usage of recovery by elite athletes. Because there is inconsistent evidence regarding the benefits of recovery on performance, it is necessary to examine research design to identify possible strategies that enhance performance in different athlete settings. The purpose of this review is to examine available recovery literature specifically related to the time frame between performance assessments to identify considerations for both research design and practical use of recovery techniques.</t>
  </si>
  <si>
    <t>https://search.ebscohost.com/login.aspx?direct=true&amp;db=mdc&amp;AN=21725101&amp;site=ehost-live</t>
  </si>
  <si>
    <t>Effect of cold water immersion on repeated cycling performance and limb blood flow.</t>
  </si>
  <si>
    <t>Vaile J; O'Hagan C; Stefanovic B; Walker M; Gill N; Askew CD</t>
  </si>
  <si>
    <t>10.1136/bjsm.2009.067272</t>
  </si>
  <si>
    <t>Arm blood supply; Athletic Performance physiology; Bicycling physiology; Cold Temperature; Immersion physiopathology; Leg blood supply; Adult; Body Temperature physiology; Exercise physiology; Heart Rate physiology; Humans; Lactic Acid blood; Male; Oxygen Consumption; Recovery of Function physiology; Rectum physiology; Regional Blood Flow; Water</t>
  </si>
  <si>
    <t>The purpose of the present study was to compare the effects of cold water immersion (CWI) and active recovery (ACT) on resting limb blood flow, rectal temperature and repeated cycling performance in the heat. Ten subjects completed two testing sessions separated by 1 week; each trial consisted of an initial all-out 35-min exercise bout, one of two 15-min recovery interventions (randomised: CWI or ACT), followed by a 40-min passive recovery period before repeating the 35-min exercise bout. Performance was measured as the change in total work completed during the exercise bouts. Resting limb blood flow, heart rate, rectal temperature and blood lactate were recorded throughout the testing sessions. There was a significant decline in performance after ACT (mean (SD) -1.81% (1.05%)) compared with CWI where performance remained unchanged (0.10% (0.71%)). Rectal temperature was reduced after CWI (36.8°C (1.0°C)) compared with ACT (38.3°C (0.4°C)), as was blood flow to the arms (CWI 3.64 (1.47) ml/100 ml/min; ACT 16.85 (3.57) ml/100 ml/min) and legs (CW 4.83 (2.49) ml/100 ml/min; ACT 4.83 (2.49) ml/100 ml/min). Leg blood flow at the end of the second exercise bout was not different between the active (15.25 (4.33) ml/100 ml/min) and cold trials (14.99 (4.96) ml/100 ml/min), whereas rectal temperature (CWI 38.1°C (0.3°C); ACT 38.8°C (0.2°C)) and arm blood flow (CWI 20.55 (3.78) ml/100 ml/min; ACT 23.83 (5.32) ml/100 ml/min) remained depressed until the end of the cold trial. These findings indicate that CWI is an effective intervention for maintaining repeat cycling performance in the heat and this performance benefit is associated with alterations in core temperature and limb blood flow.</t>
  </si>
  <si>
    <t>https://search.ebscohost.com/login.aspx?direct=true&amp;db=mdc&amp;AN=20233843&amp;site=ehost-live</t>
  </si>
  <si>
    <t>Effect of contrast water therapy duration on recovery of cycling performance: a dose-response study.</t>
  </si>
  <si>
    <t>Versey N; Halson S; Dawson B</t>
  </si>
  <si>
    <t>10.1007/s00421-010-1614-4</t>
  </si>
  <si>
    <t>Athletic Performance physiology; Bicycling physiology; Hydrotherapy methods; Recovery of Function physiology; Adult; Body Temperature; Heart Rate physiology; Humans; Male; Muscle, Skeletal physiology; Physical Exertion; Temperature</t>
  </si>
  <si>
    <t>This study investigated whether contrast water therapy (CWT) has a dose-response effect on recovery from high-intensity cycling. Eleven trained male cyclists completed four trials, each commencing with a 75-min cycling protocol containing six sets of five 15-s sprints and three 5-min time-trials in thermoneutral conditions. Ten minutes post-exercise, participants performed one of four recovery protocols: CWT for 6 min (CWT6), 12 min (CWT12), or 18 min (CWT18) duration, or a seated rest control trial. The CWT commenced in hot water (38.4 ± 0.6°C) and alternated between hot and cold water (14.6 ± 0.3°C) every minute with a 5-s changeover. The cycling protocol was repeated 2 h after completion of exercise bout one. Prior to exercise bout two, core temperature was lower in CWT12 (-0.19 ± 0.14°C, mean ± 90% CL) and CWT18 (-0.21 ± 0.10°C) than control. Compared with control, CWT6 substantially improved time-trial (1.5 ± 2.1%) and sprint performance (3.0 ± 3.1%), and CWT12 substantially improved sprint total work (4.3 ± 3.4%) and peak power (2.7 ± 3.8%) in exercise bout two. All CWT conditions generally improved thermal sensation, whole body fatigue and muscle soreness compared with control, but no differences existed between conditions in heart rate or rating of perceived exertion. In conclusion, CWT duration did not have a dose-response effect on recovery from high-intensity cycling; however, CWT for up to 12 min assisted recovery of cycling performance.</t>
  </si>
  <si>
    <t>https://search.ebscohost.com/login.aspx?direct=true&amp;db=mdc&amp;AN=20809231&amp;site=ehost-live</t>
  </si>
  <si>
    <t>Effect of sodium bicarbonate on [HCO3-], pH, and gastrointestinal symptoms.</t>
  </si>
  <si>
    <t>10.1123/ijsnem.21.3.189</t>
  </si>
  <si>
    <t>Gastrointestinal Diseases prevention &amp; control; Gastrointestinal Tract drug effects; Sodium Bicarbonate blood; Sodium Bicarbonate pharmacology; Adult; Citrates blood; Citrates pharmacology; Cross-Over Studies; Dietary Carbohydrates administration &amp; dosage; Drug Administration Schedule; Eating; Female; Gastrointestinal Diseases chemically induced; Humans; Hydrogen-Ion Concentration drug effects; Male; Sodium Bicarbonate adverse effects; Sodium Citrate; Surveys and Questionnaires; Time Factors</t>
  </si>
  <si>
    <t>Context: Sodium bicarbonate (NaHCO₃) is often ingested at a dose of 0.3 g/kg body mass (BM), but ingestion protocols are inconsistent in terms of using solution or capsules, ingestion period, combining NaHCO₃ with sodium citrate (Na₃C₆H₅O₇), and coingested food and fluid. Purpose: To quantify the effect of ingesting 0.3 g/kg NaHCO₃ on blood pH, [HCO₃-], and gastrointestinal (GI) symptoms over the subsequent 3 hr using a range of ingestion protocols and, thus, to determine an optimal protocol. Methods: In a crossover design, 13 physically active subjects undertook 8 NaHCO₃ experimental ingestion protocols and 1 placebo protocol. Capillary blood was taken every 30 min and analyzed for pH and [HCO₃-]. GI symptoms were quantified every 30 min via questionnaire. Statistics used were pairwise comparisons between protocols; differences were interpreted in relation to smallest worthwhile changes for each variable. A likelihood of &gt;75% was a substantial change. Results: [HCO₃-] and pH were substantially greater than in placebo for all other ingestion protocols at almost all time points. When NaHCO3 was coingested with food, the greatest [HCO₃-] (30.9 mmol/kg) and pH (7.49) and lowest incidence of GI symptoms were observed. The greatest incidence of GI side effects was observed 90 min after ingestion of 0.3 g/kg NaHCO₃ solution. Conclusions: The changes in pH and [HCO₃-] for the 8 NaHCO₃-ingestion protocols were similar, so an optimal protocol cannot be recommended. However, the results suggest that NaHCO₃ coingested with a high-carbohydrate meal should be taken 120-150 min before exercise to induce substantial blood alkalosis and reduce GI symptoms.</t>
  </si>
  <si>
    <t>https://search.ebscohost.com/login.aspx?direct=true&amp;db=mdc&amp;AN=21719899&amp;site=ehost-live</t>
  </si>
  <si>
    <t>Effects of acute alkalosis and acidosis on performance: a meta-analysis.</t>
  </si>
  <si>
    <t>Carr AJ; Hopkins WG; Gore CJ</t>
  </si>
  <si>
    <t>10.2165/11591440-000000000-00000</t>
  </si>
  <si>
    <t>Acidosis physiopathology; Alkalosis physiopathology; Athletic Performance physiology; Ammonium Chloride administration &amp; dosage; Athletes; Buffers; Citrates administration &amp; dosage; Female; Humans; Lactic Acid blood; Male; Running physiology; Sodium Bicarbonate administration &amp; dosage; Sodium Bicarbonate blood; Sodium Citrate</t>
  </si>
  <si>
    <t>Ingestion of agents that modify blood buffering action may affect high-intensity performance. Here we present a meta-analysis of the effects of acute ingestion of three such agents - sodium bicarbonate, sodium citrate and ammonium chloride - on performance and related physiological variables (blood bicarbonate, pH and lactate). A literature search yielded 59 useable studies with 188 observations of performance effects. To perform the mixed-model meta-analysis, all performance effects were converted into a percentage change in mean power and were weighted using standard errors derived from exact p-values, confidence limits (CLs) or estimated errors of measurement. The fixed effects in the meta-analytic model included the number of performance-test bouts (linear), test duration (log linear), blinding (yes/no), competitive status (athlete/nonathlete) and sex (male/female). Dose expressed as buffering mmoL/kg/body mass (BM) was included as a strictly proportional linear effect interacted with all effects except blinding. Probabilistic inferences were derived with reference to thresholds for small and moderate effects on performance of 0.5% and 1.5%, respectively. Publication bias was reduced by excluding study estimates with a standard error &gt;2.7%. The remaining 38 studies and 137 estimates for sodium bicarbonate produced a possibly moderate performance enhancement of 1.7% (90% CL ± 2.0%) with a typical dose of 3.5 mmoL/kg/BM (∼0.3 g/kg/BM) in a single 1-minute sprint, following blinded consumption by male athletes. In the 16 studies and 45 estimates for sodium citrate, a typical dose of 1.5 mmoL/kg/BM (∼0.5 g/kg/BM) had an unclear effect on performance of 0.0% (±1.3%), while the five studies and six estimates for ammonium chloride produced a possibly moderate impairment of 1.6% (±1.9%) with a typical dose of 5.5 mmoL/kg/BM (∼0.3 g/kg/BM). Study and subject characteristics had the following modifying small effects on the enhancement of performance with sodium bicarbonate: an increase of 0.5% (±0.6%) with a 1 mmoL/kg/BM increase in dose; an increase of 0.6% (±0.4%) with five extra sprint bouts; a reduction of 0.6% (±0.9%) for each 10-fold increase in test duration (e.g. 1-10 minutes); reductions of 1.1% (±1.1%) with nonathletes and 0.7% (±1.4%) with females. Unexplained variation in effects between research settings was typically ±1.2%. The only noteworthy effects involving physiological variables were a small correlation between performance and pre-exercise increase in blood bicarbonate with sodium bicarbonate ingestion, and a very large correlation between the increase in blood bicarbonate and time between sodium citrate ingestion and exercise. The approximate equal and opposite effects of sodium bicarbonate and ammonium chloride are consistent with direct performance effects of pH, but sodium citrate appears to have some additional metabolic inhibitory effect. Important future research includes studies of sodium citrate ingestion several hours before exercise and quantification of gastrointestinal symptoms with sodium bicarbonate and citrate. Although individual responses may vary, we recommend ingestion of 0.3-0.5 g/kg/BM sodium bicarbonate to improve mean power by 1.7% (±2.0%) in high-intensity races of short duration.</t>
  </si>
  <si>
    <t>https://search.ebscohost.com/login.aspx?direct=true&amp;db=mdc&amp;AN=21923200&amp;site=ehost-live</t>
  </si>
  <si>
    <t>Effects of exercise intensity and altered substrate availability on cardiovascular and metabolic responses to exercise after oral carnitine supplementation in athletes.</t>
  </si>
  <si>
    <t>Broad EM; Maughan RJ; Galloway S DR</t>
  </si>
  <si>
    <t>10.1123/ijsnem.21.5.385</t>
  </si>
  <si>
    <t>Carbohydrate Metabolism drug effects; Carnitine pharmacology; Diet; Exercise physiology; Heart Rate drug effects; Lipid Metabolism drug effects; Administration, Oral; Adult; Bicycling physiology; Blood Glucose metabolism; Diet, High-Fat; Dietary Carbohydrates administration &amp; dosage; Dietary Carbohydrates metabolism; Dietary Fats administration &amp; dosage; Dietary Supplements; Double-Blind Method; Humans; Male; Physical Endurance physiology; Tartrates pharmacology; Vitamin B Complex pharmacology; Young Adult</t>
  </si>
  <si>
    <t>The effects of 15 d of supplementation with L-carnitine L-tartrate (LC) on metabolic responses to graded-intensity exercise under conditions of altered substrate availability were examined. Fifteen endurance-trained male athletes undertook exercise trials after a 2-d high-carbohydrate diet (60% CHO, 25% fat) at baseline (D0), on Day 14 (D14), and after a single day of high fat intake (15% CHO, 70% fat) on Day 15 (D15) in a double-blind, placebo-controlled, pair-matched design. Treatment consisted of 3 g LC (2 g L-carnitine/d; n = 8) or placebo (P, n = 7) for 15 d. Exercise trials consisted of 80 min of continuous cycling comprising 20-min periods at each of 20%, 40%, 60%, and 80% VO2peak. There was no significant difference between whole-body rates of CHO and fat oxidation at any workload between D0 and D14 trials for either the P or LC group. Both groups displayed increased fat and reduced carbohydrate oxidation between the D14 and D15 trials (p &lt; .05). During the D15 trial, heart rate (p &lt; .05 for 20%, 40%, and 60% workloads) and blood glucose concentration (p &lt; .05 for 40% and 60% workloads) were lower during exercise in the LC group than in P. These responses suggest that LC may induce subtle changes in substrate handling in metabolically active tissues when fatty-acid availability is increased, but it does not affect whole-body substrate utilization during short-duration exercise at the intensities studied.</t>
  </si>
  <si>
    <t>https://search.ebscohost.com/login.aspx?direct=true&amp;db=mdc&amp;AN=21813919&amp;site=ehost-live</t>
  </si>
  <si>
    <t>Feeding strategies of a female athlete during an ultraendurance running event.</t>
  </si>
  <si>
    <t>Moran ST; Dziedzic CE; Cox GR</t>
  </si>
  <si>
    <t>10.1123/ijsnem.21.4.347</t>
  </si>
  <si>
    <t>Energy Intake; Nutritional Physiological Phenomena; Physical Endurance; Running; Adult; Athletes; Female; Guidelines as Topic; Humans; Nutritional Requirements; Sports</t>
  </si>
  <si>
    <t>The aim of this case study was to describe the race nutrition practices of a female runner who completed her first 100-km off-road ultraendurance running event in 12 hr 48 min 55 s. Food and fluid intake during the race provided 10,890 kJ (736 kJ/hr) and 6,150 ml (415 ml/hr) of fluid. Hourly reported carbohydrate intake was 44 g, with 34% provided by sports drink. Hourly carbohydrate intake increased in the second half (53 g/hr) compared with the first half (34 g/h) of the race, as the athlete did not have access to individualized food and fluid choices at the early checkpoints and felt satiated in the early stages of the race after consuming a prerace breakfast. Mean sodium intake was 500 mg/hr (52 mmol/L), with a homemade savory broth and sports drink (Gatorade Endurance) being the major contributors. The athlete consumed a variety of foods of varying textures and tastes with no complaints of gastrointestinal discomfort. Despite thinking she would consume sweet foods exclusively, as she had done in training, the athlete preferred savory foods and fluids at checkpoints during the latter stages of the race. This case study highlights the importance of the sports nutrition team in educating athletes about race-day nutrition strategies and devising a simple yet effective system to allow them to manipulate their race-day food and fluid intake to meet their nutritional goals.</t>
  </si>
  <si>
    <t>https://search.ebscohost.com/login.aspx?direct=true&amp;db=mdc&amp;AN=21813918&amp;site=ehost-live</t>
  </si>
  <si>
    <t>Haemoglobin mass in an anaemic female endurance runner before and after iron supplementation.</t>
  </si>
  <si>
    <t>Garvican LA; Lobigs L; Telford R; Fallon K; Gore CJ</t>
  </si>
  <si>
    <t>10.1123/ijspp.6.1.137</t>
  </si>
  <si>
    <t>Anemia, Iron-Deficiency drug therapy; Ferric Compounds administration &amp; dosage; Ferrous Compounds administration &amp; dosage; Hematinics administration &amp; dosage; Hemoglobins metabolism; Physical Endurance; Running; Administration, Oral; Anemia, Iron-Deficiency blood; Anemia, Iron-Deficiency physiopathology; Biomarkers blood; Breath Tests; Drug Administration Schedule; Female; Humans; Injections, Intramuscular; Time Factors; Treatment Outcome; Young Adult</t>
  </si>
  <si>
    <t>Haemoglobin mass in a female endurance athlete was measured via carbon monoxide rebreathing upon diagnosis of iron-deficiency anemia (haemoglobin concentration = 8.8 g/dL, ferritin = 9.9 ng/mL) and regularly during treatment thereafter. Haemoglobin mass increased by 49% in the 2 wk following an intramuscular iron injection and continued to increase with oral iron supplementation for 15 wk. The presented case illustrates that haemoglobin mass is readily responsive to iron supplementation in a severely iron-deficient anemic athlete and that changes can be tracked efficiently using the CO-rebreathing method.</t>
  </si>
  <si>
    <t>https://search.ebscohost.com/login.aspx?direct=true&amp;db=mdc&amp;AN=21487157&amp;site=ehost-live</t>
  </si>
  <si>
    <t>Hitting a cricket ball: what components of the interceptive action are most linked to expertise?</t>
  </si>
  <si>
    <t>Weissensteiner JR; Abernethy B; Farrow D</t>
  </si>
  <si>
    <t>10.1080/14763141.2011.629303</t>
  </si>
  <si>
    <t>Athletic Performance physiology; Movement physiology; Sports physiology; Upper Extremity physiology; Adult; Discriminant Analysis; Humans; Male; Multivariate Analysis; Young Adult</t>
  </si>
  <si>
    <t>Differences in interceptive skill between highly skilled and lesser skilled cricket batsmen were examined using a batting task that required participants to strike front-foot drive strokes from a machine-projected ball to a specified target. Task difficulty was manipulated by varying the width of the bat (normal, half, and third width) and target accuracy, and quality of bat-ball contact was monitored along with temporal and sequential elements of the hitting action. Analyses revealed that the highly skilled batsmen were distinguishable from less skilled counterparts by their higher accuracy under the normal and half-width bat conditions, significantly earlier initiation and completion of the front-foot stride, greater synchronization of the completion of the front-foot stride with the commencement of the downswing of the bat, and consistent timing of downswing relative to ball bounce and impact. In keeping with studies of other hitting sports, temporal and spatial coupling of the downswing to ball bounce to help minimize temporo-spatial error at the point of interception appeared critical to skilled performance. Implications for the understanding of interception and for coaching practice are briefly discussed.</t>
  </si>
  <si>
    <t>https://search.ebscohost.com/login.aspx?direct=true&amp;db=mdc&amp;AN=22303784&amp;site=ehost-live</t>
  </si>
  <si>
    <t>Novel precooling strategy enhances time trial cycling in the heat.</t>
  </si>
  <si>
    <t>Ross ML; Garvican LA; Jeacocke NA; Laursen PB; Abbiss CR; Martin DT; Burke LM</t>
  </si>
  <si>
    <t>10.1249/MSS.0b013e3181e93210</t>
  </si>
  <si>
    <t>Athletic Performance physiology; Bicycling physiology; Body Temperature Regulation; Hot Temperature; Adolescent; Adult; Body Temperature; Cold Temperature; Cross-Over Studies; Drinking physiology; Humans; Humidity; Ice; Male; Time; Young Adult</t>
  </si>
  <si>
    <t>Purpose: To develop and investigate the efficacy of a new precooling strategy combining external and internal techniques on the performance of a cycling time trial (TT) in a hot and humid environment. Methods: Eleven well-trained male cyclists undertook three trials of a laboratory-based cycling TT simulating the course characteristics of the Beijing Olympic Games event in a controlled hot and humid environment (32°C-35°C at 50%-60% relative humidity). The trials, separated by 3-7 d, were undertaken in a randomized crossover design and consisted of the following: 1) CON-no treatment apart from the ad libitum consumption of cold water (4°C), 2) STD COOL-whole-body immersion in cold (10°C) water for 10 min followed by wearing a cooling jacket, or 3) NEW COOL-combination of consumption of 14 g of ice slurry ("slushie") per kilogram body mass made from a commercial sports drink while applying iced towels. Results: There was an observable effect on rectal temperature (T(rec)) before the commencement of the TT after both precooling techniques (STD COOL &lt; NEW COOL &lt; CON, P &lt; 0.05), but pacing of the TT resulted in similar T(rec), HR, and RPE throughout the cycling protocol in all trials. NEW COOL was associated with a 3.0% increase in power (approximately 8 W) and a 1.3% improvement in performance time (approximately 1:06 min) compared with the CON trial, with the true likely effects ranging from a trivial to a large benefit. The effect of the STD COOL trial compared with the CON trial was "unclear." Conclusions: This new precooling strategy represents a practical and effective technique that could be used by athletes in preparation for endurance events undertaken in hot and humid conditions.</t>
  </si>
  <si>
    <t>https://search.ebscohost.com/login.aspx?direct=true&amp;db=mdc&amp;AN=20508537&amp;site=ehost-live</t>
  </si>
  <si>
    <t>Optimizing kick rate and amplitude for Paralympic swimmers via net force measures.</t>
  </si>
  <si>
    <t>Fulton SK; Pyne D; Burkett B</t>
  </si>
  <si>
    <t>10.1080/02640414.2010.536247</t>
  </si>
  <si>
    <t>Disabled Persons; Lower Extremity physiology; Movement; Physical Exertion; Swimming physiology; Adolescent; Adult; Biomechanical Phenomena; Female; Humans; Male; Young Adult</t>
  </si>
  <si>
    <t>Kicking is a key component of freestyle swimming yet the optimum combination of kick rate and kick amplitude remains unknown. For Paralympic swimmers, with upper and lower limb disabilities, the influence of the kick plays an important role in net force production. To determine optimum kick characteristics, 12 Paralympic swimmers aged 19.8 ± 2.9 years (mean ± s) were towed at their individual peak freestyle speed. The experimental conditions were (i) a prone streamline glide for passive trials and (ii) maximal freestyle kicking in a prone streamline for active trials at different speeds and kick amplitudes. Kick rate was quantified using inertial sensor technology. Towing speed was assessed using a novel and validated dynamometer, and net force was assessed using a Kistler force-platform system. When peak speed was increased by 5%, the active force increased 24.2 ± 5.3% (90% confidence limits), while kick rate remained at approximately 150 kicks per minute. Larger amplitude kicking increased the net active force by 25.1 ± 10.6%, although kick rate decreased substantially by 13.6 ± 5.1%. Based on the current kick rate and amplitude profile adopted by Paralympic swimmers, these characteristics are appropriate for optimizing net force.</t>
  </si>
  <si>
    <t>https://search.ebscohost.com/login.aspx?direct=true&amp;db=mdc&amp;AN=21259155&amp;site=ehost-live</t>
  </si>
  <si>
    <t>Quality control technique to reduce the variability of longitudinal measurement of hemoglobin mass.</t>
  </si>
  <si>
    <t>Gough CE; Sharpe K; Ashenden MJ; Anson JM; Saunders PU; Garvican LA; Bonetti DL; Gore CJ; Prommer N</t>
  </si>
  <si>
    <t>e365</t>
  </si>
  <si>
    <t>10.1111/j.1600-0838.2011.01316.x</t>
  </si>
  <si>
    <t>Australian Capital Territory; Hemoglobins analysis; Performance-Enhancing Substances isolation &amp; purification; Quality Control; Substance Abuse Detection standards; Adult; Australian Capital Territory; Doping in Sports; Female; Humans; Laboratories standards; Male; Substance Abuse Detection methods; Young Adult</t>
  </si>
  <si>
    <t>The sensitivity of the athlete blood passport to detect blood doping may be improved by the inclusion of total hemoglobin mass (Hb(mass)), but the comparability of Hb(mass) from different laboratories is unknown. To optimize detection sensitivity, the analytical variability associated with Hb(mass) measurement must be minimized. The aim of this study was to investigate the efficacy of using quality controls to minimize the variation in Hb(mass) between laboratories. Three simulated laboratories were set up in one location. Nine participants completed three carbon monoxide (CO) re-breathing tests in each laboratory. One participant completed two CO re-breathing tests in each laboratory. Simultaneously, quality controls containing Low (1-3%) and High (8-11%) concentrations of percent carboxyhemoglobin (%HbCO) were measured to compare hemoximeters in each laboratory. Linear mixed modeling was used to estimate the within-subject variation in Hb(mass), expressed as the coefficient of variation, and to estimate the effect of different laboratories. The analytic variation of Hb(mass) was 2.4% when tests were conducted in different laboratories, which reduced to 1.6% when the model accounted for between-laboratory differences. Adjustment of Hb(mass) values using quality controls achieved a comparable analytic variation of 1.7%. The majority of between-laboratory variation in Hb(mass) originated from the difference between hemoximeters, which could be eliminated using appropriate quality controls. © 2011 John Wiley &amp; Sons A/S.</t>
  </si>
  <si>
    <t>https://search.ebscohost.com/login.aspx?direct=true&amp;db=mdc&amp;AN=21535184&amp;site=ehost-live</t>
  </si>
  <si>
    <t>Standardising analysis of carbon monoxide rebreathing for application in anti-doping.</t>
  </si>
  <si>
    <t>Alexander AC; Garvican LA; Burge CM; Clark SA; Plowman JS; Gore CJ</t>
  </si>
  <si>
    <t>10.1016/j.jsams.2010.07.007</t>
  </si>
  <si>
    <t>Evaluation Study</t>
  </si>
  <si>
    <t>Carbon Monoxide administration &amp; dosage; Carboxyhemoglobin analysis; Carboxyhemoglobin standards; Doping in Sports; Oximetry instrumentation; Oximetry standards; Adult; Female; Humans; Male; Middle Aged; Reproducibility of Results</t>
  </si>
  <si>
    <t>Determination of total haemoglobin mass (Hbmass) via carbon monoxide (CO) depends critically on repeatable measurement of percent carboxyhaemoglobin (%HbCO) in blood with a hemoximeter. The main aim of this study was to determine, for an OSM3 hemoximeter, the number of replicate measures as well as the theoretical change in percent carboxyhaemoglobin required to yield a random error of analysis (Analyser Error) of ≤1%. Before and after inhalation of CO, nine participants provided a total of 576 blood samples that were each analysed five times for percent carboxyhaemoglobin on one of three OSM3 hemoximeters; with approximately one-third of blood samples analysed on each OSM3. The Analyser Error was calculated for the first two (duplicate), first three (triplicate) and first four (quadruplicate) measures on each OSM3, as well as for all five measures (quintuplicates). Two methods of CO-rebreathing, a 2-min and 10-min procedure, were evaluated for Analyser Error. For duplicate analyses of blood, the Analyser Error for the 2-min method was 3.7, 4.0 and 5.0% for the three OSM3s when the percent carboxyhaemoglobin increased by two above resting values. With quintuplicate analyses of blood, the corresponding errors reduced to .8, .9 and 1.0% for the 2-min method when the percent carboxyhaemoglobin increased by 5.5 above resting values. In summary, to minimise the Analyser Error to ∼≤1% on an OSM3 hemoximeter, researchers should make ≥5 replicates of percent carboxyhaemoglobin and the volume of CO administered should be sufficient increase percent carboxyhaemoglobin by ≥5.5 above baseline levels. Crown Copyright © 2010. Published by Elsevier Ltd. All rights reserved.</t>
  </si>
  <si>
    <t>https://search.ebscohost.com/login.aspx?direct=true&amp;db=mdc&amp;AN=20832358&amp;site=ehost-live</t>
  </si>
  <si>
    <t>The clinical features of ankle syndesmosis injuries: a general review.</t>
  </si>
  <si>
    <t>Kellett JJ</t>
  </si>
  <si>
    <t>10.1097/JSM.0b013e318234be7d</t>
  </si>
  <si>
    <t>Ankle Injuries physiopathology; Range of Motion, Articular physiology; Ankle anatomy &amp; histology; Ankle physiopathology; Ankle Injuries diagnosis; Fibula physiopathology; Humans; Incidence; Joint Instability diagnosis; Joint Instability physiopathology; Ligaments, Articular injuries; Ligaments, Articular physiopathology; Physical Examination methods; Prognosis; Severity of Illness Index</t>
  </si>
  <si>
    <t>Objective: To review the research conclusions relating to clinical aspects of syndesmosis, the incidence and prognosis of syndesmosis injuries, and the effectiveness of the history and clinical examination to reliably diagnose ankle syndesmosis injury. Data Sources: Google Scholar search: Syndesmosis paired with incidence, prognosis, history, and examination in turn. There was no time limit for the search. Articles were selected by reading titles, abstracts, and the full article, if indicated, seeking original articles determining these clinical aspects of syndesmosis injuries. Further articles were derived from the references of the primary articles. Main Results: The prognosis for isolated syndesmosis injuries, including the time to functional recovery, is unknown. The incidence of acute syndesmosis injury in moderate to severe ankle injuries requiring imaging is of the order of 5%. Historical features and special clinical tests of syndesmosis injury have not been proven reliable by clinical studies using evidence-based diagnostic criteria. Acute local tenderness of the anterior inferior tibiofibular ligament will indicate significant syndesmosis injury in only approximately half of nonspecific ankle injuries. Conclusions: There is limited, evidence-based, standard, published literature from which to draw conclusions regarding the validity or reliability of various clinical special tests for syndesmosis injury. Literature assessing the incidence, prognosis, and clinical features is generally not based on definitively confirmed syndesmosis injuries, which is a critical aspect of evidence-based medicine before valid conclusions can be drawn.</t>
  </si>
  <si>
    <t>https://search.ebscohost.com/login.aspx?direct=true&amp;db=mdc&amp;AN=22011797&amp;site=ehost-live</t>
  </si>
  <si>
    <t>The contribution of haemoglobin mass to increases in cycling performance induced by simulated LHTL.</t>
  </si>
  <si>
    <t>Garvican LA; Pottgiesser T; Martin DT; Schumacher YO; Barras M; Gore CJ</t>
  </si>
  <si>
    <t>10.1007/s00421-010-1732-z</t>
  </si>
  <si>
    <t>Altitude; Athletic Performance physiology; Bicycling physiology; Exercise Test methods; Hemoglobins physiology; Residence Characteristics; Adolescent; Adult; Blood Volume physiology; Computer Simulation; Female; Geography; Hemoglobins analysis; Hemoglobins metabolism; Humans; Models, Biological; Osmolar Concentration; Young Adult</t>
  </si>
  <si>
    <t>We sought to determine whether improved cycling performance following 'Live High-Train Low' (LHTL) occurs if increases in haemoglobin mass (Hb(mass)) are prevented via periodic phlebotomy during hypoxic exposure. Eleven, highly trained, female cyclists completed 26 nights of simulated LHTL (16 h day(-1), 3000 m). Hb(mass) was determined in quadruplicate before LHTL and in duplicate weekly thereafter. After 14 nights, cyclists were pair-matched, based on their Hb(mass) response (ΔHb(mass)) from baseline, to form a response group (Response, n = 5) in which Hb(mass) was free to adapt, and a Clamp group (Clamp, n = 6) in which ΔHb(mass) was negated via weekly phlebotomy. All cyclists were blinded to the blood volume removed. Cycling performance was assessed in duplicate before and after LHTL using a maximal 4-min effort (MMP(4min)) followed by a ride time to exhaustion test at peak power output (T (lim)). VO(2peak) was established during the MMP(4min). Following LHTL, Hb(mass) increased in Response (mean ± SD, 5.5 ± 2.9%). Due to repeated phlebotomy, there was no ΔHb(mass) in Clamp (-0.4 ± 0.6%). VO(2peak) increased in Response (3.5 ± 2.3%) but not in Clamp (0.3 ± 2.6%). MMP(4min) improved in both the groups (Response 4.5 ± 1.1%, Clamp 3.6 ± 1.4%) and was not different between groups (p = 0.58). T (lim) increased only in Response, with Clamp substantially worse than Response (-37.6%; 90% CL -58.9 to -5.0, p = 0.07). Our novel findings, showing an ~4% increase in MMP(4min) despite blocking an ~5% increase in Hb(mass), suggest that accelerated erythropoiesis is not the sole mechanism by which LHTL improves performance. However, increases in Hb(mass) appear to influence the aerobic contribution to high-intensity exercise which may be important for subsequent high-intensity efforts.</t>
  </si>
  <si>
    <t>https://search.ebscohost.com/login.aspx?direct=true&amp;db=mdc&amp;AN=21113616&amp;site=ehost-live</t>
  </si>
  <si>
    <t>The force-time profile of elite front crawl swimmers.</t>
  </si>
  <si>
    <t>Formosa DP; Mason B; Burkett B</t>
  </si>
  <si>
    <t>10.1080/02640414.2011.561867</t>
  </si>
  <si>
    <t>Queensland; Athletes; Athletic Performance physiology; Swimming physiology; Adolescent; Humans; Male; Queensland; Young Adult</t>
  </si>
  <si>
    <t>In this study, we used recently developed technology to determine the force-time profile of elite swimmers, which enabled coaches to make informed decisions on technique modifications. Eight elite male swimmers with a FINA (Federation Internationale de Natation) rank of 900+ completed five passive (streamline tow) and five net force (arms and leg swimming) trials. Three 50-Hz cameras were used to video each trial and were synchronized to the kinetic data output from a force-platform, upon which a motorized towing device was mounted. Passive and net force trials were completed at the participant's maximal front crawl swimming velocity. For the constant tow velocity, the net force profile was presented as a force-time graph, and the limitation of a constant velocity assumption was acknowledged. This allowed minimum and maximum net forces and arm symmetry to be identified. At a mean velocity of 1.92+0.06 m s⁻¹, the mean passive drag for the swimmers was 80.3+4.0 N, and the mean net force was 262.4+33.4 N. The mean location in the stroke cycle for minimum and maximum net force production was at 45% (insweep phase) and 75% (upsweep phase) of the stroke, respectively. This force-time profile also identified any stroke asymmetry.</t>
  </si>
  <si>
    <t>https://search.ebscohost.com/login.aspx?direct=true&amp;db=mdc&amp;AN=21500079&amp;site=ehost-live</t>
  </si>
  <si>
    <t>Validity and reliability of temperature measurement by heat flow thermistors, flexible thermocouple probes and thermistors in a stirred water bath.</t>
  </si>
  <si>
    <t>Versey NG; Gore CJ; Halson SL; Plowman JS; Dawson BT</t>
  </si>
  <si>
    <t>Physiological measurement</t>
  </si>
  <si>
    <t>10.1088/0967-3334/32/9/005</t>
  </si>
  <si>
    <t>IOP Pub. Ltd</t>
  </si>
  <si>
    <t>Body Temperature physiology; Physiology instrumentation; Thermometers; Water; Bias; Calibration; Humans; Reproducibility of Results</t>
  </si>
  <si>
    <t>We determined the validity and reliability of heat flow thermistors, flexible thermocouple probes and general purpose thermistors compared with a calibrated reference thermometer in a stirred water bath. Validity (bias) was defined as the difference between the observed and criterion values, and reliability as the repeatability (standard deviation or typical error) of measurement. Data were logged every 5 s for 10 min at water temperatures of 14, 26 and 38 °C for ten heat flow thermistors and 24 general purpose thermistors, and at 35, 38 and 41 °C for eight flexible thermocouple probes. Statistical analyses were conducted using spreadsheets for validity and reliability, where an acceptable bias was set at ±0.1 °C. None of the heat flow thermistors, 17% of the flexible thermocouple probes and 71% of the general purpose thermistors met the validity criterion for temperature. The inter-probe reliabilities were 0.03 °C for heat flow thermistors, 0.04 °C for flexible thermocouple probes and 0.09 °C for general purpose thermistors. The within trial intra-probe reliability of all three temperature probes was 0.01 °C. The results suggest that these temperature sensors should be calibrated individually before use at relevant temperatures and the raw data corrected using individual linear regression equations.</t>
  </si>
  <si>
    <t>https://search.ebscohost.com/login.aspx?direct=true&amp;db=mdc&amp;AN=21788687&amp;site=ehost-live</t>
  </si>
  <si>
    <t>Warm-up affects diurnal variation in power output.</t>
  </si>
  <si>
    <t>Taylor K; Cronin JB; Gill N; Chapman DW; Sheppard JM</t>
  </si>
  <si>
    <t>10.1055/s-0030-1268437</t>
  </si>
  <si>
    <t>Body Temperature physiology; Circadian Rhythm physiology; Exercise Tolerance physiology; Isometric Contraction physiology; Muscle, Skeletal physiology; Adaptation, Physiological; Adult; Biomechanical Phenomena; Cross-Over Studies; Humans; Leg physiology; Male; Monitoring, Physiologic; Task Performance and Analysis; Time Factors</t>
  </si>
  <si>
    <t>The purpose of this study was to examine whether time of day variations in power output can be accounted for by the diurnal fluctuations existent in body temperature. 8 recreationally trained males (29.8±5.2 yrs; 178.3±5.2 cm; 80.3±6.5 kg) were assessed on 4 occasions following a: (a) control warm-up at 8.00 am; (b) control warm-up at 4.00 pm; (c) extended warm-up at 8.00 am; and, (d) extended warm-up at 4.00 pm. The control warm-up consisted of dynamic exercises and practice jumps. The extended warm-up incorporated a 20 min general warm-up on a stationary bike prior to completion of the control warm-up, resulting in a whole body temperature increase of 0.3±0.2°C. Kinetic and kinematic variables were measured using a linear optical encoder attached to a barbell during 6 loaded counter-movement jumps. Results were 2-6% higher in the afternoon control condition than morning control condition. No substantial performance differences were observed between the extended morning condition and afternoon control condition where body temperatures were similar. Results indicate that diurnal variation in whole body temperature may explain diurnal performance differences in explosive power output and associated variables. It is suggested that warm-up protocols designed to increase body temperature are beneficial in reducing diurnal differences in jump performance. © Georg Thieme Verlag KG Stuttgart · New York.</t>
  </si>
  <si>
    <t>https://search.ebscohost.com/login.aspx?direct=true&amp;db=mdc&amp;AN=21305444&amp;site=ehost-live</t>
  </si>
  <si>
    <t>An attempt to quantify the placebo effect from a three-week simulated altitude training camp in elite race walkers.</t>
  </si>
  <si>
    <t>Saunders PU; Ahlgrim C; Vallance B; Green DJ; Robertson EY; Clark SA; Schumacher YO; Gore CJ</t>
  </si>
  <si>
    <t>10.1123/ijspp.5.4.521</t>
  </si>
  <si>
    <t>Altitude; Exercise Test; Walking physiology; Adult; Female; Hemoglobins analysis; Humans; Male; Oxygen Consumption physiology; Physical Endurance physiology; Placebo Effect; Single-Blind Method</t>
  </si>
  <si>
    <t>Purpose: To quantify physiological and performance effects of hypoxic exposure, a training camp, the placebo effect, and a combination of these factors. Methods: Elite Australian and International race walkers (n = 17) were recruited, including men and women. Three groups were assigned: 1) Live High:Train Low (LHTL, n = 6) of 14 h/d at 3000 m simulated altitude; 2) Placebo (n = 6) of 14 h/d of normoxic exposure (600 m); and 3) Nocebo (n = 5) living in normoxia. All groups undertook similar training during the intervention. Physiological and performance measures included 10-min maximal treadmill distance, peak oxygen uptake (VO2peak), walking economy, and hemoglobin mass (Hbmass). Results: Blinding failed, so the Placebo group was a second control group aware of the treatment. All three groups improved treadmill performance by approx. 4%. Compared with Placebo, LHTL increased Hbmass by 8.6% (90% CI: 3.5 to 14.0%; P = .01, very likely), VO2peak by 2.7% (-2.2 to 7.9%; P = .34, possibly), but had no additional improvement in treadmill distance (-0.8%, -4.6 to 3.8%; P = .75, unlikely) or economy (-8.2%, -24.1 to 5.7%; P = .31, unlikely). Compared with Nocebo, LHTL increased Hbmass by 5.5% (2.5 to 8.7%; P = .01, very likely), VO2peak by 5.8% (2.3 to 9.4%; P = .02, very likely), but had no additional improvement in treadmill distance (0.3%, -1.9 to 2.5%; P = .75, possibly) and had a decrease in walking economy (-16.5%, -30.5 to 3.9%; P = .04, very likely). Conclusion: Overall, 3-wk LHTL simulated altitude training for 14 h/d increased Hbmass and VO2peak, but the improvement in treadmill performance was not greater than the training camp effect.</t>
  </si>
  <si>
    <t>https://search.ebscohost.com/login.aspx?direct=true&amp;db=mdc&amp;AN=21266736&amp;site=ehost-live</t>
  </si>
  <si>
    <t>BJSM reviews: a--z of nutritional supplements: dietary supplements, sports nutrition foods and ergogenic aids for health and performance part 7.</t>
  </si>
  <si>
    <t>Burke LM; Castell LM; Stear SJ; Houtkooper L; Manore M; Senchina D</t>
  </si>
  <si>
    <t>10.1136/bjsm.2010.072405</t>
  </si>
  <si>
    <t>Bone and Bones physiology; Calcium therapeutic use; Drugs, Chinese Herbal therapeutic use; Athletic Performance; Calcium physiology; Dietary Supplements; Drug Contamination; Humans; Vitamin D physiology; Vitamin D therapeutic use</t>
  </si>
  <si>
    <t>https://search.ebscohost.com/login.aspx?direct=true&amp;db=mdc&amp;AN=20371566&amp;site=ehost-live</t>
  </si>
  <si>
    <t>Carbon monoxide uptake kinetics of arterial, venous and capillary blood during CO rebreathing.</t>
  </si>
  <si>
    <t>Garvican LA; Burge CM; Cox AJ; Clark SA; Martin DT; Gore CJ</t>
  </si>
  <si>
    <t>10.1113/expphysiol.2010.054031</t>
  </si>
  <si>
    <t>Carbon Monoxide administration &amp; dosage; Carbon Monoxide pharmacokinetics; Respiration; Adult; Arteries metabolism; Blood Specimen Collection; Capillaries metabolism; Carboxyhemoglobin analysis; Carboxyhemoglobin metabolism; Female; Humans; Male; Middle Aged; Veins metabolism</t>
  </si>
  <si>
    <t>The uptake and distribution of CO throughout the circulatory system during two different methods of CO rebreathing (2 min 'Schmidt' and 40 min 'Burge' methods) were determined in nine healthy volunteers. Specifically, the impact of (i) differences in circulatory mixing time (t(mix)), (ii) CO diffusion to myoglobin (Mb) and (iii) CO wash-out was assessed on calculated haemoglobin mass (Hb(mass)). Arterial (a), muscle venous (vm) and capillary samples (c) were obtained simultaneously at 0, 1, 2, 3.5, 5, 7.5, 10, 12.5, 15, 20, 30 and 40 min for determination of carboxyhaemoglobin (HbCO). Carbon monoxide wash-out was measured from expired air following rebreathing. The rate of CO diffusion to Mb was calculated using the change in HbCO after t(mix), and the rate of CO wash-out. In both methods, HbCOa and HbCOc followed a near-identical time course, peaking within the first 2 min and decreasing thereafter. The HbCOvm increased slowly and was significantly lower at 1, 2 and 3.5 min in both methods (P &lt; 0.01). The HbCOa peaked significantly higher in the Schmidt method (P = 0.03). Circulatory mixing had occurred by 10 min in most but not all subjects. The rate of CO wash-out was 0.25 ± 0.13 ml min⁻¹ in the Schmidt and 0.25 ± 0.16 ml min⁻¹ in the Burge method. The rate of CO diffusion to Mb was 0.22 ± 0.11 and 0.16 ± 0.13 ml min⁻¹ (P = 0.63) in Schmidt and Burge methods, respectively. Inhalation of a CO bolus during the Schmidt method results in faster HbCOa uptake but does not greatly shorten t(mix) or influence rates of CO wash-out and flux to Mb. The calculated Hb(mass) depends substantially on the plateau level of HbCO; therefore, it is paramount to ensure HbCO is mixed completely prior to blood sampling, as well as accounting for potential within-subject alterations of CO exhalation and CO flux to Mb.</t>
  </si>
  <si>
    <t>https://search.ebscohost.com/login.aspx?direct=true&amp;db=mdc&amp;AN=20817700&amp;site=ehost-live</t>
  </si>
  <si>
    <t>Daily training with high carbohydrate availability increases exogenous carbohydrate oxidation during endurance cycling.</t>
  </si>
  <si>
    <t>Cox GR; Clark SA; Cox AJ; Halson SL; Hargreaves M; Hawley JA; Jeacocke N; Snow RJ; Yeo WK; Burke LM</t>
  </si>
  <si>
    <t>10.1152/japplphysiol.00950.2009</t>
  </si>
  <si>
    <t>Diet; Dietary Carbohydrates metabolism; Exercise physiology; Glucose metabolism; Physical Endurance physiology; Adaptation, Physiological; Adult; Athletes; Citrate (si)-Synthase analysis; Dietary Carbohydrates administration &amp; dosage; Energy Metabolism; Exercise Test; Glucose administration &amp; dosage; Glycogen analysis; Glycogen metabolism; Humans; Male; Muscle, Skeletal cytology; Muscle, Skeletal physiology; Young Adult</t>
  </si>
  <si>
    <t>We determined the effects of varying daily carbohydrate intake by providing or withholding carbohydrate during daily training on endurance performance, whole body rates of substrate oxidation, and selected mitochondrial enzymes. Sixteen endurance-trained cyclists or triathletes were pair matched and randomly allocated to either a high-carbohydrate group (High group; n = 8) or an energy-matched low-carbohydrate group (Low group; n = 8) for 28 days. Immediately before study commencement and during the final 5 days, subjects undertook a 5-day test block in which they completed an exercise trial consisting of a 100 min of steady-state cycling (100SS) followed by a 7-kJ/kg time trial on two occasions separated by 72 h. In a counterbalanced design, subjects consumed either water (water trial) or a 10% glucose solution (glucose trial) throughout the exercise trial. A muscle biopsy was taken from the vastus lateralis muscle on day 1 of the first test block, and rates of substrate oxidation were determined throughout 100SS. Training induced a marked increase in maximal citrate synthase activity after the intervention in the High group (27 vs. 34 micromol x g(-1) x min(-1), P &lt; 0.001). Tracer-derived estimates of exogenous glucose oxidation during 100SS in the glucose trial increased from 54.6 to 63.6 g (P &lt; 0.01) in the High group with no change in the Low group. Cycling performance improved by approximately 6% after training. We conclude that altering total daily carbohydrate intake by providing or withholding carbohydrate during daily training in trained athletes results in differences in selected metabolic adaptations to exercise, including the oxidation of exogenous carbohydrate. However, these metabolic changes do not alter the training-induced magnitude of increase in exercise performance.</t>
  </si>
  <si>
    <t>https://search.ebscohost.com/login.aspx?direct=true&amp;db=mdc&amp;AN=20466803&amp;site=ehost-live</t>
  </si>
  <si>
    <t>Effectiveness of intermittent training in hypoxia combined with live high/train low.</t>
  </si>
  <si>
    <t>Robertson EY; Saunders PU; Pyne DB; Gore CJ; Anson JM</t>
  </si>
  <si>
    <t>10.1007/s00421-010-1516-5</t>
  </si>
  <si>
    <t>Acclimatization; Altitude; Hypoxia physiopathology; Muscle Strength; Muscle, Skeletal physiopathology; Physical Endurance; Female; Hemoglobins metabolism; Humans; Hypoxia metabolism; Male; Muscle, Skeletal metabolism; Oxygen Consumption; Running; Task Performance and Analysis; Time Factors</t>
  </si>
  <si>
    <t>Elite athletes often undertake altitude training to improve sea-level athletic performance, yet the optimal methodology has not been established. A combined approach of live high/train low plus train high (LH/TL+TH) may provide an additional training stimulus to enhance performance gains. Seventeen male and female middle-distance runners with maximal aerobic power (VO2max) of 65.5 +/- 7.3 mL kg(-1) min(-1) (mean +/- SD) trained on a treadmill in normobaric hypoxia for 3 weeks (2,200 m, 4 week(-1)). During this period, the train high (TH) group (n = 9) resided near sea-level (approximately 600 m) while the LH/TL+TH group (n = 8) stayed in normobaric hypoxia (3,000 m) for 14 hours day(-1). Changes in 3-km time trial performance and physiological measures including VO2max, running economy and haemoglobin mass (Hb(mass)) were assessed. The LH/TL+TH group substantially improved VO2max (4.8%; +/-2.8%, mean; +/-90% CL), Hb(mass) (3.6%; +/-2.4%) and 3-km time trial performance (-1.1%; +/-1.0%) immediately post-altitude. There was no substantial improvement in time trial performance 2 weeks later. The TH group substantially improved VO2max (2.2%; +/-1.8%), but had only trivial changes in Hb(mass) and 3-km time-trial performance. Compared with TH, combined LH/TL+TH substantially improved VO2max (2.6%; +/-3.2%), Hb(mass) (4.3%; +/-3.2%), and time trial performance (-0.9%; +/-1.4%) immediately post-altitude. LH/TL+TH elicited greater enhancements in physiological capacities compared with TH, however, the transfer of benefits to time-trial performance was more variable.</t>
  </si>
  <si>
    <t>https://search.ebscohost.com/login.aspx?direct=true&amp;db=mdc&amp;AN=20503055&amp;site=ehost-live</t>
  </si>
  <si>
    <t>Effects of simulated and real altitude exposure in elite swimmers.</t>
  </si>
  <si>
    <t>Robertson EY; Aughey RJ; Anson JM; Hopkins WG; Pyne DB</t>
  </si>
  <si>
    <t>10.1519/JSC.0b013e3181c06d56</t>
  </si>
  <si>
    <t>Altitude; Athletic Performance physiology; Physical Education and Training methods; Swimming physiology; Exercise Test; Female; Hemoglobins analysis; Humans; Lactates blood; Linear Models; Male; Young Adult</t>
  </si>
  <si>
    <t>The effect of repeated exposures to natural and simulated moderate altitude on physiology and competitive performance of elite athletes warrants further investigation. This study quantified changes in hemoglobin mass, performance tests, and competitive performance of elite swimmers undertaking a coach-prescribed program of natural and simulated altitude training. Nine swimmers (age 21.1 +/- 1.4 years, mean +/- SD) completed up to four 2-week blocks of combined living and training at moderate natural altitude (1,350 m) and simulated live high-train low (2,600-600 m) altitude exposure between 2 National Championships. Changes in hemoglobin mass (Hbmass), 4-mM lactate threshold velocity, and 2,000 m time trial were measured. Competition performance of these swimmers was compared with that of 9 similarly trained swimmers (21.1 +/- 4.1 years) who undertook no altitude training. Each 2-week altitude block on average produced the following improvements: Hbmass, 0.9% (90% confidence limits, +/-0.8%); 4-mM lactate threshold velocity, 0.9% (+/-0.8%); and 2,000 m time trial performance, 1.2% (+/-1.6%). The increases in Hbmass had a moderate correlation with time trial performance (r = 0.47; +/-0.41) but an unclear correlation with lactate threshold velocity (r = -0.23; +/-0.48). The altitude group did not swim faster at National Championships compared with swimmers who did not receive any altitude exposure, the difference between the groups was not substantial (-0.5%; +/-1.0%). A coach-prescribed program of repeated altitude training and exposure elicited modest changes in physiology but did not substantially improve competition performance of elite swimmers. Sports should investigate the efficacy of their altitude training program to justify the investment.</t>
  </si>
  <si>
    <t>https://search.ebscohost.com/login.aspx?direct=true&amp;db=mdc&amp;AN=20072049&amp;site=ehost-live</t>
  </si>
  <si>
    <t>Evaluation of three portable blood lactate analysers: Lactate Pro, Lactate Scout and Lactate Plus.</t>
  </si>
  <si>
    <t>Tanner RK; Fuller KL; Ross ML</t>
  </si>
  <si>
    <t>10.1007/s00421-010-1379-9</t>
  </si>
  <si>
    <t>Blood Chemical Analysis instrumentation; Lactic Acid blood; Biomarkers blood; Blood Gas Analysis instrumentation; Electrochemical Techniques; Equipment Design; Female; Humans; Linear Models; Male; Observer Variation; Predictive Value of Tests; Reagent Strips; Reproducibility of Results</t>
  </si>
  <si>
    <t>Three portable blood lactate analysers, Lactate Pro (LP), Lactate Scout (LS) and Lactate Plus (L(+)), were evaluated. Analyser reliability and accuracy was assessed. For reliability, intra- and inter-analyser comparisons demonstrated that the LP (intra-TE = 0.5 mM, inter-TE = 0.4 mM) and L(+) (intra-TE = 0.4, inter-TE = 0.4 mM) displayed greater overall reliability than the LS (intra-TE = 1.0, inter-TE = 0.8 mM). At BLa &lt; 4.0 mM, the LP (intra-TE = 0.1 mM) demonstrated greater reliability than the LS (intra-TE = 0.5 mM) and L(+) (intra-TE = 0.4 mM). At BLa &gt; 8.0 mM, the LP (intra-TE = 0.5 mM, inter-TE = 0.4 mM) and L(+) (intra- and inter-TE = 0.4 mM) displayed greater reliability than the LS (intra-TE = 1.1 mM, inter-TE = 0.9 mM). For accuracy, the L(+) (SEE = 0.6 mM) compared more favourably to the LP than the LS (SEE = 1.1 mM). At BLa approximately 1.0-18.0 mM, the LS produced values that were up to 0.9 mM higher than the LP; the L(+) produced BLa that were within +/-0.1 mM. All portable analysers tended to under-read the ABL 700 analyser. The suitability of the LP and L(+) as accurate analysers is supported by strong correlations (r = 0.91 and r = 0.94) and limits of agreement &lt;or=2.1 mM. This study showed that the LP and L(+), compared well to each other, displayed good reliability and accuracy when compared to a laboratory-based analyser. Although the LS also displayed relatively good reliability, it was not as reliable or accurate as the LP or L(+).</t>
  </si>
  <si>
    <t>https://search.ebscohost.com/login.aspx?direct=true&amp;db=mdc&amp;AN=20145946&amp;site=ehost-live</t>
  </si>
  <si>
    <t>Expert performance in sport and the dynamics of talent development.</t>
  </si>
  <si>
    <t>10.2165/11319430-000000000-00000</t>
  </si>
  <si>
    <t>Aptitude physiology; Athletic Performance; Psychomotor Performance physiology; Humans</t>
  </si>
  <si>
    <t>Research on expertise, talent identification and development has tended to be mono-disciplinary, typically adopting genocentric or environmentalist positions, with an overriding focus on operational issues. In this paper, the validity of dualist positions on sport expertise is evaluated. It is argued that, to advance understanding of expertise and talent development, a shift towards a multidisciplinary and integrative science focus is necessary, along with the development of a comprehensive multidisciplinary theoretical rationale. Here we elucidate dynamical systems theory as a multidisciplinary theoretical rationale for capturing how multiple interacting constraints can shape the development of expert performers. This approach suggests that talent development programmes should eschew the notion of common optimal performance models, emphasize the individual nature of pathways to expertise, and identify the range of interacting constraints that impinge on performance potential of individual athletes, rather than evaluating current performance on physical tests referenced to group norms.</t>
  </si>
  <si>
    <t>https://search.ebscohost.com/login.aspx?direct=true&amp;db=mdc&amp;AN=20364873&amp;site=ehost-live</t>
  </si>
  <si>
    <t>Fasting and recovery from exercise.</t>
  </si>
  <si>
    <t>Burke L</t>
  </si>
  <si>
    <t>10.1136/bjsm.2007.071472</t>
  </si>
  <si>
    <t>Exercise physiology; Fasting physiology; Islam; Sports physiology; Adaptation, Physiological physiology; Antioxidants metabolism; Dietary Carbohydrates administration &amp; dosage; Dietary Proteins administration &amp; dosage; Drinking physiology; Energy Metabolism physiology; Fluid Therapy; Glycogen metabolism; Humans; Immune System physiology; Muscle, Skeletal metabolism; Nutritional Requirements; Physical Endurance physiology; Practice Guidelines as Topic; Time Factors; Water-Electrolyte Balance physiology</t>
  </si>
  <si>
    <t>Recovery after strenuous exercise involves processes that are dependent on fluid and food intake. Current sports nutrition guidelines provide recommendations for the quantity and timing of consumption of nutrients to optimise recovery issues such as refuelling, rehydration and protein synthesis for repair and adaptation. Recovery of immune and antioxidant systems is important but less well documented. In some cases, there is little effective recovery until nutrients are supplied, while in others, the stimulus for recovery is strongest in the period immediately after exercise. Lack of appropriate nutritional support will reduce adaption to exercise and impair preparation for future bouts. Ramadan represents a special case of intermittent fasting undertaken by many athletes during periods of training as well as important competitive events. The avoidance of fluid and food intake from sunrise to sundown involves prolonged periods without intake of nutrients, inflexibility with the timing of eating and drinking over the day and around an exercise session, and changes to usual dietary choices due to the special foods involved with various rituals. These outcomes will all challenge the athlete's ability to recover optimally between exercise sessions undertaken during the fast or from day to day.</t>
  </si>
  <si>
    <t>https://search.ebscohost.com/login.aspx?direct=true&amp;db=mdc&amp;AN=20460259&amp;site=ehost-live</t>
  </si>
  <si>
    <t>Fueling strategies to optimize performance: training high or training low?</t>
  </si>
  <si>
    <t>20 Suppl 2</t>
  </si>
  <si>
    <t>10.1111/j.1600-0838.2010.01185.x</t>
  </si>
  <si>
    <t>Dietary Carbohydrates metabolism; Exercise Tolerance physiology; Nutritional Status; Sports physiology; Sports Medicine; Competitive Behavior; Diet; Humans; Oxygen Consumption physiology; Practice Guidelines as Topic; Task Performance and Analysis; Time Factors</t>
  </si>
  <si>
    <t>Availability of carbohydrate as a substrate for the muscle and central nervous system is critical for the performance of both intermittent high-intensity work and prolonged aerobic exercise. Therefore, strategies that promote carbohydrate availability, such as ingesting carbohydrate before, during and after exercise, are critical for the performance of many sports and a key component of current sports nutrition guidelines. Guidelines for daily carbohydrate intakes have evolved from the "one size fits all" recommendation for a high-carbohydrate diets to an individualized approach to fuel needs based on the athlete's body size and exercise program. More recently, it has been suggested that athletes should train with low carbohydrate stores but restore fuel availability for competition ("train low, compete high"), based on observations that the intracellular signaling pathways underpinning adaptations to training are enhanced when exercise is undertaken with low glycogen stores. The present literature is limited to studies of "twice a day" training (low glycogen for the second session) or withholding carbohydrate intake during training sessions. Despite increasing the muscle adaptive response and reducing the reliance on carbohydrate utilization during exercise, there is no clear evidence that these strategies enhance exercise performance. Further studies on dietary periodization strategies, especially those mimicking real-life athletic practices, are needed. © 2010 John Wiley &amp; Sons A/S.</t>
  </si>
  <si>
    <t>https://search.ebscohost.com/login.aspx?direct=true&amp;db=mdc&amp;AN=20840562&amp;site=ehost-live</t>
  </si>
  <si>
    <t>Lower white blood cell counts in elite athletes training for highly aerobic sports.</t>
  </si>
  <si>
    <t>Horn PL; Pyne DB; Hopkins WG; Barnes CJ</t>
  </si>
  <si>
    <t>10.1007/s00421-010-1573-9</t>
  </si>
  <si>
    <t>Athletes; Exercise physiology; Leukocyte Count; Sports physiology; Adaptation, Physiological; Adolescent; Adult; Female; Humans; Male; Physical Endurance; Reference Values; Retrospective Studies; Young Adult</t>
  </si>
  <si>
    <t>White cell counts at rest might be lower in athletes participating in selected endurance-type sports. Here, we analysed blood tests of elite athletes collected over a 10-year period. Reference ranges were established for 14 female and 14 male sports involving 3,679 samples from 937 females and 4,654 samples from 1,310 males. Total white blood cell counts and counts of neutrophils, lymphocytes and monocytes were quantified. Each sport was scaled (1-5) for its perceived metabolic stress (aerobic-anaerobic) and mechanical stress (concentric-eccentric) by 13 sports physiologists. Substantially lower total white cell and neutrophil counts were observed in aerobic sports of cycling and triathlon (~16% of test results below the normal reference range) compared with team or skill-based sports such as water polo, cricket and volleyball. Mechanical stress of sports had less effect on the distribution of cell counts. The lower white cell counts in athletes in aerobic sports probably represent an adaptive response, not underlying pathology.</t>
  </si>
  <si>
    <t>https://search.ebscohost.com/login.aspx?direct=true&amp;db=mdc&amp;AN=20640439&amp;site=ehost-live</t>
  </si>
  <si>
    <t>Methods to standardize dietary intake before performance testing.</t>
  </si>
  <si>
    <t>Jeacocke NA; Burke LM</t>
  </si>
  <si>
    <t>10.1123/ijsnem.20.2.87</t>
  </si>
  <si>
    <t>Athletic Performance physiology; Diet standards; Energy Intake physiology; Energy Metabolism physiology; Nutritional Physiological Phenomena physiology; Diet Records; Exercise physiology; Feeding Behavior; Humans; Reproducibility of Results</t>
  </si>
  <si>
    <t>When testing is undertaken to monitor an athlete's progress toward competition goals or the effect of an intervention on athletic outcomes, sport scientists should aim to minimize extraneous variables that influence the reliability, sensitivity, or validity of performance measurement. Dietary preparation is known to influence metabolism and exercise performance. Few studies, however, systematically investigate the outcomes of protocols that acutely control or standardize dietary intake in the hours and days before a performance trial. This review discusses the nutrients and dietary components that should be standardized before performance testing and reviews current approaches to achieving this. The replication of habitual diet or dietary practices, using tools such as food diaries or dietary recalls to aid compliance and monitoring, is a common strategy, and the use of education aids to help athletes achieve dietary targets offers a similarly low burden on the researcher. However, examination of dietary intake from real-life examples of these protocols reveals large variability between and within participants. Providing participants with prepackaged diets reduces this variability but can increase the burden on participants, as well as the researcher. Until studies can better quantify the effect of different protocols of dietary standardization on performance testing, sport scientists can only use a crude cost-benefit analysis to choose the protocols they implement. At the least, study reports should provide a more comprehensive description of the dietary-standardization protocols used in the research and the effect of these on the dietary intake of participants during the period of interest.</t>
  </si>
  <si>
    <t>https://search.ebscohost.com/login.aspx?direct=true&amp;db=mdc&amp;AN=20479482&amp;site=ehost-live</t>
  </si>
  <si>
    <t>Movement patterns in cricket vary by both position and game format.</t>
  </si>
  <si>
    <t>Petersen CJ; Pyne D; Dawson B; Portus M; Kellett A</t>
  </si>
  <si>
    <t>10.1080/02640410903348665</t>
  </si>
  <si>
    <t>Australia; Athletic Performance; Movement; Physical Exertion; Running; Sports physiology; Walking; Adult; Athletes; Australia; Geographic Information Systems; Humans; Male; Monitoring, Ambulatory; Time and Motion Studies; Young Adult</t>
  </si>
  <si>
    <t>We compared the movement patterns of cricketers in different playing positions across three formats of cricket (Twenty20, One Day, multi-day matches). Cricket Australia Centre of Excellence cricketers (n = 42) from five positions (batting, fast bowling, spin bowling, wicketkeeping, and fielding) had their movement patterns (walk, jog, run, stride, and sprint) quantified by global positioning system (GPS) technology over two seasons. Marked differences in movement patterns were evident between positions and game formats, with fast bowlers undertaking the greatest workload of any position in cricket. Fast bowlers sprinted twice as often, covered over three times the distance sprinting, with much smaller work-to-recovery ratios than other positions. Fast bowlers during multi-day matches covered 22.6 +/- 4.0 km (mean +/- s) total distance in a day (1.4 +/- 0.9 km in sprinting). In comparison, wicketkeepers rarely sprinted, despite still covering a daily total distance of 16.6 +/- 2.1 km. Overall, One Day and Twenty20 cricket required approximately 50 to 100% more sprinting per hour than multi-day matches. However, multi-day cricket's longer duration resulted in 16-130% more sprinting per day. In summary, the shorter formats (Twenty20 and One Day) are more intensive per unit of time, but multi-day cricket has a greater overall physical load.</t>
  </si>
  <si>
    <t>https://search.ebscohost.com/login.aspx?direct=true&amp;db=mdc&amp;AN=20013461&amp;site=ehost-live</t>
  </si>
  <si>
    <t>Oral administration of the probiotic Lactobacillus fermentum VRI-003 and mucosal immunity in endurance athletes.</t>
  </si>
  <si>
    <t>Cox AJ; Pyne DB; Saunders PU; Fricker PA</t>
  </si>
  <si>
    <t>10.1136/bjsm.2007.044628</t>
  </si>
  <si>
    <t>Immunity, Mucosal physiology; Lactobacillus fermentum; Physical Endurance immunology; Probiotics administration &amp; dosage; Running physiology; Administration, Oral; Adult; Athletes; Cross-Over Studies; Cytokines metabolism; Double-Blind Method; Humans; Male; Medication Adherence; Probiotics pharmacology</t>
  </si>
  <si>
    <t>Objective: To evaluate the ability of a probiotic Lactobacillus fermentum VRI-003 (PCC) to enhance the mucosal immune system of elite athletes. Design and Setting: A double-blind, placebo-controlled, crossover trial was conducted over a 4-month period of winter training. PARTICIPANTS; 20 healthy elite male distance runners. Interventions: PCC was given at a daily dose of 1.26 x 10(10) as a freeze-dried powder in gelatin capsules. Placebo capsules contained an inert excipient. Main Outcome Measures: Treadmill performance (monthly), mucosal and systemic immunity (monthly), training (daily) and illness (daily) were assessed. Serum cytokine levels, salivary IgA levels and incidence, duration and severity of respiratory tract infections were measured. Results: Subjects reported less than half the number of days of respiratory symptoms during PCC treatment (30 days) compared with placebo (72 days, p&lt;0.001). Illness severity was also lower for episodes occurring during the PCC treatment (p = 0.06). There were no significant differences in the mean change in salivary IgA and IgA1 levels, or in interleukin (IL)4 and IL12 levels, between treatments. However, PCC treatment elicited a twofold (p = 0.07) greater change in whole-blood culture interferon gamma (IFNgamma) compared with placebo. No substantial changes in running performance measures were seen over the study period. Conclusions: Prophylactic administration of PCC was associated with a substantial reduction in the number of days and severity of respiratory illness in a cohort of highly trained distance runners. Maintenance of IFNgamma levels may be one mechanism underpinning the positive clinical outcomes.</t>
  </si>
  <si>
    <t>https://search.ebscohost.com/login.aspx?direct=true&amp;db=mdc&amp;AN=18272539&amp;site=ehost-live</t>
  </si>
  <si>
    <t>Partial heat acclimation in cricketers using a 4-day high intensity cycling protocol.</t>
  </si>
  <si>
    <t>Petersen CJ; Portus MR; Pyne DB; Dawson BT; Cramer MN; Kellett AD</t>
  </si>
  <si>
    <t>10.1123/ijspp.5.4.535</t>
  </si>
  <si>
    <t>Adaptation, Physiological; Athletes; Ergometry; Hot Temperature; Humidity; Adult; Body Temperature physiology; Chlorides metabolism; Heart Rate physiology; Humans; Male; Potassium metabolism; Sodium metabolism; Sweat metabolism</t>
  </si>
  <si>
    <t>Unlabelled: Cricketers are often required to play in hot/humid environments with little time for heat adaptation. Purpose: We examined the effect of a short 4-d hot/humid acclimation program on classical physiological indicators of heat acclimation. Methods: Male club cricketers were randomly assigned into heat acclimation (ACC, n = 6) or control (CON, n = 6) groups, and 30 min treadmill trials (10 km/h, approx. 30 ± 1.0°C, approx. 65 ± 6% RH) were conducted at baseline and postacclimation. The ACC group completed four high intensity (30-45 min) acclimation sessions on consecutive days at approx. 30°C and approx. 60% RH using a cycle ergometer. The CON group completed matched cycle training in moderate conditions (approx. 20°C, approx. 60% RH). Physiological measures during each treadmill trial included heart rate; core and skin temperatures; sweat Na+, K+ and Cl- electrolyte concentrations; and sweat rate. Results: After the 4-d intervention, the ACC group had a moderate decrease of -11 (3 to -24 beats/min; mean and 90% CI) in the 30 min heart rate, and moderate to large reductions in electrolyte concentrations: Na+ -18% (-4 to -31%), K+ -15% (0 to -27%), Cl- -22% (-9 to -33%). Both ACC and CON groups had only trivial changes in core and skin temperatures and sweat rate. After the intervention, both groups perceived they were more comfortable exercising in the heat. The 4-d heat intervention had no detrimental effect on performance. Conclusions: Four 30-45 min high intensity cycle sessions in hot/humid conditions elicited partial heat acclimation. For full heat acclimation a more intensive and extensive (and modality-specific) acclimation intervention is needed for cricket players.</t>
  </si>
  <si>
    <t>https://search.ebscohost.com/login.aspx?direct=true&amp;db=mdc&amp;AN=21266737&amp;site=ehost-live</t>
  </si>
  <si>
    <t>Physiological measures tracking seasonal changes in peak running speed.</t>
  </si>
  <si>
    <t>Saunders PU; Cox AJ; Hopkins WG; Pyne DB</t>
  </si>
  <si>
    <t>10.1123/ijspp.5.2.230</t>
  </si>
  <si>
    <t>Athletic Performance physiology; Running physiology; Seasons; Adult; Body Mass Index; Exercise Test; Humans; Lactic Acid blood; Linear Models; Male; Oxygen Consumption physiology</t>
  </si>
  <si>
    <t>Unlabelled: It is unclear whether physiological measures monitored in an incremental treadmill test during a training season provide useful diagnostic information about changes in distance running performance. Purpose: To quantify the relationship between changes in physiological measures and performance (peak running speed) over a training season. Methods: Well-trained distance runners (34 males; VO2max 64 +/- 6 mL x kg(-1) x min(-1), mean +/- SD) completed four incremental treadmill tests over 17 wk. The tests provided values of peak running speed, VO2max, running economy, and lactate threshold (as speed and %VO2max). The physiological measures were included in simple and multiple linear regression models to quantify the relationship between changes in these measures and changes in peak speed. Results: The typical within-subject variation in peak speed from test to test was 2.5%, whereas those for physiological measures were VO2max (mL x min(-1) x kg(-1)) 3.0%, economy (m x kg x mL(-1)) 3.6%, lactate threshold (%VO2max) 8.7%, and body mass 1.8%. In simple models these typical changes predicted the following changes in performance: VO2max 1.4%, economy 0.8%, lactate threshold -0.3%, and body mass -0.2% (90% confidence limits approximately +/-0.7%); the corresponding correlations with performance were 0.57, 0.33, -0.05, and -0.13 respectively (approximately +/-0.20). In a multiple linear regression model, the contribution of each physiological variable to performance changed little after adjustment for the other variables. Conclusion: Change in VO2max in an incremental test during a running season is a good predictor of change in peak running speed, change in running economy is a moderate predictor, and lactate threshold and body mass provide little additional information.</t>
  </si>
  <si>
    <t>https://search.ebscohost.com/login.aspx?direct=true&amp;db=mdc&amp;AN=20625195&amp;site=ehost-live</t>
  </si>
  <si>
    <t>Physiological responses to ergometer and on-water incremental rowing tests.</t>
  </si>
  <si>
    <t>Vogler AJ; Rice AJ; Gore CJ</t>
  </si>
  <si>
    <t>10.1123/ijspp.5.3.342</t>
  </si>
  <si>
    <t>Exercise physiology; Exercise Test; Sports physiology; Analysis of Variance; Heart Rate physiology; Humans; Lactates blood; Linear Models; Male; Oxygen Consumption physiology; Physical Endurance physiology; Reproducibility of Results; Young Adult</t>
  </si>
  <si>
    <t>Purpose: This study evaluated the validity of ergometer tests against the criterion of on-water rowing and determined the reliability of field measurements by comparing results between ergometer (ERG) and on-water (OW) tests. Methods: Seven male rowers completed incremental tests on a Concept2 rowing ergometer and in a single scull. Average power output, oxygen consumption (VO2), heart rate (HR), blood lactate concentration (BLa) and distance completed were measured during each ERG and OW workload. DATA TREATMENT: Linear regression between power output and HR, BLa, VO2 and distance allowed submaximal results to be compared between ERG and OW tests at equivalent intensities based on five standard power outputs. Submaximal results were analyzed using repeated measure factorial ANOVAs and maximal data used dependent t tests (P &lt; .05), the magnitude of differences were also classified using effect size analyses. The reliability of repeated measurements was established using Typical Error. Results: Differences between ERG and OW submaximal results were not statistically significant for power output, HR, BLa, and VO2, but distance completed (P &lt; .001) was higher during the ERG test. However, the magnitude of physiological response differences between the ERG and OW tests varied between individuals. Mean HR at anaerobic threshold showed good agreement between both tests (r = .81), but the standard error of the estimate was 9 beats per minute. Conclusions: Individual variation in physiological response differences between ERG and OW tests meant that training intensity recommendations from the ERG test were not applicable to on-water training for some rowers, but provided appropriate prescriptions for most athletes.</t>
  </si>
  <si>
    <t>https://search.ebscohost.com/login.aspx?direct=true&amp;db=mdc&amp;AN=20861524&amp;site=ehost-live</t>
  </si>
  <si>
    <t>Race-day carbohydrate intakes of elite triathletes contesting olympic-distance triathlon events.</t>
  </si>
  <si>
    <t>Cox GR; Snow RJ; Burke LM</t>
  </si>
  <si>
    <t>10.1123/ijsnem.20.4.299</t>
  </si>
  <si>
    <t>Dietary Carbohydrates administration &amp; dosage; Drinking; Energy Metabolism physiology; Nutritional Physiological Phenomena physiology; Physical Endurance physiology; Adult; Bicycling physiology; Body Weight physiology; Dietary Carbohydrates metabolism; Energy Intake physiology; Female; Humans; Male; Nutrition Policy; Nutritional Requirements; Running physiology; Sex Factors; Swimming physiology; Time Factors; Young Adult</t>
  </si>
  <si>
    <t>The aim of this study was to investigate the prerace and during-race carbohydrate intakes of elite-level triathletes contesting draft-legal Olympic-distance triathlon (ODT) events. Self-reported prerace and during-race nutrition data were collected at 3 separate ODT events from 51 elite senior and under-23 triathletes. One hundred twenty-nine observations of food and fluid intake representing actual prerace (n = 62) and during-race (n = 67) nutrition practices from 36 male and 15 female triathletes were used in the final analysis of this study. Female triathletes consumed significantly more carbohydrate on the morning before race start when corrected for body mass and race start time than their male counterparts (p &lt; .05). Male and female triathletes consumed 26% more energy (kJ/kg) and 24% more carbohydrate (g/kg) when commencing a race after midday (1:00-1:30 p.m.) than for a late morning (11:00-11:15 a.m.) race start. During the race, triathletes consumed less than 60 g of carbohydrate on 66% of occasions, with average total race intakes of 48 ± 25 and 49 ± 25 g carbohydrate for men and women, respectively. Given average race times of 1:57:07 hr and 2:08:12 hr, hourly carbohydrate intakes were ~25 g and ~23 g for men and women, respectively. Although most elite ODT triathletes consume sufficient carbohydrate to meet recommended prerace carbohydrate intake guidelines, during-race carbohydrate intakes varied considerably, with many failing to meet recommended levels.</t>
  </si>
  <si>
    <t>https://search.ebscohost.com/login.aspx?direct=true&amp;db=mdc&amp;AN=20739718&amp;site=ehost-live</t>
  </si>
  <si>
    <t>Reproducibility of performance changes to simulated live high/train low altitude.</t>
  </si>
  <si>
    <t>Robertson EY; Saunders PU; Pyne DB; Aughey RJ; Anson JM; Gore CJ</t>
  </si>
  <si>
    <t>10.1249/MSS.0b013e3181b34b57</t>
  </si>
  <si>
    <t>Altitude; Athletic Performance physiology; Acclimatization physiology; Adult; Australia; Female; Hemoglobins analysis; Humans; Hypoxia; Male; Muscle Strength physiology; Oxygen Consumption physiology; Reproducibility of Results; Running physiology; Time Factors</t>
  </si>
  <si>
    <t>Unlabelled: Elite athletes often undertake multiple altitude exposures within and between training years in an attempt to improve sea level performance. Purpose: To quantify the reproducibility of responses to live high/train low (LHTL) altitude exposure in the same group of athletes. Methods: Sixteen highly trained runners with maximal aerobic power (VO2max) of 73.1 +/- 4.6 and 64.4 +/- 3.2 mL x kg(-1) x min(-1) (mean +/- SD) for males and females, respectively, completed 2 x 3-wk blocks of simulated LHTL (14 h x d(-1), 3000 m) or resided near sea level (600 m) in a controlled study design. Changes in the 4.5-km time trial performance and physiological measures including VO2max, running economy and hemoglobin mass (Hb(mass)) were assessed. Results: Time trial performance showed small and variable changes after each 3-wk altitude block in both the LHTL (mean [+/-90% confidence limits]: -1.4% [+/-1.1%] and 0.7% [+/-1.3%]) and the control (0.5% [+/-1.5%] and -0.7% [+/-0.8%]) groups. The LHTL group demonstrated reproducible improvements in VO2max (2.1% [+/-2.1%] and 2.1% [+/-3.9%]) and Hb(mass) (2.8% [+/-2.1%] and 2.7% [+/-1.8%]) after each 3-wk block. Compared with those in the control group, the runners in the LHTL group were substantially faster after the first 3-wk block (LHTL - control = -1.9% [+/-1.8%]) and had substantially higher Hb(mass) after the second 3-wk block (4.2% [+/-2.1%]). There was no substantial difference in the change in mean VO2max between the groups after the first (1.2% [+/-3.3%]) or second 3-wk block (1.4% [+/-4.6%]). Conclusions: Three-week LHTL altitude exposure can induce reproducible mean improvements in VO2max and Hb(mass) in highly trained runners, but changes in time trial performance seem to be more variable. Competitive performance is dependent not only on improvements in physiological capacities that underpin performance but also on a complex interaction of many factors including fitness, fatigue, and motivation.</t>
  </si>
  <si>
    <t>https://search.ebscohost.com/login.aspx?direct=true&amp;db=mdc&amp;AN=19927018&amp;site=ehost-live</t>
  </si>
  <si>
    <t>Respiratory symptoms and inflammatory responses to Difflam throat-spray intervention in half-marathon runners: a randomised controlled trial.</t>
  </si>
  <si>
    <t>Cox AJ; Gleeson M; Pyne DB; Saunders PU; Callister R; Fricker PA</t>
  </si>
  <si>
    <t>10.1136/bjsm.2008.048298</t>
  </si>
  <si>
    <t>Anti-Inflammatory Agents therapeutic use; Benzydamine therapeutic use; Respiratory Tract Diseases prevention &amp; control; Running physiology; Adult; Dinoprostone metabolism; Double-Blind Method; Female; Humans; Interleukins metabolism; Male; Oral Sprays; Peroxidase metabolism; Saliva chemistry; Severity of Illness Index; Treatment Outcome</t>
  </si>
  <si>
    <t>Objective: In this study, the effects of Difflam Forte Anti-inflammatory Throat Spray on the incidence of upper respiratory symptoms (URS) and inflammatory responses after a half-marathon race were investigated. Design and Setting: Double-blind placebo-controlled randomised trial conducted in association with a half-marathon event. Participants: 45 well-trained half-marathon runners. Interventions: Difflam (n = 25) or placebo (n = 20) throat sprays were self-administered three times daily for 1 week before and 2 weeks after the race. Main Outcome Measures: Self-reported respiratory symptoms; plasma prostaglandin E(2), myeloperoxidase, interleukin (IL) 6, IL8, IL10 and IL1 receptor antagonist (IL1ra) concentrations; and salivary myeloperoxidase and IL6 concentrations. Results: All subjects completed the intervention without reporting any adverse events. The proportion of athletes reporting URS was not substantially different between Difflam (52%) and placebo (56%) groups (p = 0.82). However, symptom severity scores were approximately 29% lower during Difflam treatment (4.7 (7.4) vs 6.6 (9.6)) AU). Post-exercise responses in plasma inflammatory markers did not differ substantially between Difflam and placebo groups. Post-race increases in salivary myeloperoxidase ( approximately 63%; trivial to moderate difference; p = 0.13) and salivary IL6 ( approximately 50%; trivial to moderate difference; p = 0.25) were greater in the Difflam group. Conclusions: Prophylactic use of the Difflam reduced the severity, but not the frequency, of URS among half-marathon runners. Post-race increases in systemic inflammatory markers were not altered by Difflam use, but markers of local inflammation (salivary myeloperoxidase and IL6) were augmented in the Difflam compared with the placebo group.</t>
  </si>
  <si>
    <t>https://search.ebscohost.com/login.aspx?direct=true&amp;db=mdc&amp;AN=18523036&amp;site=ehost-live</t>
  </si>
  <si>
    <t>Sources of variability in iso-inertial jump assessments.</t>
  </si>
  <si>
    <t>Taylor KL; Cronin J; Gill ND; Chapman DW; Sheppard J</t>
  </si>
  <si>
    <t>10.1123/ijspp.5.4.546</t>
  </si>
  <si>
    <t>Movement physiology; Adult; Athletic Performance physiology; Circadian Rhythm physiology; Humans; Male; Reproducibility of Results; Young Adult</t>
  </si>
  <si>
    <t>Purpose: This investigation aimed to quantify the typical variation for kinetic and kinematic variables measured during loaded jump squats. Methods: Thirteen professional athletes performed six maximal effort countermovement jumps on four occasions. Testing occurred over 2 d, twice per day (8 AM and 2 PM) separated by 7 d, with the same procedures replicated on each occasion. Jump height, peak power (PP), relative peak power (RPP), mean power (MP), peak velocity (PV), peak force (PF), mean force (MF), and peak rate of force development (RFD) measurements were obtained from a linear optical encoder attached to a 40 kg barbell. Results: A diurnal variation in performance was observed with afternoon values displaying an average increase of 1.5-5.6% for PP, RPP, MP, PV, PF, and MF when compared with morning values (effect sizes ranging from 0.2-0.5). Day to day reliability was estimated by comparing the morning trials (AM reliability) and the afternoon trials (PM reliability). In both AM and PM conditions, all variables except RFD demonstrated coefficients of variations ranging between 0.8-6.2%. However, for a number of variables (RPP, MP, PV and height), AM reliability was substantially better than PM. PF and MF were the only variables to exhibit a coefficient of variation less than the smallest worthwhile change in both conditions. Discussion: Results suggest that power output and associated variables exhibit a diurnal rhythm, with improved performance in the afternoon. Morning testing may be preferable when practitioners are seeking to conduct regular monitoring of an athlete's performance due to smaller variability.</t>
  </si>
  <si>
    <t>https://search.ebscohost.com/login.aspx?direct=true&amp;db=mdc&amp;AN=21266738&amp;site=ehost-live</t>
  </si>
  <si>
    <t>Stability of hemoglobin mass during a 6-day UCI ProTour cycling race.</t>
  </si>
  <si>
    <t>Garvican LA; Eastwood A; Martin DT; Ross ML; Gripper A; Gore CJ</t>
  </si>
  <si>
    <t>10.1097/JSM.0b013e3181ddcd5b</t>
  </si>
  <si>
    <t>Bicycling physiology; Hemoglobins analysis; Physical Exertion physiology; Adult; Carbon Monoxide analysis; Doping in Sports prevention &amp; control; Hemoglobins metabolism; Humans; Longitudinal Studies; Male; Reproducibility of Results; Young Adult</t>
  </si>
  <si>
    <t>Objective: Blood doping in endurance sport is a growing problem. The purpose of this study was to determine the reliability of total hemoglobin mass (Hb(mass)) measurement in the field and to establish the variability of Hb(mass) during a cycling race, to assess its viability as an additional antidoping detection parameter. Design: Control-matched longitudinal study. Setting: International Cycling Union's (UCI) ProTour stage race. Participants: Six professional cyclists and 5 recreationally active controls. Interventions: Seventy-two Hb(mass) tests using the optimized carbon monoxide rebreathing method were performed over 7 consecutive days, before and throughout the tour. Fasted venous blood was obtained for measurement of hematocrit (Hct) and hemoglobin concentration [Hb] in the morning before stages 1, 3, and 6 (D1, D3, and D6). Main Outcome Measures: Reliability of Hb(mass) measurement was established using typical error calculated from 2 baseline measures. Individual change scores and coefficients of variation were used to assess stability during racing. Results: Typical error for Hb(mass) was 1.3% [95% confidence limits (CL): 0.9%, 2.5%]. Calculated 95% and 99.99% CL for percent change in Hb(mass) were +/-3.6% and +/-7.2%, respectively. Mean Hb(mass) remained within +/-1.9% of baseline in cyclists and +/-0.5% in controls. In all cases, individual change scores for both cyclists and controls fell within the 95% CL. There was a decrease in Hct (8.1% +/- 2.8%) and [Hb] (9.7% +/- 3.2%) throughout the tour in cyclists but not in controls. Conclusions: We demonstrate that Hb(mass) can be measured reliably via CO-rebreathing during a cycling tour. Unlike [Hb] and Hct, Hb(mass) remains stable over 6 days of racing in professional cyclists and may have potential in an antidoping context.</t>
  </si>
  <si>
    <t>https://search.ebscohost.com/login.aspx?direct=true&amp;db=mdc&amp;AN=20445361&amp;site=ehost-live</t>
  </si>
  <si>
    <t>The effect of equipment scaling on the skill acquisition of beginning tennis players.</t>
  </si>
  <si>
    <t>Farrow D; Reid M</t>
  </si>
  <si>
    <t>10.1080/02640411003770238</t>
  </si>
  <si>
    <t>Athletic Performance; Learning; Motor Skills; Sports Equipment; Tennis psychology; Child; Humans</t>
  </si>
  <si>
    <t>In this study, we examined the effectiveness of equipment scaling (tennis ball modification and court size) on beginner tennis player skill acquisition and associated psychological responses within a structured competitive development/participation programme. The participants' ability to rally and their stroke proficiency were recorded before and after a 5-week acquisition phase. Coupled to these dependent measures were within-practice session recording of hitting opportunities, resultant success, and the affective measure of session happiness. The participants who practised using a standard ball and standard court (adult constraints) were afforded a significantly poorer learning experience relative to the other ball/court scaling combinations. In particular, the adult standardized intervention group recorded significantly less hitting opportunities on the forehand and backhand side than the scaled-court intervention conditions. The decreased hitting opportunities experienced within the standardized adult condition then flowed into significantly poorer hitting success relative to the scaled court groups. The modified ball/scaled court intervention group rated their experience significantly happier than the standardized adult group. Discussion centres on the stronger learning effect generated by court scaling relative to the influence of ball type and the broader application of these findings to skill acquisition theory and practice.</t>
  </si>
  <si>
    <t>https://search.ebscohost.com/login.aspx?direct=true&amp;db=mdc&amp;AN=20480427&amp;site=ehost-live</t>
  </si>
  <si>
    <t>The effect of exercise on innate mucosal immunity.</t>
  </si>
  <si>
    <t>West NP; Pyne DB; Kyd JM; Renshaw GM; Fricker PA; Cripps AW</t>
  </si>
  <si>
    <t>10.1136/bjsm.2008.046532</t>
  </si>
  <si>
    <t>Exercise physiology; Immunity, Innate physiology; Immunity, Mucosal physiology; Sports; Adult; Case-Control Studies; Exercise Test; Female; Humans; Lactoferrin metabolism; Male; Muramidase metabolism; Prospective Studies; Saliva chemistry; Young Adult</t>
  </si>
  <si>
    <t>Methods: The authors conducted a prospective observational study comparing salivary lactoferrin and lysozyme concentration over 5 months (chronic changes) in elite rowers (n=17, mean age 24.3+/-4.0 years) with sedentary individuals (controls) (n=18, mean age=27.2+/-7.1 years) and a graded exercise test to exhaustion (acute changes) with a cohort of elite rowers (n=11, mean age 24.7+/-4.1). Results: Magnitudes of differences and changes were interpreted as a standardised (Cohen's) effect size (ES). Lactoferrin concentration in the observational study was approximately 60% lower in rowers than control subjects at baseline (7.9+/-1.2 microg/ml mean+/-SEM, 19.4+/-5.6 microg/ml, p=0.05, ES=0.68, 'moderate') and at the midpoint of the season (6.4+/-1.4 microg/ml mean +/- SEM, 21.5+/-4.2 microg/ml, p=0.001, ES=0.89, 'moderate'). The concentration of lactoferrin at the end of the study was not statistically significant (p=0.1) between the groups. There was no significant difference between rowers and control subjects in lysozyme concentration during the study. There was a 50% increase in the concentration of lactoferrin (p=0.05, ES=1.04, 'moderate') and a 55% increase in lysozyme (p=0.01, ES=3.0, 'very large') from pre-exercise to exhaustion in the graded exercise session. Conclusion: Lower concentrations of these proteins may be indicative of an impairment of innate protection of the upper respiratory tract. Increased salivary lactoferrin and lysozyme concentration following exhaustive exercise may be due to a transient activation response that increases protection in the immediate postexercise period.</t>
  </si>
  <si>
    <t>https://search.ebscohost.com/login.aspx?direct=true&amp;db=mdc&amp;AN=18499767&amp;site=ehost-live</t>
  </si>
  <si>
    <t>The lumbar and sacrum movement pattern during the back squat exercise.</t>
  </si>
  <si>
    <t>McKean MR; Dunn PK; Burkett BJ</t>
  </si>
  <si>
    <t>10.1519/JSC.0b013e3181e2e166</t>
  </si>
  <si>
    <t>Lumbosacral Region physiology; Posture physiology; Weight Lifting physiology; Adolescent; Adult; Athletes; Female; Humans; Lower Extremity physiology; Male; Movement physiology; Sex Factors; Young Adult</t>
  </si>
  <si>
    <t>An essential exercise for strength training of the lower limbs is the squat exercise. During this exercise, changes in lumbar lordosis are commonly used to indicate when the descent of the squat should cease, yet the behavior of the lumbar-scarum segments remains unclear. The purpose of this study was to quantify the lumbar-sacrum movements during the back squat, because the movement of the sacrum is influenced by the width of stance, this variable was also investigated. Thirty trained subjects, 18 men with 1 repetition maximum (1RM) squat of 123% (13.9%) of bodyweight and 12 women with 1RM squat of 93% (15.6%), performed a set of narrow and wide stance squats, each carrying an additional 50% of body weight as load. The timing and movement of the lumbar angle (T12/L1), sacrum angle (L5/S1), and lumbar flexion angle (lumbar lordosis) were measured in 3 dimensions for the ascent and decent phases. Men and women achieved similar lumbar angles for both width of stance and phase. Sacrum angles, lumbar flexion angles, and timing differed significantly (p &lt; 0.05) between gender and width of stance. The lumbar flexion range during the descent phase for women in narrow and wide stance was 12.9° and 12.6°, respectively; for men, this range was significantly (p &lt; 0.05) larger at 26.3° and 25.4°, respectively. Men and women developed different movement patterns for the squatting movement, and therefore, this needs to be considered in strength development and screening procedures. The lumbar spine became kyphotic as soon as a load was placed on the shoulders, and any teaching cues to maintain a curved lumbar spine when squatting must be questioned.</t>
  </si>
  <si>
    <t>https://search.ebscohost.com/login.aspx?direct=true&amp;db=mdc&amp;AN=20885195&amp;site=ehost-live</t>
  </si>
  <si>
    <t>The physical and physiological demands of basketball training and competition.</t>
  </si>
  <si>
    <t>Montgomery PG; Pyne DB; Minahan CL</t>
  </si>
  <si>
    <t>10.1123/ijspp.5.1.75</t>
  </si>
  <si>
    <t>Basketball physiology; Competitive Behavior; Exercise Test instrumentation; Exercise Tolerance physiology; Acceleration; Adaptation, Physiological; Heart Rate; Humans; Leg physiology; Male; Motor Skills physiology; Movement physiology; Oxygen Consumption physiology; Reproducibility of Results; Running physiology; Stress, Physiological; Workload; Young Adult</t>
  </si>
  <si>
    <t>Purpose: To characterize the physical and physiological responses during different basketball practice drills and games. Methods: Male basketball players (n=11; 19.1+/-2.1 y, 1.91+/-0.09 m, 87.9+/-15.1 kg; mean+/-SD) completed offensive and defensive practice drills, half court 5on5 scrimmage play, and competitive games. Heart rate, VO2, and triaxial accelerometer data (physical demand) were normalized for individual participation time. Data were log-transformed and differences between drills and games standardized for interpretation of magnitudes and reported with the effect size (ES) statistic. Results: There was no substantial difference in the physical or physiological variables between offensive and defensive drills; physical load (9.5%; 90% confidence limits+/-45); mean heart rate (-2.4%; +/-4.2); peak heart rate (-0.9%; +/-3.4); and VO2 (-5.7%; +/-9.1). Physical load was moderately greater in game play compared with a 5on5 scrimmage (85.2%; +/-40.5); with a higher mean heart rate (12.4%; +/-5.4). The oxygen demand for live play was substantially larger than 5on5 (30.6%; +/-15.6). Conclusions: Defensive and offensive drills during basketball practice have similar physiological responses and physical demand. Live play is substantially more demanding than a 5on5 scrimmage in both physical and physiological attributes. Accelerometers and predicted oxygen cost from heart rate monitoring systems are useful for differentiating the practice and competition demands of basketball.</t>
  </si>
  <si>
    <t>https://search.ebscohost.com/login.aspx?direct=true&amp;db=mdc&amp;AN=20308698&amp;site=ehost-live</t>
  </si>
  <si>
    <t>The power profile predicts road cycling MMP.</t>
  </si>
  <si>
    <t>Quod MJ; Martin DT; Martin JC; Laursen PB</t>
  </si>
  <si>
    <t>10.1055/s-0030-1247528</t>
  </si>
  <si>
    <t>Bicycling physiology; Muscle Strength physiology; Physical Endurance physiology; Athletic Performance; Exercise Test methods; Humans; Male; Muscle Contraction physiology; Oxygen Consumption physiology; Young Adult</t>
  </si>
  <si>
    <t>Laboratory tests of fitness variables have previously been shown to be valid predictors of cycling time-trial performance. However, due to the influence of drafting, tactics and the variability of power output in mass-start road races, comparisons between laboratory tests and competition performance are limited. The purpose of this study was to compare the power produced in the laboratory Power Profile (PP) test and Maximum Mean Power (MMP) analysis of competition data. Ten male cyclists (mean+/-SD: 20.8+/-1.5 y, 67.3+/-5.5 kg, V O (2 max) 72.7+/-5.1 mL x kg (-1) x min (-1)) completed a PP test within 14 days of competing in a series of road races. No differences were found between PP results and MMP analysis of competition data for durations of 60-600 s, total work or estimates of critical power and the fixed amount of work that can be completed above critical power (W'). Self-selected cadence was 15+/-7 rpm higher in the lab. These results indicate that the PP test is an ecologically valid assessment of power producing capacity over cycling specific durations. In combination with MMP analysis, this may be a useful tool for quantifying elements of cycling specific performance in competitive cyclists.</t>
  </si>
  <si>
    <t>https://search.ebscohost.com/login.aspx?direct=true&amp;db=mdc&amp;AN=20301046&amp;site=ehost-live</t>
  </si>
  <si>
    <t>Training characteristics of paralympic swimmers.</t>
  </si>
  <si>
    <t>Fulton SK; Pyne DB; Hopkins WG; Burkett B</t>
  </si>
  <si>
    <t>10.1519/JSC.0b013e3181c09a9e</t>
  </si>
  <si>
    <t>Disabled Persons; Physical Education and Training; Swimming physiology; Adolescent; Competitive Behavior; Female; Humans; Male; Physical Endurance physiology; Prospective Studies; Young Adult</t>
  </si>
  <si>
    <t>The ability to monitor training is critical to the process of quantifying training periodization plans, yet weekly patterns of volume and intensity for Paralympic swimmers before competition have not been reported. Sixteen swimmers were monitored prospectively over a 16-week training block constituting 4 training phases (early, mid, late, and taper), before a World Championship. Training volume (total and main set distance) and intensity (percentage of peak heart rate [HR], swimming velocity, and rate of perceived exertion [RPE]) were quantified using an online training diary, and changes in training load were examined over the 4 training phases. For a subgroup of swimmers (n = 12), with similarities in underlying disability, change in performance between Selection Trials and World Championships was also quantified. Substantial increases in total training volume (29.6%) were observed late phase, and main set volume was reduced substantially (24.1%) during the taper phase. Small to moderate increases in training intensity (HR 2.4%, velocity 4.5%, and RPE 6.7%) were observed late phase and maintained through the taper. There were no clear associations between discrete training measures and competition performance. Swimmers competing at the Paralympic level seem to follow traditional periodized patterns of training, similar to those of swimmers at the Olympic level, before competition. Coaches of elite swimmers with a disability should review their prescribed patterns of training before major competition: A more substantial taper (larger reduction in volume) could elicit a greater improvement in performance. Training prescription should account for different disabilities and classes and individual circumstances of elite swimmers with a disability.</t>
  </si>
  <si>
    <t>https://search.ebscohost.com/login.aspx?direct=true&amp;db=mdc&amp;AN=20072051&amp;site=ehost-live</t>
  </si>
  <si>
    <t>Validity and reliability of intra-stroke kayak velocity and acceleration using a GPS-based accelerometer.</t>
  </si>
  <si>
    <t>Janssen I; Sachlikidis A</t>
  </si>
  <si>
    <t>10.1080/14763141003690229</t>
  </si>
  <si>
    <t>Acceleration; Geographic Information Systems instrumentation; Ships; Adult; Analysis of Variance; Humans; Male; Reproducibility of Results; Sports physiology; Video Recording</t>
  </si>
  <si>
    <t>The aim of this study was to assess the validity and reliability of the velocity and acceleration measured by a kayak-mounted GPS-based accelerometer units compared to the video-derived measurements and the effect of satellite configuration on velocity. Four GPS-based accelerometers units of varied accelerometer ranges (2 g or 6 g) were mounted on a kayak as the paddler performed 12 trials at three different stroke rates for each of three different testing sessions (two in the morning vs. one in the afternoon). The velocity and acceleration derived by the accelerometers was compared with the velocity and acceleration derived from high-speed video footage (100Hz). Validity was measured using Bland and Altman plots, R2, and the root of the mean of the squared difference (RMSe), while reliability was calculated using the coefficient of variation, R2, and repeated measures analysis of variance (ANOVA) tests. The GPS-based accelerometers under-reported kayak velocity by 0.14-0.19 m/s and acceleration by 1.67 m/s2 when compared to the video-derived measurements. The afternoon session reported the least difference, indicating a time of day effect on the velocity measured. This study highlights the need for sports utilising GPS-based accelerometers, such as minimaxX, for intra-stroke measurements to conduct sport-specific validity and reliability studies to ensure the accuracy of their data.</t>
  </si>
  <si>
    <t>https://search.ebscohost.com/login.aspx?direct=true&amp;db=mdc&amp;AN=20446639&amp;site=ehost-live</t>
  </si>
  <si>
    <t>Validity and reliability of the Cortex MetaMax3B portable metabolic system.</t>
  </si>
  <si>
    <t>10.1080/02640410903582776</t>
  </si>
  <si>
    <t>Athletes; Athletic Performance physiology; Calorimetry, Indirect instrumentation; Exercise Test instrumentation; Oxygen Consumption physiology; Adult; Carbon Dioxide metabolism; Carbon Dioxide physiology; Energy Metabolism physiology; Female; Humans; Male; Reproducibility of Results; Respiration; Young Adult</t>
  </si>
  <si>
    <t>Portable indirect calorimetry systems offer the advantage of field-based measurements, but manufacturers rarely provide data about validity or reliability. In this study, we evaluated the validity and reliability of the Cortex MetaMax3B portable metabolic system. Validity was determined by comparing MetaMax3B results against those from a first-principles metabolic calibrator and an automated Douglas bag system. Reliability was obtained from duplicate exercise tests completed by eight athletes. Participants completed three identical incremental rowing tests on a Concept2 ergometer; two tests used the MetaMax3B and one test used the Douglas bag system. Compared with the metabolic calibrator, the MetaMax3B results were within 0.20 litres . min(-1) (7.8%) and 6.15 litres . min(-1) (4.0%) for [Vdot]O(2) and V(E), respectively. During exercise, the MetaMax3B results were within 0.16 litres . min(-1) (4.1%; [Vdot]O(2)), 0.32 litres . min(-1) (7.7%; [Vdot]CO(2)), and 3.22 litres . min(-1) (4.9%; V(E)) compared with the Douglas bag system. The MetaMax3B results were significantly higher for [Vdot]O(2) (P = 0.03) and [Vdot]CO(2) (P &lt; 0.001). The typical error from duplicate exercise tests using the MetaMax3B ranged from 2.0% ([Vdot]O(2)) to 3.6% (V(E)). Our results show that the MetaMax3B provides reliable measurements of metabolic demand with adequate validity for field-based measurements.</t>
  </si>
  <si>
    <t>https://search.ebscohost.com/login.aspx?direct=true&amp;db=mdc&amp;AN=20419553&amp;site=ehost-live</t>
  </si>
  <si>
    <t>Variation in performance times of elite flat-water canoeists from race to race.</t>
  </si>
  <si>
    <t>Bonetti DL; Hopkins WG</t>
  </si>
  <si>
    <t>10.1123/ijspp.5.2.210</t>
  </si>
  <si>
    <t>Athletic Performance physiology; Sports physiology; Female; Humans; Linear Models; Male; Sex Factors; Time Factors</t>
  </si>
  <si>
    <t>Purpose: To estimate variability in performance time and smallest worthwhile changes for elite flat-water canoeists competing in 200-, 500- or 1000-m events at international regattas. Methods: The data came from A and B finals held at 7 to 13 regattas in 2003 to 2007. A linear mixed-model analysis of log-transformed official race times provided estimates of variability as coefficients of variation and included terms to account for changes in performance between years, venues, and A and B finals. Results: For men, the within-athlete variation in A finals was similar in canoeing and kayaking events, with the 200-m men's events demonstrating probably less variability than the longer events (by an overall factor of 0.75, x// 1.33) that may reflect differences in pacing strategies. In contrast, the within-athlete variation for women kayakers in A finals of the 500-m event was only half that of the other distances (ratio 0.54, x// 1.29), possibly because of differences in competitive experience or depth of competition. Predictability of performance in A finals was moderate to very high (interclass correlations 0.40 to 0.89). Within-athlete variation in the B finals was generally greater than in the A finals for the three distances for men, but there was no clear pattern for women. Conclusion: The smallest worthwhile changes in performance time (0.3 x within-athlete variability) in canoeing and kayaking are approx. 0.3% to 0.6%. Effects of 1% to 2% in power output would be required to achieve such changes in this generally highly predictable sport.</t>
  </si>
  <si>
    <t>https://search.ebscohost.com/login.aspx?direct=true&amp;db=mdc&amp;AN=20625193&amp;site=ehost-live</t>
  </si>
  <si>
    <t>Visual information underpinning skilled anticipation: The effect of blur on a coupled and uncoupled in situ anticipatory response.</t>
  </si>
  <si>
    <t>Mann DL; Abernethy B; Farrow D</t>
  </si>
  <si>
    <t>10.3758/APP.72.5.1317</t>
  </si>
  <si>
    <t>Athletic Performance; Judgment; Motion Perception; Orientation; Pattern Recognition, Visual; Perceptual Masking; Psychomotor Performance; Verbal Behavior; Acceleration; Adolescent; Adult; Humans; Male; Motor Skills; Set, Psychology; Young Adult</t>
  </si>
  <si>
    <t>Coupled interceptive actions are understood to be the result of neural processing-and visual information-which is distinct from that used for uncoupled perceptual responses. To examine the visual information used for action and perception, skilled cricket batters anticipated the direction of balls bowled toward them using a coupled movement (an interceptive action that preserved the natural coupling between perception and action) or an uncoupled (verbal) response, in each of four different visual blur conditions (plano, +1.00, +2.00, +3.00). Coupled responses were found to be better than uncoupled ones, with the blurring of vision found to result in different effects for the coupled and uncoupled response conditions. Low levels of visual blur did not affect coupled anticipation, a finding consistent with the comparatively poorer visual information on which online interceptive actions are proposed to rely. In contrast, some evidence was found to suggest that low levels of blur may enhance the uncoupled verbal perception of movement.</t>
  </si>
  <si>
    <t>https://search.ebscohost.com/login.aspx?direct=true&amp;db=mdc&amp;AN=20601713&amp;site=ehost-live</t>
  </si>
  <si>
    <t>A lifetime in sports nutrition: an interview with Emily Haymes. Interview by Louise M. Burke.</t>
  </si>
  <si>
    <t>Haymes E</t>
  </si>
  <si>
    <t>Interview</t>
  </si>
  <si>
    <t>Exercise physiology; Nutritional Sciences education; Sports; Humans; Mentors; Teaching</t>
  </si>
  <si>
    <t>https://search.ebscohost.com/login.aspx?direct=true&amp;db=mdc&amp;AN=19910656&amp;site=ehost-live</t>
  </si>
  <si>
    <t>Analysis of lap times in international swimming competitions.</t>
  </si>
  <si>
    <t>Robertson E; Pyne D; Hopkins W; Anson J</t>
  </si>
  <si>
    <t>10.1080/02640410802641400</t>
  </si>
  <si>
    <t>Athletic Performance physiology; Competitive Behavior; Swimming physiology; Female; Humans; Male; Time Factors</t>
  </si>
  <si>
    <t>Swimming performances were analysed for the top 16 finishers (semi-finalists, finalists) in nine international competitions over a 7-year period (1530 males, 1527 female). Total race time and intermediate lap times were log-transformed and analysed for effects of sex (male, female), stroke (freestyle, form strokes, individual medley), event (100, 200, and 400 m), and place (1-16). Between-athlete correlations characterized the relationship of each lap to final time, and within-athlete estimates quantified the effect of lap time on improvements in final time. Finalists exhibited very large correlations (r = 0.7-0.9) with final time in the second 50-m lap of 100-m events and the middle two 50-m and 100-m laps of 200-m and 400-m events respectively. For an individual swimmer, an achievable change in lap time was associated with an approximate 0.4-0.8% improvement in final time for finalists and an approximate 0.5-1.1% improvement in final time for semi-finalists, depending on sex, stroke, and event. The pattern of lap times was similar for the top 16 swimmers and between the best and worst swims for finalists. These findings indicate that substantial improvements can be made via the final lap in sprints and the middle two laps of 200- to 400-m events, but the overall pattern of lap times should not be changed.</t>
  </si>
  <si>
    <t>https://search.ebscohost.com/login.aspx?direct=true&amp;db=mdc&amp;AN=19214862&amp;site=ehost-live</t>
  </si>
  <si>
    <t>BJSM reviews: A-Z of nutritional supplements: dietary supplements, sports nutrition foods and ergogenic aids for health and performance Part 4.</t>
  </si>
  <si>
    <t>Burke LM; Castell LM; Stear SJ; Rogers PJ; Blomstrand E; Gurr S; Mitchell N; Stephens FB; Greenhaff PL</t>
  </si>
  <si>
    <t>10.1136/bjsm.2009.068643</t>
  </si>
  <si>
    <t>Amino Acids therapeutic use; Aspartame therapeutic use; Boron therapeutic use; Carnitine therapeutic use; Animals; Athletic Performance; Bees; Boron physiology; Carnitine physiology; Dietary Supplements; Humans; Pollen</t>
  </si>
  <si>
    <t>https://search.ebscohost.com/login.aspx?direct=true&amp;db=mdc&amp;AN=19955167&amp;site=ehost-live</t>
  </si>
  <si>
    <t>Canoe slalom boat trajectory while negotiating an upstream gate.</t>
  </si>
  <si>
    <t>Hunter A</t>
  </si>
  <si>
    <t>10.1080/14763140902934837</t>
  </si>
  <si>
    <t>Athletic Performance physiology; Ships; Sports Equipment; Biomechanical Phenomena; Humans; Male; Task Performance and Analysis; Video Recording</t>
  </si>
  <si>
    <t>The aim of this study was to determine how the path chosen by elite slalom paddlers influences the time taken to negotiate an upstream gate. Six trials for international men's single kayak (MK1) (n = 11) and single canoe (C1) (n = 6) paddlers were digitized for a left-hand upstream gate. Results revealed that the absolute variability of paddlers increased as their total time increased (r = 0.594), but the coefficient of variation remained constant. There was a strong correlation (r = 0.89, each individual trial; r = 0.93, mean total time for each participant) between boat trajectory and the total time. The MK1 and C1 paddlers used similar strategies to negotiate an upstream gate. There were significant differences (P &lt; 0.05) between the boat trajectory of the fastest and slowest paddlers (average distance between paddler's head and the inside pole). These results suggest that to achieve a faster upstream gate performance, paddlers should concentrate on the distance between their head and the inside pole. However, there would be an optimal distance beyond which any further reduction in the distance would impede technique and performance.</t>
  </si>
  <si>
    <t>https://search.ebscohost.com/login.aspx?direct=true&amp;db=mdc&amp;AN=19705762&amp;site=ehost-live</t>
  </si>
  <si>
    <t>Characteristics of performance in skeleton World Cup races.</t>
  </si>
  <si>
    <t>Bullock N; Hopkins WG; Martin DT; Marino FE</t>
  </si>
  <si>
    <t>10.1080/02640410802613425</t>
  </si>
  <si>
    <t>Anniversaries and Special Events; Athletic Performance; Snow Sports physiology; Sports Equipment; Female; Humans; Male</t>
  </si>
  <si>
    <t>Little is known about performance characteristics in the Winter Olympic sport of skeleton, in which athletes push and then drive a sled down an ice track. In this study, official race times from World Cups held on 11 tracks over four competitive seasons were analysed with linear models for athletes placed in the top 10 (35 males in 22 races; 28 females in 25 races). Mean run time ranged from approximately 50 to approximately 70 s between tracks. Predictability of individual performance expressed as race-to-race correlations was modest (0.36 for males and females). Differences between tracks in run-to-run variability expressed as coefficients of variation (men: 0.19-0.56%; women: 0.24-0.89%) paralleled differences in popular opinion of technical difficulty of the tracks. There was an inconsistent and overall small relationship between push time and performance time on different tracks (range of correlations, 0.57 to -0.14; mean, 0.21). The home advantages of 0.15% for men and 0.32% for women were trivial and substantial respectively in relation to the smallest important performance changes of 0.18% and 0.23%, derived from race-to-race variability. In conclusion, skeleton athletes show less variability in performance time than athletes in other sports, but tracks vary substantially in difficulty and race outcomes are largely unpredictable.</t>
  </si>
  <si>
    <t>https://search.ebscohost.com/login.aspx?direct=true&amp;db=mdc&amp;AN=19235005&amp;site=ehost-live</t>
  </si>
  <si>
    <t>Determination of football pitch locations from video footage and official pitch markings.</t>
  </si>
  <si>
    <t>Alcock A; Hunter A; Brown N</t>
  </si>
  <si>
    <t>10.1080/14763140902829342</t>
  </si>
  <si>
    <t>Image Processing, Computer-Assisted; Soccer physiology; Athletic Performance physiology; Humans; Sports Equipment; Task Performance and Analysis; Television</t>
  </si>
  <si>
    <t>The ability to determine a specific location on a football (soccer) pitch from television footage would provide a cost-effective method of obtaining competition-specific information on many professional and international teams. This study presents the accuracy and reliability of a new method of calculating ball location from simulated television coverage and known pitch markings. The coordinates of 99 markers of known location on a football pitch were digitized from video. An intersection point was determined from the equations of two lines that form pitch markings and the relationship from this point to other known pitch coordinates was calculated using a curve-fitting based method. Average error between known and reconstructed measures was 0.21 m for pitch width and 0.11 m for pitch length from a view simulating television coverage. Inter- and intra-rater reliability analyses showed researchers could consistently reconstruct pitch locations to within less than half a metre. The accuracy and reliability of this method will be sufficient for most practical uses in an applied sport environment, although the level of accuracy required will depend on the specific application. This method could be applied to other sports to determine specific locations on a pitch or court or to improve current competition analysis systems.</t>
  </si>
  <si>
    <t>https://search.ebscohost.com/login.aspx?direct=true&amp;db=mdc&amp;AN=19705764&amp;site=ehost-live</t>
  </si>
  <si>
    <t>Endurance training at altitude.</t>
  </si>
  <si>
    <t>Saunders PU; Pyne DB; Gore CJ</t>
  </si>
  <si>
    <t>High altitude medicine &amp; biology</t>
  </si>
  <si>
    <t>10.1089/ham.2008.1092</t>
  </si>
  <si>
    <t>Mary Ann Liebert, Inc</t>
  </si>
  <si>
    <t>Altitude; Physical Education and Training; Physical Endurance physiology; Adaptation, Physiological; Athletic Performance; Cardiac Output physiology; Erythrocytes cytology; Heart Rate physiology; Hemoglobins analysis; Humans; Hypoxia-Inducible Factor 1, alpha Subunit metabolism; Muscle, Skeletal blood supply; Oxygen metabolism; Oxygen Consumption physiology; Population Groups; Pulmonary Ventilation physiology; Running physiology</t>
  </si>
  <si>
    <t>Since the 1968 Olympic Games when the effects of altitude on endurance performance became evident, moderate altitude training ( approximately 2000 to 3000 m) has become popular to improve competition performance both at altitude and sea level. When endurance athletes are exposed acutely to moderate altitude, a number of physiological responses occur that can comprise performance at altitude; these include increased ventilation, increased heart rate, decreased stroke volume, reduced plasma volume, and lower maximal aerobic power ((.)Vo(2max)) by approximately 15% to 20%. Over a period of several weeks, one primary acclimatization response is an increase in the volume of red blood cells and consequently of (.)Vo(2max). Altitudes &gt; approximately 2000 m for &gt;3 weeks and adequate iron stores are required to elicit these responses. However, the primacy of more red blood cells for superior sea-level performance is not clear-cut since the best endurance athletes in the world, from Ethiopia (approximately 2000 to 3000 m), have only marginally elevated hemoglobin concentrations. The substantial reduction in (.)Vo(2max) of athletes at moderate altitude implies that their training should include adequate short-duration (approximately 1 to 2 min), high-intensity efforts with long recoveries to avoid a reduction in race-specific fitness. At the elite level, athlete performance is not dependent solely on (.)Vo(2max), and the "smallest worthwhile change" in performance for improving race results is as little as 0.5%. Consequently, contemporary statistical approaches that utilize the concept of the smallest worthwhile change are likely to be more appropriate than conventional statistical methods when attempting to understand the potential benefits and mechanisms of altitude training.</t>
  </si>
  <si>
    <t>https://search.ebscohost.com/login.aspx?direct=true&amp;db=mdc&amp;AN=19519223&amp;site=ehost-live</t>
  </si>
  <si>
    <t>Humeral torsion and passive shoulder range in elite volleyball players.</t>
  </si>
  <si>
    <t>Schwab LM; Blanch P</t>
  </si>
  <si>
    <t>10.1016/j.ptsp.2008.11.006</t>
  </si>
  <si>
    <t>Humerus diagnostic imaging; Humerus physiology; Range of Motion, Articular physiology; Volleyball; Adolescent; Adult; Australia; Biomechanical Phenomena; Cross-Sectional Studies; Humans; Male; Shoulder Joint physiology; Torsion Abnormality diagnostic imaging; Ultrasonography; Young Adult</t>
  </si>
  <si>
    <t>Objectives: To evaluate variations in humeral torsion in elite male volleyball players and determine whether these changes are related to training history, retrospective injury history and volleyball performance. Design and Setting: Cross sectional design. Participants: Twenty-four elite male volleyball players. Main Outcome Measures: Humeral torsion, passive gleno-humeral rotation ranges and the available internal and external rotation from the humeral torsion neutral position of the dominant and non-dominant arm were measured. Training history and retrospective injury status were ascertained from a questionnaire. Performance was assessed by coach perceived spiking ability and peak serve velocity measures. Results: Humeral torsion angles demonstrated the dominant arm to be on average 9.6 degrees more retroverted than the non-dominant arm (p=0.00). In the comparison of volleyball players with and without a history of overuse upper limb injury the most significant finding is on the non-dominant side, those with a history of injury had significantly decreased available external rotation from the humeral torsion neutral position (mean difference=-15.1, p=0.04). There was an unexpected negative weak relationship between age commenced and decreased humeral retroversion (r=-0.413, p=0.045). There did not appear to be any relationship between humeral torsion and performance measures. Conclusion: The dominant arm of elite male volleyball athletes is more retroverted. There was a tendency for stronger findings in the non-dominant arm in volleyball players with retrospective injury history. We were unable to find any significant correlation between humeral torsion angle and performance measures.</t>
  </si>
  <si>
    <t>https://search.ebscohost.com/login.aspx?direct=true&amp;db=mdc&amp;AN=19376472&amp;site=ehost-live</t>
  </si>
  <si>
    <t>Improved race performance in elite middle-distance runners after cumulative altitude exposure.</t>
  </si>
  <si>
    <t>Saunders PU; Telford RD; Pyne DD; Gore CJ; Hahn AG</t>
  </si>
  <si>
    <t>10.1123/ijspp.4.1.134</t>
  </si>
  <si>
    <t>Altitude; Exercise Tolerance physiology; Hypoxia; Running physiology; Acclimatization; Adult; Competitive Behavior; Environmental Exposure; Female; Humans; Male; Oxygen Consumption; Young Adult</t>
  </si>
  <si>
    <t>We quantified the effect of an extended live high-train low (LHTL) simulated altitude exposure followed by a series of training camps at natural moderate altitude on competitive performance in seven elite middle-distance runners (Vo2max 71.4 +/- 3.4 mL.min-1.kg-1, mean +/- SD). Runners spent 44 +/- 7 nights (mean +/- SD) at a simulated altitude of 2846 +/- 32 m, and a further 4 7- to 10-d training at natural moderate altitude (1700-2200 m) before racing. The combination of simulated LHTL and natural altitude training improved competitive performance by 1.9% (90% confidence limits, 1.3-2.5%). Middle-distance runners can confidently use a combination of simulated and natural altitude to stimulate adaptations responsible for improving performance.</t>
  </si>
  <si>
    <t>https://search.ebscohost.com/login.aspx?direct=true&amp;db=mdc&amp;AN=19417235&amp;site=ehost-live</t>
  </si>
  <si>
    <t>Improved running economy and increased hemoglobin mass in elite runners after extended moderate altitude exposure.</t>
  </si>
  <si>
    <t>Saunders PU; Telford RD; Pyne DB; Hahn AG; Gore CJ</t>
  </si>
  <si>
    <t>10.1016/j.jsams.2007.08.014</t>
  </si>
  <si>
    <t>Altitude; Hemoglobins physiology; Hypoxia blood; Hypoxia physiopathology; Pulmonary Ventilation physiology; Running physiology; Australia; Biomechanical Phenomena; Heart Rate physiology; Humans; Lactic Acid blood; Oxygen Consumption physiology</t>
  </si>
  <si>
    <t>There is conflicting evidence whether hypoxia improves running economy (RE), maximal O(2) uptake (V(O)(2max)), haemoglobin mass (Hb(mass)) and performance, and what total accumulated dose is necessary for effective adaptation. The aim of this study was to determine the effect of an extended hypoxic exposure on these physiological and performance measures. Nine elite middle distance runners were randomly assigned to a live high-train low simulated altitude group (ALT) and spent 46+/-8 nights (mean+/-S.D.) at 2860+/-41m. A matched control group (CON, n=9) lived and trained near sea level ( approximately 600m). ALT decreased submaximal V(O)(2) (Lmin(-1)) (-3.2%, 90% confidence intervals, -1.0% to -5.2%, p=0.02), increased Hb(mass) (4.9%, 2.3-7.6%, p=0.01), decreased submaximal heart rate (-3.1%, -1.8% to -4.4%, p=0.00) and had a trivial increase in V(O)(2max) (1.5%, -1.6 to 4.8; p=0.41) compared with CON. There was a trivial correlation between change in Hb(mass) and change in V(O)(2max) (r=0.04, p=0.93). Hypoxic exposure of approximately 400h was sufficient to improve Hb(mass), a response not observed with shorter exposures. Although total O(2) carrying capacity was improved, the mechanism(s) to explain the lack of proportionate increase in V(O)(2max) were not identified.</t>
  </si>
  <si>
    <t>https://search.ebscohost.com/login.aspx?direct=true&amp;db=mdc&amp;AN=18069063&amp;site=ehost-live</t>
  </si>
  <si>
    <t>Methods for tracking athletes' competitive performance in skeleton.</t>
  </si>
  <si>
    <t>Bullock N; Hopkins WG</t>
  </si>
  <si>
    <t>10.1080/02640410902951386</t>
  </si>
  <si>
    <t>Athletic Performance; Snow Sports; Female; Humans; Male; Models, Statistical; Predictive Value of Tests</t>
  </si>
  <si>
    <t>In many sports, changes in performance time between races arising from differences in venues and weather far exceed changes in an athlete's true ability. Here we compare three methods to track performance of individual athletes in one such sport, skeleton. We developed the methods with official times of 33 male and 34 female athletes competing in three or more of 26 World Cup races over 4 years leading up to, but not including, the 2006 Winter Olympics. For two methods accessible to coaches, we fitted simple quadratic trajectories to each athlete's race placing and to percent behind the winning time. For a more sensitive method, we fitted similar quadratic trajectories to race time using a mixed model to adjust for mean race times. Correlations between predicted and observed performance in the races used to develop the methods were all similar ( approximately 0.7). Correlations between predicted and observed performance in the Olympics clearly favoured race placing (0.78) over race time (0.65) and percent behind the winner (0.63) for women, whereas race placing was clearly inferior (0.14) to percent behind the winner (0.30) and race time (0.46) for men. All three methods are potentially useful and need further investigation in skeleton and other sports.</t>
  </si>
  <si>
    <t>https://search.ebscohost.com/login.aspx?direct=true&amp;db=mdc&amp;AN=19598055&amp;site=ehost-live</t>
  </si>
  <si>
    <t>Negative effect of static stretching restored when combined with a sport specific warm-up component.</t>
  </si>
  <si>
    <t>Taylor KL; Sheppard JM; Lee H; Plummer N</t>
  </si>
  <si>
    <t>10.1016/j.jsams.2008.04.004</t>
  </si>
  <si>
    <t>Athletic Performance physiology; Muscle Stretching Exercises methods; Sports physiology; Adolescent; Exercise physiology; Humans; Muscle Stretching Exercises adverse effects; Young Adult</t>
  </si>
  <si>
    <t>There is substantial evidence that static stretching may inhibit performance in strength and power activities. However, most of this research has involved stretching routines dissimilar to those practiced by athletes. The purpose of this study was to evaluate whether the decline in performance normally associated with static stretching pervades when the static stretching is conducted prior to a sport specific warm-up. Thirteen netball players completed two experimental warm-up conditions. Day 1 warm-up involved a submaximal run followed by 15 min of static stretching and a netball specific skill warm-up. Day 2 followed the same design; however, the static stretching was replaced with a 15 min dynamic warm-up routine to allow for a direct comparison between the static stretching and dynamic warm-up effects. Participants performed a countermovement vertical jump and 20m sprint after the first warm-up intervention (static or dynamic) and also after the netball specific skill warm-up. The static stretching condition resulted in significantly worse performance than the dynamic warm-up in vertical jump height (-4.2%, 0.40 ES) and 20m sprint time (1.4%, 0.34 ES) (p&lt;0.05). However, no significant differences in either performance variable were evident when the skill-based warm-up was preceded by static stretching or a dynamic warm-up routine. This suggests that the practice of a subsequent high-intensity skill based warm-up restored the differences between the two warm-up interventions. Hence, if static stretching is to be included in the warm-up period, it is recommended that a period of high-intensity sport-specific skills based activity is included prior to the on-court/field performance.</t>
  </si>
  <si>
    <t>https://search.ebscohost.com/login.aspx?direct=true&amp;db=mdc&amp;AN=18768355&amp;site=ehost-live</t>
  </si>
  <si>
    <t>Peaking for optimal performance: Research limitations and future directions.</t>
  </si>
  <si>
    <t>Pyne DB; Mujika I; Reilly T</t>
  </si>
  <si>
    <t>10.1080/02640410802509136</t>
  </si>
  <si>
    <t>Athletic Performance physiology; Exercise physiology; Sports physiology; Adaptation, Physiological physiology; Humans</t>
  </si>
  <si>
    <t>A key element of the physical preparation of athletes is the taper period in the weeks immediately preceding competition. Existing research has defined the taper, identified various forms used in contemporary sport, and examined the prescription of training volume, load, intensity, duration, and type (progressive or step). Current limitations include: the lack of studies on team, combative, racquet, and precision (target) sports; the relatively small number of randomized controlled trials; the narrow focus on a single competition (single peak) compared with multiple peaking for weekly, multi-day or multiple events; and limited understanding of the physiological, neuromuscular, and biomechanical basis of the taper. Future research should address these limitations, together with the influence of prior training on optimal tapering strategies, and the interactions between the taper and long-haul travel, heat, and altitude. Practitioners seek information on how to prescribe tapers from season to season during an athlete's career, or a team's progression through a domestic league season, or multi-year Olympic or World Cup cycle. Practical guidelines for planning effective tapers for the Vancouver 2010 and London 2012 Olympics will evolve from both experimental investigations and modelling of successful tapers currently employed in a wide range of sports.</t>
  </si>
  <si>
    <t>https://search.ebscohost.com/login.aspx?direct=true&amp;db=mdc&amp;AN=19153861&amp;site=ehost-live</t>
  </si>
  <si>
    <t>Quantifying freestyle kick-count and kick-rate patterns in Paralympic swimming.</t>
  </si>
  <si>
    <t>Fulton SK; Pyne DB; Burkett B</t>
  </si>
  <si>
    <t>10.1080/02640410903062936</t>
  </si>
  <si>
    <t>Athletic Performance; Disabled Persons; Leg physiology; Physical Exertion; Swimming; Task Performance and Analysis; Adolescent; Adult; Biomechanical Phenomena; Competitive Behavior; Female; Humans; Male; Time Factors; Young Adult</t>
  </si>
  <si>
    <t>Swimming speed is a function of the propulsion generated from arm strokes and leg kicks. Kicking is partially obscured underwater, making the kinematics of the kick difficult to analyse. In this study, we quantified 100-m freestyle kick-count and kick-rate patterns for 14 Paralympic swimmers using inertial-sensor technology. Swimmers took 145 +/- 39 kicks (mean +/- s) for swimming trials and 254 +/- 74 kicks for kicking-only trials. Kick rate was 124.9 +/- 20.3 kicks . min(-1) for swimming trials and 129.6 +/- 14.0 kicks . min(-1) for kicking-only trials. There were no marked differences in kick count among 25-m segments in the swimming trials. There was a substantial increase of 10.6%[90% confidence interval (90%CI): 7.3 to 14.0%] in the number of kicks in the kicking-only trials by the fourth 25-m segment. There was a substantial decrease in kick rate by the third 25-m segment for swimming (-12.0%; 90%CI: -12.8 to -11.1%) and kicking-only (-7.3%; 90%CI: -8.6 to -5.9%) trials. The relationship between swimming and kicking-only kick rates was r = 0.67 (0.55 to 0.76; P &lt; 0.001). The temporal patterns of the kick in kicking only differed from those in swimming; increases in kick rate can improve freestyle swimming performance.</t>
  </si>
  <si>
    <t>https://search.ebscohost.com/login.aspx?direct=true&amp;db=mdc&amp;AN=19787541&amp;site=ehost-live</t>
  </si>
  <si>
    <t>Relationship between C-reactive protein concentration and cytokine responses to exercise in healthy and illness-prone runners.</t>
  </si>
  <si>
    <t>Cox AJ; Pyne DB; Gleeson M; Callister R</t>
  </si>
  <si>
    <t>10.1007/s00421-009-1160-0</t>
  </si>
  <si>
    <t>C-Reactive Protein analysis; Cytokines blood; Disease Susceptibility blood; Exercise physiology; Health; C-Reactive Protein metabolism; Cytokines metabolism; Disease Susceptibility immunology; Disease Susceptibility metabolism; Exercise Test; Humans; Male; Osmolar Concentration; Physical Exertion physiology; Running physiology; Time Factors</t>
  </si>
  <si>
    <t>Differences in the immune and inflammatory response to exercise between healthy and illness-prone athletes may be one explanation why some athletes experience a greater incidence of upper respiratory symptoms than others. The aim of this study was to compare the C-reactive protein (CRP) response to acute exercise between healthy and illness-prone trained distance runners. Runners were classified as healthy (&lt; or =2 episodes of upper respiratory symptoms per year; n = 10) or illness-prone (&gt; or =4 episodes per year; n = 8) and completed three treadmill running protocols. CRP concentrations were determined prior to and 24 h following each exercise protocol and responses compared between the two groups. Plasma concentrations of Interleukin (IL)-6, IL-8, IL-10 and the IL-1 receptor antagonist (IL-1ra) were also determined immediately, 1 h, 10 h and 24 h post-exercise. The CRP response at 24 h post-exercise was not substantially different between healthy and illness-prone athletes (approximately 2-10%). There were small to moderate correlations between resting CRP concentrations and the peak IL-6 (r = 0.28, P = 0.04), IL-8 (r = 0.31, P = 0.03), IL-10 (r = 0.28, P = 0.05) and IL-1ra (r = 0.30, P = 0.03) concentrations post-exercise. The CRP response to exercise was not useful in distinguishing between healthy and illness-prone athletes. The relationship between resting CRP concentrations and the peak pro- and anti-inflammatory responses to exercise supports the likely involvement of CRP in the complex network regulating exercise-induced inflammatory disturbance.</t>
  </si>
  <si>
    <t>https://search.ebscohost.com/login.aspx?direct=true&amp;db=mdc&amp;AN=19693532&amp;site=ehost-live</t>
  </si>
  <si>
    <t>Resting salivary and plasma cortisol in elite athletes following long-haul travel from Australia to Canada.</t>
  </si>
  <si>
    <t>Bullock N; Cox AJ; Martin DT; Marino FE</t>
  </si>
  <si>
    <t>10.1016/j.jsams.2007.11.004</t>
  </si>
  <si>
    <t>Chronobiology Disorders metabolism; Hydrocortisone metabolism; Saliva metabolism; Travel; Adolescent; Adult; Chronobiology Disorders blood; Cohort Studies; Female; Humans; Hydrocortisone blood; Male; Pilot Projects; Sports physiology; Young Adult</t>
  </si>
  <si>
    <t>Salivary cortisol maybe a preferred method for monitoring the disruption of the body clock following travel across multiple time-zones due to ease of collection and the ability of salivary cortisol to reflect free cortisol. Salivary cortisol concentrations are approximately 5% of plasma cortisol concentrations. Whether the ratio of salivary to plasma cortisol is influenced by travel across time-zones in athletes is not well known. Early morning (8a.m.) resting salivary and plasma cortisol were measured in five Australian skeleton athletes (4F; 1M) on six mornings over 11 days following international travel from Australia to Canada (eight time-zones). The purpose of this study was to establish whether international travel affected both plasma and salivary cortisol by the same magnitude and for the same duration in this unique athletic population. Plasma cortisol was suppressed on Day-1 and Day-2 ( approximately 58% and approximately 67% of baseline, respectively), but average values were similar to baseline by Day-4. Salivary cortisol was noticeably suppressed on Day-1 and slightly suppressed on Day-2 and Day-4 but similar to baseline by Day-7. Saliva cortisol tended to be approximately 4% of plasma cortisol at baseline but decreased to approximately 2% on Day-2 and approximately 3.5% on Day-2 and Day-4. These findings document that the relationship between salivary and plasma cortisol can change following international travel and suggest that the extent of the disturbance in cortisol concentrations after crossing multiple time-zones may differ between plasma and saliva samples.</t>
  </si>
  <si>
    <t>https://search.ebscohost.com/login.aspx?direct=true&amp;db=mdc&amp;AN=18296113&amp;site=ehost-live</t>
  </si>
  <si>
    <t>Talent identification and deliberate programming in skeleton: ice novice to Winter Olympian in 14 months.</t>
  </si>
  <si>
    <t>Bullock N; Gulbin JP; Martin DT; Ross A; Holland T; Marino F</t>
  </si>
  <si>
    <t>10.1080/02640410802549751</t>
  </si>
  <si>
    <t>Australia; Aptitude; Athletic Performance; Snow Sports; Adolescent; Adult; Australia; Female; Humans; Young Adult</t>
  </si>
  <si>
    <t>The aims of this study were to talent transfer, rapidly develop, and qualify an Australian female athlete in the skeleton event at the 2006 Torino Winter Olympic Games and quantify the volume of skeleton-specific training and competition that would enable this to be achieved. Initially, 26 athletes were recruited through a talent identification programme based on their 30-m sprint time. After attending a selection camp, 10 athletes were invited to undertake an intensified skeleton training programme. Four of these athletes were then selected to compete for Australia on the World Cup circuit. All completed runs and simulated push starts were documented over a 14-month period. The athlete who eventually represented Australia at the Torino Winter Olympic Games did so following approximately 300 start simulations and about 220 training/competition runs over a period of 14 months. Using a deliberate programming model, these findings provide a guide to the minimum exposure required for a novice skeleton athlete to reach Olympic representative standard following intensified sport-specific training. The findings of this study are discussed in the context of the deliberate practice theory and offer the term "deliberate programming" as an alternative way of incorporating all aspects of expert development.</t>
  </si>
  <si>
    <t>https://search.ebscohost.com/login.aspx?direct=true&amp;db=mdc&amp;AN=19191166&amp;site=ehost-live</t>
  </si>
  <si>
    <t>The influence of dive direction on the movement characteristics for elite football goalkeepers.</t>
  </si>
  <si>
    <t>Spratford W; Mellifont R; Burkett B</t>
  </si>
  <si>
    <t>10.1080/14763140903229526</t>
  </si>
  <si>
    <t>Hip Joint physiology; Movement physiology; Pelvis physiology; Psychomotor Performance physiology; Range of Motion, Articular physiology; Soccer physiology; Thorax physiology; Humans; Male; Young Adult</t>
  </si>
  <si>
    <t>This study biomechanically quantified the movement patterns for six elite goalkeepers making diving saves to their preferred and non-preferred side at three different dive heights. Synchronised three-dimensional kinematic and kinetic biomechanical data analysis found diving direction to significantly (P &lt; 0.05) influence the movement patterns of the diving save. The non-preferred side displayed greater lateral rotation of the pelvis and thorax at the initiation event. These over-rotational differences were reduced during the time on plate phase with the thorax displaying no significant difference at take-off; although a difference still remained for the pelvis. These over rotations were subsequently linked to greater peak knee joint moments, lower peak ankle joint moments, less hip extension at take-off, and for the centre of mass (COM) to travel slower and less directly to the ball, as measured by the net projection angle at take-off. These results indicate that joint movements in the transverse plane at or before the initiation event for the dive for the pelvis and thorax are the causation for subsequent asymmetries. These observed differences indicate that there is an advantage in having prior knowledge of limb preference in an opposing goalkeeper.</t>
  </si>
  <si>
    <t>https://search.ebscohost.com/login.aspx?direct=true&amp;db=mdc&amp;AN=19891201&amp;site=ehost-live</t>
  </si>
  <si>
    <t>Time course of haemoglobin mass during 21 days live high:train low simulated altitude.</t>
  </si>
  <si>
    <t>Clark SA; Quod MJ; Clark MA; Martin DT; Saunders PU; Gore CJ</t>
  </si>
  <si>
    <t>10.1007/s00421-009-1027-4</t>
  </si>
  <si>
    <t>Altitude; Bicycling physiology; Erythropoiesis physiology; Exercise physiology; Hemoglobins metabolism; Oxygen metabolism; Adolescent; Adult; Humans; Hypoxia physiopathology; Male; Oxygen Consumption; Physical Fitness physiology; Time Factors; Young Adult</t>
  </si>
  <si>
    <t>The aim of this study was to determine the time course of changes in haemoglobin mass (Hb(mass)) in well-trained cyclists in response to live high:train low (LHTL). Twelve well-trained male cyclists participated in a 3-week LHTL protocol comprising 3,000 m simulated altitude for ~14 h/day. Prior to LHTL duplicate baseline measurements were made of Hb(mass), maximal oxygen consumption (VO(2max)) and serum erythropoietin (sEPO). Hb(mass) was measured weekly during LHTL and twice in the week thereafter. There was a 3.3% increase in Hb(mass) and no change in VO(2max) after LHTL. The mean Hb(mass) increased at a rate of ~1% per week and this was maintained in the week after cessation of LHTL. The sEPO concentration peaked after two nights of LHTL but there was only a trivial correlation (r = 0.04, P = 0.89) between the increase in sEPO and the increase in Hb(mass). Athletes seeking to gain erythropoietic benefits from moderate altitude need to spend &gt;12 h/day in hypoxia.</t>
  </si>
  <si>
    <t>https://search.ebscohost.com/login.aspx?direct=true&amp;db=mdc&amp;AN=19294411&amp;site=ehost-live</t>
  </si>
  <si>
    <t>Twelve-month training-induced changes in elite international volleyball players.</t>
  </si>
  <si>
    <t>Sheppard JM; Chapman DW; Gough C; McGuigan MR; Newton RU</t>
  </si>
  <si>
    <t>10.1519/JSC.0b013e3181b86d98</t>
  </si>
  <si>
    <t>Athletic Performance; Exercise; Volleyball physiology; Adult; Biomechanical Phenomena; Body Size; Humans; Male; Muscle Strength; Young Adult</t>
  </si>
  <si>
    <t>The purpose of this investigation was to examine the strength, power, and anthropometric contributors to vertical jump performances that are considered specific to volleyball success, including countermovement vertical jump (CMVJ) and spike jump (SPJ), by examining changes across 12 months in elite volleyball players. Anthropometry (height, mass, summation Sigma 7 skinfolds), vertical jump ability (CMVJ, SPJ, and depth jumps from 35 cm), kinetic and kinematic data from an unloaded and loaded (body mass + 50%) jump squat were assessed before and after 12 months of training in 20 elite male volleyball players. To examine the association between the change in each of the strength, power, and anthropometric variables with the changes in CMVJ and SPJ, a correlation analysis of the percent change of each variable with the percent change in CMVJ and SPJ was performed. A significant correlation (r = 0.47; p = 0.04) was observed between changes in CMVJ and SPJ. Significant (p = 0.006-0.02) improvements in CMVJ were associated with increased peak force in the unloaded (r = 0.61) and loaded jump squat (r = 0.59) and greater relative power and peak velocity in the loaded jump squat (r = 0.49 and 0.51, respectively). The significant increase in CMVJ was strongly associated (r = 0.865; p &lt; 0.001) with an improved depth-jump ability. Significant (p = 0.003-0.03) increases in SPJ were related to increases in relative power (r = 0.64), peak force (r = 0.46), and peak velocity (r = 0.49) in the loaded jump and improved depth-jumping ability (r = 0.591). This study demonstrates that, in an elite population of volleyball players, stretch-shortening cycle performance and the ability to tolerate high stretch loads, as in the depth jump, are critical to improving jumping performance.</t>
  </si>
  <si>
    <t>https://search.ebscohost.com/login.aspx?direct=true&amp;db=mdc&amp;AN=19855336&amp;site=ehost-live</t>
  </si>
  <si>
    <t>Validation of heart rate monitor-based predictions of oxygen uptake and energy expenditure.</t>
  </si>
  <si>
    <t>Montgomery PG; Green DJ; Etxebarria N; Pyne DB; Saunders PU; Minahan CL</t>
  </si>
  <si>
    <t>10.1519/JSC.0b013e3181a39277</t>
  </si>
  <si>
    <t>Energy Metabolism; Heart Rate; Monitoring, Physiologic instrumentation; Oxygen Consumption; Adult; Exercise Test; Female; Humans; Linear Models; Male; Pulmonary Gas Exchange; Reproducibility of Results; Running; Software</t>
  </si>
  <si>
    <t>To validate VO2 and energy expenditure predictions by the Suunto heart rate (HR) system against a first principle gas analysis system, well-trained male (n = 10, age 29.8 +/- 4.3 years, VO2 65.9 +/- 9.7 ml x kg x min) and female (n = 7, 25.6 +/- 3.6 years, 57.0 +/- 4.2 ml x kg x min) runners completed a 2-stage incremental running test to establish submaximal and maximal oxygen uptake values. Metabolic cart values were used as the criterion measure of VO2 and energy expenditure (kJ) and compared with the predicted values from the Suunto software. The 3 levels of software analysis for the Suunto system were basic personal information (BI), BI + measured maximal HR (BIhr), and BIhr + measured VO2 (BIhr + v). Comparisons were analyzed using linear regression to determine the standard error of the estimate (SEE). Eight subjects repeated the trial within 7 days to determine reliability (typical error [TE]). The SEEs for oxygen consumption via BI, BIhr, and BIhr + v were 2.6, 2.8, and 2.6 ml.kg.min, respectively, with corresponding percent coefficient of variation (%CV) of 6.0, 6.5, and 6.0. The bias compared with the criterion VO2 decreased from -6.3 for BI, -2.5 for BIhr, to -0.9% for BIhr + v. The SEE of energy expenditure improved from BI (6.74 kJ) to BIhr (6.56) and BIhr + v (6.14) with corresponding %CV of 13.6, 12.2, and 12.7. The TE values for VO2 were approximately 0.60 ml x kg x min and approximately 2 kJ for energy expenditure. The %CV for VO2 and energy expenditure was approximately 1 to 4%. Although reliable, basic HR-based estimations of VO2 and energy expenditure from the Suunto system underestimated VO2 and energy expenditure by approximately 6 and 13%, respectively. However, estimation can be improved when maximal HR and VO2 values are added to the software analysis.</t>
  </si>
  <si>
    <t>https://search.ebscohost.com/login.aspx?direct=true&amp;db=mdc&amp;AN=19593221&amp;site=ehost-live</t>
  </si>
  <si>
    <t>Validity and reliability of GPS units to monitor cricket-specific movement patterns.</t>
  </si>
  <si>
    <t>Petersen C; Pyne D; Portus M; Dawson B</t>
  </si>
  <si>
    <t>10.1123/ijspp.4.3.381</t>
  </si>
  <si>
    <t>Athletic Performance physiology; Geographic Information Systems instrumentation; Movement; Adult; Humans; Male; Reproducibility of Results; Task Performance and Analysis</t>
  </si>
  <si>
    <t>Purpose: The validity and reliability of three commercial global positioning system (GPS) units (MinimaxX, Catapult, Australia; SPI-10, SPI-Pro, GPSports, Australia) were quantified. Methods: Twenty trials of cricket-specific locomotion patterns and distances (walking 8800 m, jogging 2400 m, running 1200 m, striding 600 m, sprinting 20- to 40-m intervals, and run-a-three) were compared against criterion measures (400-m athletic track, electronic timing). Validity was quantified with the standard error of the estimate (SEE) and reliability estimated using typical error expressed as a coefficient of variation. Results: The validity (mean +/- 90% confidence limits) for locomotion patterns walking to striding ranged from 0.4 +/- 0.1 to 3.8 +/- 1.4%, whereas for sprinting distances over 20 to 40 m including run-a-three (approx. 50 m) the SEE ranged from 2.6 +/- 1.0 to 23.8 +/- 8.8%. The reliability (expressed as mean [90% confidence limits]) of estimating distance traveled by walking to striding ranged from 0.3 (0.2 to 0.4) to 2.9% (2.3 to 4.0). Similarly, mean reliability of estimating different sprinting distances over 20 to 40 m ranged from 2.0 (1.6 to 2.8) to 30.0% (23.2 to 43.3). Conclusions: The accuracy and bias was dependent on the GPS brand employed. Commercially available GPS units have acceptable validity and reliability for estimating longer distances (600-8800 m) in walking to striding, but require further development for shorter cricket-specific sprinting distances.</t>
  </si>
  <si>
    <t>https://search.ebscohost.com/login.aspx?direct=true&amp;db=mdc&amp;AN=19953825&amp;site=ehost-live</t>
  </si>
  <si>
    <t>Validity and reliability of kick count and rate in freestyle using inertial sensor technology.</t>
  </si>
  <si>
    <t>10.1080/02640410902998247</t>
  </si>
  <si>
    <t>Leg physiology; Monitoring, Physiologic instrumentation; Swimming physiology; Adolescent; Amputees; Biomechanical Phenomena; Cerebral Palsy physiopathology; Disabled Persons; Efficiency physiology; Female; Humans; Male; Motor Skills physiology; Prone Position; Reproducibility of Results; Video Recording; Young Adult</t>
  </si>
  <si>
    <t>In freestyle swimming the arm action is routinely quantified by stroke count and rate, yet no method is currently available for quantifying kick. In this study, we assessed the validity and reliability of inertial sensor technology (gyroscope) to assess kick count and rate. Twelve Paralympic swimmers completed a 100-m freestyle-swimming time-trial and freestyle kicking-only time-trial three times each in a season. An algorithm was developed to detect the up and down beat of individual kicks from the gyroscope trace. For comparative purposes, underwater video analysis provided the criterion measure. The standard error of the estimate (validity) for kick count, expressed as a coefficient of variation, was 5.9% (90% confidence interval 5.5 to 6.4) for swimming, and 0.6% (0.5 to 0.6) for kicking-only trials. The mean bias for kick count was -1.7% (-2.4 to -1.1) for swimming, and -0.1% (-0.2 to -0.1) for kicking-only trials. Correlations between the sensor and video for kick count were 0.96 (0.95 to 0.97) for swimming, and 1.00 (1.00 to 1.00) for kicking-only trials. The typical error of the measurement (reliability) between trials was approximately 4% for kick count and rate. The inertial sensors and associated software used generated sufficient validity and reliability estimates to quantify moderate to large changes in kick count and rate in freestyle swimming.</t>
  </si>
  <si>
    <t>https://search.ebscohost.com/login.aspx?direct=true&amp;db=mdc&amp;AN=19642049&amp;site=ehost-live</t>
  </si>
  <si>
    <t>Variability and progression in competitive performance of Paralympic swimmers.</t>
  </si>
  <si>
    <t>Fulton SK; Pyne D; Hopkins W; Burkett B</t>
  </si>
  <si>
    <t>10.1080/02640410802641418</t>
  </si>
  <si>
    <t>Athletic Performance statistics &amp; numerical data; Disabled Persons statistics &amp; numerical data; Swimming statistics &amp; numerical data; Female; Humans; Male; Reproducibility of Results; Swimming classification; Time Factors</t>
  </si>
  <si>
    <t>Analysis of variability and progression in performance of top athletes between competitions provides information about performance targets that is useful for athletes, practitioners, and researchers. In this study, 724 official finals times were analysed for 120 male and 122 female Paralympic swimmers in the 100-m freestyle event at 15 national and international competitions between 2004 and 2006. Separate analyses were performed for males and females in each of four Paralympic subgroups: S2-S4, S5-S7, S8-S10 (most through least physically impaired), and S11-S13 (most through least visually impaired). Mixed modelling of log-transformed times, with adjustment for mean competition times, was used to estimate variability and progression. Within-swimmer race-to-race variability, expressed as a coefficient of variation, ranged from 1.2% (male S5-S7) to 3.7% (male S2-S4). Swimming performance progressed by approximately 0.5% per year for males and females. Typical variation in mean performance time between competitions was approximately 1% after adjustment for the ability of the athletes in each competition, and the Paralympic Games was the fastest competition. Thus, taking into account variability, progression, and level of competition, Paralympic swimmers who want to increase substantially their medal prospects should aim for an annual improvement of at least 1-2%.</t>
  </si>
  <si>
    <t>https://search.ebscohost.com/login.aspx?direct=true&amp;db=mdc&amp;AN=19219736&amp;site=ehost-live</t>
  </si>
  <si>
    <t>A food pyramid for Swiss athletes. Interview by Louise M. Burke.</t>
  </si>
  <si>
    <t>Samuel M</t>
  </si>
  <si>
    <t>Switzerland; Dietary Proteins administration &amp; dosage; Exercise physiology; Nutrition Policy; Nutritional Physiological Phenomena physiology; Nutritional Requirements; Sports physiology; Dietary Carbohydrates administration &amp; dosage; Drinking; Energy Intake physiology; Glycemic Index; Humans; Switzerland</t>
  </si>
  <si>
    <t>https://search.ebscohost.com/login.aspx?direct=true&amp;db=mdc&amp;AN=18708690&amp;site=ehost-live</t>
  </si>
  <si>
    <t>A physiological and psychological basis for anti-pronation taping from a critical review of the literature.</t>
  </si>
  <si>
    <t>Franettovich M; Chapman A; Blanch P; Vicenzino B</t>
  </si>
  <si>
    <t>10.2165/00007256-200838080-00001</t>
  </si>
  <si>
    <t>Bandages; Orthopedic Procedures methods; Orthopedic Procedures psychology; Pronation physiology; Foot physiology; Foot Injuries prevention &amp; control; Humans; Movement; Stress, Mechanical</t>
  </si>
  <si>
    <t>Anti-pronation taping is a treatment technique commonly used by clinicians in the management of lower extremity musculoskeletal pain and injury. The clinical efficacy of anti-pronation tape is described anecdotally and has some support through clinical trials for some foot conditions. However, the mechanism(s) underlying its clinical efficacy is unknown, but are broadly categorized under mechanical, neurophysiological and psychological hypotheses. This article explores these hypotheses and contributes to the understanding of the technique.A computer database search was conducted to identify relevant experimental studies using an a priori defined search strategy. Data were extracted from reviewed articles and wherever possible mean differences between baseline and taped condition and the 95% confidence interval, as well as percentage change scores and effect size statistics were calculated. Articles were organized pertaining to the hypothetical mechanism investigated and presented accordingly into biomechanical, neurophysiological or psychological paradigms.Overall, the research to date has focused predominantly on the mechanical paradigm with far fewer papers being found for the neurophysiological and psychological paradigms. The literature provides evidence that anti-pronation tape has a biomechanical effect, which has been demonstrated by increases in navicular height and medial longitudinal arch height, reductions in tibial internal rotation and calcaneal eversion and alteration of plantar pressure patterns, under both static (i.e. standing) and dynamic (i.e. walking, jogging, running) conditions. The reduction in pronation was dependent on the surrogate measure of pronation used, but generally ranged from as little as 5% increase in longitudinal arch height during jogging to as much as a 33% change in calcaneal eversion during walking. Preliminary evidence from few studies suggests that anti-pronation tape has a neurophysiological effect as it has been shown to reduce the activity of several muscles of the leg during dynamic tasks such as walking, hopping, cutting, back pedalling and drop jumps. Data were difficult to extract from these papers, but it would appear from a small study that the reduction is in the order of about 45% for tibialis posterior. To date, there has been limited investigation of the psychological effects of anti-pronation tape. A main issue, as with most placebo or sham interventions for physical therapy research, is that of an appropriate comparator in this regard. Consequently, these effects are currently not well understood. This article reports of evidence in support of anti-pronation tape exerting a biomechanical effect. As its name suggests, it does reduce pronation. There is emerging evidence of a neurophysiological effect, which is generally one of reduction in muscle activity, but caution is urged in over-interpreting a few studies on small sample sizes. Further research is required in this paradigm before sports medicine practitioners can utilize these findings in day-to-day clinical practice. Due to insufficient evidence, this article was unable to draw any conclusions as to the psychological effects of the tape, but the article does prompt the need for further exploration into the possible role of placebo in the clinical effects of anti-pronation taping.</t>
  </si>
  <si>
    <t>https://search.ebscohost.com/login.aspx?direct=true&amp;db=mdc&amp;AN=18620463&amp;site=ehost-live</t>
  </si>
  <si>
    <t>A "polypill" for acute tendon pain in athletes with tendinopathy?</t>
  </si>
  <si>
    <t>Fallon K; Purdam C; Cook J; Lovell G</t>
  </si>
  <si>
    <t>10.1016/j.jsams.2007.09.002</t>
  </si>
  <si>
    <t>Anti-Inflammatory Agents, Non-Steroidal therapeutic use; Athletic Injuries drug therapy; Doxycycline therapeutic use; Ibuprofen therapeutic use; Tendinopathy drug therapy; Drug Therapy, Combination; Humans; Tumor Necrosis Factor-alpha drug effects</t>
  </si>
  <si>
    <t>Acute tendon pain in athletes is a condition that is difficult to manage. There are few treatment options that give adequate pain relief and have a theoretical basis for efficacy. We report the use of a novel "polypill" for tendon pain, and provide evidence for the basis for its use. We present it to stimulate discussion and research into a new area of tendinopathy.</t>
  </si>
  <si>
    <t>https://search.ebscohost.com/login.aspx?direct=true&amp;db=mdc&amp;AN=18077212&amp;site=ehost-live</t>
  </si>
  <si>
    <t>Ability of test measures to predict competitive performance in elite swimmers.</t>
  </si>
  <si>
    <t>Anderson M; Hopkins W; Roberts A; Pyne D</t>
  </si>
  <si>
    <t>10.1080/02640410701348669</t>
  </si>
  <si>
    <t>Australian Capital Territory; Athletic Performance; Competitive Behavior; Swimming physiology; Anthropometry; Australian Capital Territory; Female; Humans; Lactic Acid analysis; Lactic Acid blood; Male; Sports</t>
  </si>
  <si>
    <t>The purpose of this study was to quantify the relationship between changes in test measures and changes in competition performance for individual elite swimmers. The 24 male and 16 female swimmers, who were monitored for 3.6 years (s = 2.5), raced in a major competition at the end of each 6-month season (3.6 competitions, s = 2.2). A 7 x 200-m incremental swimming step-test and anthropometry were conducted in up to four training phases each season. Correlations of changes in step-test and anthropometry measures between training phases and seasons with changes in competition performance between seasons were derived with repeated-measures mixed-modelling and linear regression. Changes in competition performance were best tracked by changes in test measures between taper phases. The best single predictor of competition performance was skinfolds for females (r = -0.53). The best predictor from the step-test was stroke rate at a blood lactate concentration of 4 mmol x l(-1) (females: r = 0.46; males: r = 0.41); inclusion of the second-best step-test predictor in a multiple linear regression improved the correlations (females: r = 0.52 with speed in the seventh step included; males: r = 0.58 with peak lactate concentration included). In conclusion, a combination of fitness and technique factors is important for competitive performance. The step-test is a useful adjunct in a swimmer's training preparation for tracking large changes in performance.</t>
  </si>
  <si>
    <t>https://search.ebscohost.com/login.aspx?direct=true&amp;db=mdc&amp;AN=17852674&amp;site=ehost-live</t>
  </si>
  <si>
    <t>Acute effect of whole-body vibration on sprint and jumping performance in elite skeleton athletes.</t>
  </si>
  <si>
    <t>Bullock N; Martin DT; Ross A; Rosemond CD; Jordan MJ; Marino FE</t>
  </si>
  <si>
    <t>10.1519/JSC.0b013e31816a44b5</t>
  </si>
  <si>
    <t>Athletic Performance physiology; Lower Extremity physiology; Movement physiology; Running physiology; Sports physiology; Vibration; Adult; Exercise Test; Female; Humans; Male; Muscle Strength physiology</t>
  </si>
  <si>
    <t>The winter sliding sport known as skeleton requires athletes to produce a maximal sprint followed by high speed sliding down a bobsled track. Athletes are required to complete the course twice in 1 hour and total time for the 2 runs determines overall ranking. The purpose of this investigation was to examine the effect of whole-body vibration (WBV) on lower body power to explore the utility of WBV as an ergogenic aid for skeleton competition. Elite skeleton athletes (1 male and 6 females) completed an unloaded squat jump (SQJ) immediately followed by 2 countermovement jumps (CMJs) and a maximal 30-m sprint before and after WBV or no vibration (CON) using a crossover design. The second 30-m sprint was slower following both CON (1.4% decrement; p = 0.05) and WBV (0.7% decrement; p = 0.03). Mean vertical velocity was maintained following WBV in the SQJ but decreased following CON (p = 0.03). There was a trend for athletes to commence the SQJ from a higher starting stance post-WBV compared to CON (p = 0.08). WBV decreased total vertical distance traveled compared to CON in the SQJ (p = 0.006). WBV had little effect on peak velocity, jump height, dip, and peak acceleration or any CMJ parameters. When sprint athletes' warm up and perform maximal jumps and a 30-m sprint with 15-20 minutes of recovery before repeating the sequence, the second series of performances tend to be compromised. However, when WBV is used before the second series of efforts, some aspects of maximal jumping and sprinting appear to be influenced in a beneficial manner. Further research is required to explore whether WBV can improve the second sprint for athletes in actual competition and/or what sort of WBV protocol is optimal for these populations.</t>
  </si>
  <si>
    <t>https://search.ebscohost.com/login.aspx?direct=true&amp;db=mdc&amp;AN=18545165&amp;site=ehost-live</t>
  </si>
  <si>
    <t>Assessing the force-velocity characteristics of the leg extensors in well-trained athletes: the incremental load power profile.</t>
  </si>
  <si>
    <t>Sheppard JM; Cormack S; Taylor KL; McGuigan MR; Newton RU</t>
  </si>
  <si>
    <t>10.1519/JSC.0b013e31816d671b</t>
  </si>
  <si>
    <t>Lower Extremity physiology; Muscle Strength physiology; Muscle, Skeletal physiology; Soccer physiology; Volleyball physiology; Acceleration; Adult; Humans; Movement physiology; Reproducibility of Results; Weight-Bearing physiology</t>
  </si>
  <si>
    <t>The purpose of this research project was to evaluate the methodology of an iso-inertial force-velocity assessment utilizing a range of loads and a group of high-performance athletes. A total of 26 subjects (19.8 +/- 2.6 years, 196.3 +/- 9.6 cm, 88.6 +/- 8.9 kg) participated in this study. Interday reliability of various force-time measures obtained during the performance of countermovement jumps with a range of loads was examined, followed by a validity assessment of the various measures' ability to discriminate among performance levels, while the ability of the test protocol to detect training-induced changes was assessed by comparing results before and after an intensive 12-week training period. Force and velocity variables were observed to be reliable (intraclass correlation coefficient 0.74-0.99). Large effect size statistic (ES &gt; 0.50) differences among player groups were observed for peak power (1.36-2.25), relative peak power (1.57-2.42), and peak force (0.74-0.95). Significant (p &lt; 0.05) and large (ES &gt; 0.50) improvements were observed in the kinetic values after the intensive training period. The results of this study indicate that the incremental load power profile is an acceptably reliable, valid, and sensitive method of assessing force and power capabilities of the leg extensors in high-performance and elite volleyball players.</t>
  </si>
  <si>
    <t>https://search.ebscohost.com/login.aspx?direct=true&amp;db=mdc&amp;AN=18545172&amp;site=ehost-live</t>
  </si>
  <si>
    <t>Caffeine and sports performance.</t>
  </si>
  <si>
    <t>10.1139/H08-130</t>
  </si>
  <si>
    <t>Athletic Performance physiology; Caffeine pharmacology; Central Nervous System Stimulants pharmacology; Cross-Over Studies; Doping in Sports methods; Doping in Sports prevention &amp; control; Doping in Sports statistics &amp; numerical data; Exercise Tolerance drug effects; Female; Humans; Male; Physical Endurance drug effects</t>
  </si>
  <si>
    <t>Athletes are among the groups of people who are interested in the effects of caffeine on endurance and exercise capacity. Although many studies have investigated the effect of caffeine ingestion on exercise, not all are suited to draw conclusions regarding caffeine and sports performance. Characteristics of studies that can better explore the issues of athletes include the use of well-trained subjects, conditions that reflect actual practices in sport, and exercise protocols that simulate real-life events. There is a scarcity of field-based studies and investigations involving elite performers. Researchers are encouraged to use statistical analyses that consider the magnitude of changes, and to establish whether these are meaningful to the outcome of sport. The available literature that follows such guidelines suggests that performance benefits can be seen with moderate amounts (~3 mg.kg-1 body mass) of caffeine. Furthermore, these benefits are likely to occur across a range of sports, including endurance events, stop-and-go events (e.g., team and racquet sports), and sports involving sustained high-intensity activity lasting from 1-60 min (e.g., swimming, rowing, and middle and distance running races). The direct effects on single events involving strength and power, such as lifts, throws, and sprints, are unclear. Further studies are needed to better elucidate the range of protocols (timing and amount of doses) that produce benefits and the range of sports to which these may apply. Individual responses, the politics of sport, and the effects of caffeine on other goals, such as sleep, hydration, and refuelling, also need to be considered.</t>
  </si>
  <si>
    <t>https://search.ebscohost.com/login.aspx?direct=true&amp;db=mdc&amp;AN=19088794&amp;site=ehost-live</t>
  </si>
  <si>
    <t>Canoe slalom competition analysis.</t>
  </si>
  <si>
    <t>Hunter A; Cochrane J; Sachlikidis A</t>
  </si>
  <si>
    <t>10.1080/14763140701683155</t>
  </si>
  <si>
    <t>Athletic Performance physiology; Motor Skills physiology; Sports physiology; Biomechanical Phenomena; Female; Humans; Male; Sex Factors; Ships classification; Task Performance and Analysis; Video Recording</t>
  </si>
  <si>
    <t>The aim of this study was to quantify the differences between groups of elite canoe slalom athletes based on the class they paddle in and the strategies they use in competition. Canoe and kayak footage was recorded using three cameras and analysed using lapsed-time time-motion analysis. Analysis was undertaken on the ten fastest competition runs for men's kayak and canoes and women's kayak for the 22-gate semi-final/final course at the 2005 canoe slalom world championships. Comparison between the categories of paddlers revealed that despite canoe paddlers taking significantly (P &lt; or = 0.05) fewer strokes than kayak paddlers, they were not significantly slower than men's single kayak paddlers with respect to their run times and only significantly slower between 4 of 22 gates. Results revealed also that paddlers using different turn strategies (spin vs. pivot) had significantly (P &lt; or = 0.05) different split times for the gates before and after the execution of the manoeuvre. For a paddler this means that their individual strategy could be analysed and compared with those of others to determine if alternate strategies would be beneficial to their performance.</t>
  </si>
  <si>
    <t>https://search.ebscohost.com/login.aspx?direct=true&amp;db=mdc&amp;AN=18341134&amp;site=ehost-live</t>
  </si>
  <si>
    <t>Characteristics of the start in women's World Cup skeleton.</t>
  </si>
  <si>
    <t>Bullock N; Martin DT; Ross A; Rosemond D; Holland T; Marino FE</t>
  </si>
  <si>
    <t>10.1080/14763140802255796</t>
  </si>
  <si>
    <t>Models, Biological; Reaction Time physiology; Snow Sports physiology; Task Performance and Analysis; Time Factors; Female; Humans; Internationality; Models, Statistical; Young Adult</t>
  </si>
  <si>
    <t>This study characterizes key elements of the start in elite female World Cup skeleton athletes. The top 20 female competitors in three World Cup races were videotaped within a calibrated space to allow the following components of the start to be quantified: (1) acceleration (velocity at 15-m mark, time to 15-m mark), (2) capacity (time to load, total number of steps to load), and (3) load (velocity at 45-m mark). A correlation analysis was used to establish the relationship between the variables of interest and overall start time (15- to 65-m mark). Velocity at the 15-m mark accounted for 86% of the variance in overall start time at St. Moritz and 85% at Sigulda. A stepwise regression analysis revealed that approximately 89% of the variation in start time could be explained by velocity at the 15-m mark, time to load, and velocity at the 45-m mark. Of the variables analysed in this study, rapid acceleration to attain a high velocity at the 15-m mark was the most important component of a fast overall start time. The importance of the time to load and velocity at the 45-m mark vary according to the different track characteristics.</t>
  </si>
  <si>
    <t>https://search.ebscohost.com/login.aspx?direct=true&amp;db=mdc&amp;AN=18972884&amp;site=ehost-live</t>
  </si>
  <si>
    <t>Clinical and laboratory evaluation of upper respiratory symptoms in elite athletes.</t>
  </si>
  <si>
    <t>Cox AJ; Gleeson M; Pyne DB; Callister R; Hopkins WG; Fricker PA</t>
  </si>
  <si>
    <t>10.1097/JSM.0b013e318181e501</t>
  </si>
  <si>
    <t>Australia; Respiratory Tract Infections etiology; Sports Medicine; Adolescent; Athletic Performance; Australia; Clinical Laboratory Techniques; Female; Humans; Male; Prospective Studies; Respiratory Tract Infections diagnosis; Respiratory Tract Infections physiopathology; Young Adult</t>
  </si>
  <si>
    <t>Objective: To characterize the etiology of upper respiratory symptoms in elite athletes presenting to a sports physician for treatment. Design: Prospective clinical and laboratory investigations. Setting: Sports medicine clinic. Participants: Seventy elite-level athletes. Main Outcome Measurements: Physician-recorded symptoms and diagnosis; health/training questionnaires; laboratory investigations of respiratory pathogens, white blood cell differential counts, and immune parameters. Results: Physicians characterized 89% of presentations as viral or bacterial upper respiratory tract infection. Only 57% of presentations were associated with an identified pathogen or other laboratory parameters indicative of infection. Demographic information, previous illness, and training history did not distinguish between presentations with or without objective measures of infection. Elevated white blood cell and neutrophil counts and lower vitamin D concentrations partially distinguished infectious episodes. The number of systemic symptoms/behaviors at presentation (cough, headache, earache, fatigue, fever/rigors, myalgia/arthralgia, or cessation of training before clinic attendance) had some predictive value for infection: odds ratio per symptom, 1.23 (90% confidence interval: 0.91 to 1.66); probability of infection, 48% with no symptoms to 77% with 6 symptoms. Laboratory investigation identified allergy in a considerable proportion of the cohort (39%). Conclusions: The discrepancy between physician and laboratory diagnosed infection in elite athletes highlights the need for consideration of alternate diagnostic options when evaluating upper respiratory symptoms in athletes. A considerable proportion of episodes of respiratory symptoms in athletes were not associated with identification of a respiratory pathogen; other potentially treatable causes of upper respiratory symptoms should be considered, particularly in athletes with recurrent symptoms.</t>
  </si>
  <si>
    <t>https://search.ebscohost.com/login.aspx?direct=true&amp;db=mdc&amp;AN=18806552&amp;site=ehost-live</t>
  </si>
  <si>
    <t>Dancing in pain: pain appraisal and coping in dancers.</t>
  </si>
  <si>
    <t>Anderson R; Hanrahan SJ</t>
  </si>
  <si>
    <t>Journal of dance medicine &amp; science : official publication of the International Association for Dance Medicine &amp; Science</t>
  </si>
  <si>
    <t>J. Michael Ryan Pub., Inc</t>
  </si>
  <si>
    <t>Adaptation, Psychological; Dancing injuries; Dancing psychology; Health Knowledge, Attitudes, Practice; Pain etiology; Self-Assessment; Adolescent; Adult; Athletic Injuries prevention &amp; control; Female; Humans; Male; Multivariate Analysis; Pain psychology; Pain Measurement</t>
  </si>
  <si>
    <t>This study investigated the relationships between the type of pain experienced (performance pain and injury pain), the cognitive appraisal of pain and pain coping styles in dancers. Fifty-one professional ballet and contemporary dancers (17 males and 34 females), with the mean age of 25.9 years, completed a general pain questionnaire, the Pain Appraisal Inventory, the Survey of Pain Attitudes Control Subscale, and the Sports Inventory for Pain. Multivariate analyses of variance indicated that both the cognitive appraisal of the pain and pain coping styles did not differ according to the type of pain experienced or the pain severity. However, it was found that dancers with performance pain of either low or high severity were more likely to dance in pain than dancers experiencing injury pain. Multiple regression analyses indicated that the appraisal of pain as threatening was predictive of the use of avoidance and catastrophizing pain coping styles. Overall, results indicated that dancers may not differentiate between performance pain and injury pain, or modify their appraisal and coping strategies according to the characteristics of the pain experienced. The study highlighted an opportunity for increased education for dancers in recognizing the difference between pain considered to be a routine aspect of training and pain which is a signal of serious injury.</t>
  </si>
  <si>
    <t>https://search.ebscohost.com/login.aspx?direct=true&amp;db=mdc&amp;AN=19618573&amp;site=ehost-live</t>
  </si>
  <si>
    <t>Effect of cold water immersion on repeat cycling performance and thermoregulation in the heat.</t>
  </si>
  <si>
    <t>Vaile J; Halson S; Gill N; Dawson B</t>
  </si>
  <si>
    <t>10.1080/02640410701567425</t>
  </si>
  <si>
    <t>Bicycling physiology; Body Temperature Regulation physiology; Cryotherapy; Hot Temperature; Immersion; Adult; Athletic Performance physiology; Cross-Over Studies; Heart Rate physiology; Humans; Lactic Acid blood; Male; Physical Exertion physiology</t>
  </si>
  <si>
    <t>To assess the effect of cold water immersion and active recovery on thermoregulation and repeat cycling performance in the heat, ten well-trained male cyclists completed five trials, each separated by one week. Each trial consisted of a 30-min exercise task, one of five 15-min recoveries (intermittent cold water immersion in 10 degrees C, 15 degrees C and 20 degrees C water, continuous cold water immersion in 20 degrees C water or active recovery), followed by 40 min passive recovery, before repeating the 30-min exercise task. Recovery strategy effectiveness was assessed via changes in total work in the second exercise task compared with that in the first. Following active recovery, a mean 4.1% (s = 1.8) less total work (P = 0.00) was completed in the second than in the first exercise task. However, no significant differences in total work were observed between any of the cold water immersion protocols. Core and skin temperature, blood lactate concentration, heart rate, rating of thermal sensation, and rating of perceived exertion were recorded. During both exercise tasks there were no significant differences in blood lactate concentration between interventions; however, following active recovery blood lactate concentration was significantly lower (P &lt; 0.05; 2.0 +/- 0.8 mmol . l(-1)) compared with all cold water immersion protocols. All cold water immersion protocols were effective in reducing thermal strain and were more effective in maintaining subsequent high-intensity cycling performance than active recovery.</t>
  </si>
  <si>
    <t>https://search.ebscohost.com/login.aspx?direct=true&amp;db=mdc&amp;AN=18274940&amp;site=ehost-live</t>
  </si>
  <si>
    <t>Effect of hydrotherapy on recovery from fatigue.</t>
  </si>
  <si>
    <t>10.1055/s-2007-989267</t>
  </si>
  <si>
    <t>Bicycling physiology; Fatigue therapy; Hydrotherapy methods; Recovery of Function physiology; Adult; Body Temperature physiology; Ergometry; Fatigue physiopathology; Heart Rate physiology; Humans; Male; Physical Exertion physiology</t>
  </si>
  <si>
    <t>The present study investigated the effects of three hydrotherapy interventions on next day performance recovery following strenuous training. Twelve cyclists completed four experimental trials differing only in 14-min recovery intervention: cold water immersion (CWI), hot water immersion (HWI), contrast water therapy (CWT), or passive recovery (PAS). Each trial comprised five consecutive exercise days of 105-min duration, including 66 maximal effort sprints. Additionally, subjects performed a total of 9-min sustained effort (time trial - TT). After completing each exercise session, athletes performed one of four recovery interventions (randomly assigned to each trial). Performance (average power), core temperature, heart rate (HR), and rating of perceived exertion (RPE) were recorded throughout each session. Sprint (0.1 - 2.2 %) and TT (0.0 - 1.7 %) performance were enhanced across the five-day trial following CWI and CWT, when compared to HWI and PAS. Additionally, differences in rectal temperature were observed between interventions immediately and 15-min post-recovery; however, no significant differences were observed in HR or RPE regardless of day of trial/intervention. Overall, CWI and CWT appear to improve recovery from high-intensity cycling when compared to HWI and PAS, with athletes better able to maintain performance across a five-day period.</t>
  </si>
  <si>
    <t>https://search.ebscohost.com/login.aspx?direct=true&amp;db=mdc&amp;AN=18058595&amp;site=ehost-live</t>
  </si>
  <si>
    <t>Effect of hydrotherapy on the signs and symptoms of delayed onset muscle soreness.</t>
  </si>
  <si>
    <t>10.1007/s00421-007-0605-6</t>
  </si>
  <si>
    <t>Exercise physiology; Hydrotherapy; Isometric Contraction physiology; Muscle, Skeletal physiology; Pain Management; Creatine Kinase blood; Cross-Over Studies; Edema therapy; Humans; Interleukin-6 blood; L-Lactate Dehydrogenase blood; Male; Motor Activity physiology; Myoglobin blood; Thigh physiology</t>
  </si>
  <si>
    <t>This study independently examined the effects of three hydrotherapy interventions on the physiological and functional symptoms of delayed onset muscle soreness (DOMS). Strength trained males (n = 38) completed two experimental trials separated by 8 months in a randomised crossover design; one trial involved passive recovery (PAS, control), the other a specific hydrotherapy protocol for 72 h post-exercise; either: (1) cold water immersion (CWI: n = 12), (2) hot water immersion (HWI: n = 11) or (3) contrast water therapy (CWT: n = 15). For each trial, subjects performed a DOMS-inducing leg press protocol followed by PAS or one of the hydrotherapy interventions for 14 min. Weighted squat jump, isometric squat, perceived pain, thigh girths and blood variables were measured prior to, immediately after, and at 24, 48 and 72 h post-exercise. Squat jump performance and isometric force recovery were significantly enhanced (P &lt; 0.05) at 24, 48 and 72 h post-exercise following CWT and at 48 and 72 h post-exercise following CWI when compared to PAS. Isometric force recovery was also greater (P &lt; 0.05) at 24, 48, and 72 h post-exercise following HWI when compared to PAS. Perceived pain improved (P &lt; 0.01) following CWT at 24, 48 and 72 h post-exercise. Overall, CWI and CWT were found to be effective in reducing the physiological and functional deficits associated with DOMS, including improved recovery of isometric force and dynamic power and a reduction in localised oedema. While HWI was effective in the recovery of isometric force, it was ineffective for recovery of all other markers compared to PAS.</t>
  </si>
  <si>
    <t>https://search.ebscohost.com/login.aspx?direct=true&amp;db=mdc&amp;AN=17978833&amp;site=ehost-live</t>
  </si>
  <si>
    <t>Effects of experience in a dynamic environment on postural control.</t>
  </si>
  <si>
    <t>Chapman DW; Needham KJ; Allison GT; Lay B; Edwards DJ</t>
  </si>
  <si>
    <t>10.1136/bjsm.2006.033688</t>
  </si>
  <si>
    <t>Athletic Performance physiology; Postural Balance physiology; Posture physiology; Sports physiology; Adult; Analysis of Variance; Case-Control Studies; Humans; Male; Task Performance and Analysis</t>
  </si>
  <si>
    <t>Background: Surfing is a balance-reliant, open skill performed in a dynamic environment rich in visual, somatosensory and vestibular information. Objective: To evaluate adaptations to the postural control system by surfing experience. Methods: Postural control was assessed in an upright bipedal stance in 60 male volunteers (21 elite surfers, 20 intermediate level surfers, and 19 controls) using various closed-stance positions. Six tasks were performed with two trials including a cognitive task, in the following order: eyes open, head in a neutral position (EO1); eyes closed, head in a neutral position (EC); eyes closed, head back (ECHB); eyes open, head in a neutral position, cognitive task 1 (EOC1); eyes open head in a neutral position, cognitive task 2 (EOC2); eyes open head in a neutral position (EO2). Dependent variables were area of 95th centile ellipse (AoE) and sway path length (SPL). Results: All participants showed systematic increases in SPL and AoE in EC and ECHB trials. Expert surfers displayed significantly (p&lt;0.05) increased SPL but not AoE when sharing attention with both concurrent mental tasks compared with controls. Controls showed a slight, non-significant change in postural control (reduced SPL and AoE) when attending to concurrent mental tasks. Conclusions: The findings indicate that standard postural sway indices are not able to elucidate whether expertise in surfing facilitates adaptations to the postural control system. However, concurrent mental task findings illustrate that systematic differences in balance abilities between expert surfers and controls may exist.</t>
  </si>
  <si>
    <t>https://search.ebscohost.com/login.aspx?direct=true&amp;db=mdc&amp;AN=17496073&amp;site=ehost-live</t>
  </si>
  <si>
    <t>Increasing compliance to instructions in the squat jump.</t>
  </si>
  <si>
    <t>Sheppard JM; Doyle TL</t>
  </si>
  <si>
    <t>10.1519/JSC.0b013e31816602d4</t>
  </si>
  <si>
    <t>Lower Extremity physiology; Movement physiology; Sports Medicine instrumentation; Adult; Female; Humans; Male; Posture physiology; Transducers</t>
  </si>
  <si>
    <t>The purposes of this investigation were to evaluate the occurrence of a small amplitude counter-movement (SACM) in SJ (squat jump) trials of elite athletes to determine the efficacy of gross observation and the use of a portable position transducer to determine whether or not a SACM occurred. The subjects (N = 30, 20.1 +/- 3.0 years, 199.0 +/- 8.4 cm, and 87.2 +/- 9.5 kg) were a combination of high-performance (National Team) and elite athletes (Olympian) from the sports of athletics, swimming, and volleyball. All subjects performed SJ trials on a force platform, with a linear position transducer attached to a bar placed across the shoulders. Subjects performed the SJ from a depth that allowed for a 90 degrees knee angle, with the subject's instructed to maintain a 3-second isometric hold preceding the concentric action of the jump. One hundred twenty-five SJ trials were observed for a SACM and analyzed (using the force plate data and position transducer data) for a SACM. Of the 125 SJ trials, 69 trials (55.2%) were observed to have a SACM by the researchers. In the remaining 56 trials, 43 of these trials contained a force unload (&gt;/=10% body mass) before initiation of the concentric action, indicating a SACM. Of the 119 SJ trials where a force unload was observed and detected by the force-time graph, 118 (99.2%) of these trials also showed a change in displacement using the displacement-time graph from the linear position transducer. The results of this study indicate that achieving compliance to protocol in the SJ is difficult, and that gross observation is inadequate in detecting a SACM in the SJ. From a practical perspective, these results suggest that using a force plate or a linear position transducer would allow the strength and conditioning coach to ensure compliance to instructions in the SJ.</t>
  </si>
  <si>
    <t>https://search.ebscohost.com/login.aspx?direct=true&amp;db=mdc&amp;AN=18550987&amp;site=ehost-live</t>
  </si>
  <si>
    <t>Physiological responses to cold water immersion following cycling in the heat.</t>
  </si>
  <si>
    <t>Halson SL; Quod MJ; Martin DT; Gardner AS; Ebert TR; Laursen PB</t>
  </si>
  <si>
    <t>10.1123/ijspp.3.3.331</t>
  </si>
  <si>
    <t>Bicycling physiology; Cold Temperature; Hot Temperature; Immersion; Water; Adult; Blood Chemical Analysis methods; Body Temperature Regulation physiology; Cryotherapy methods; Humans; Male; Young Adult</t>
  </si>
  <si>
    <t>Unlabelled: Cold water immersion (CWI) has become a popular means of enhancing recovery from various forms of exercise. However, there is minimal scientific information on the physiological effects of CWI following cycling in the heat. Purpose: To examine the safety and acute thermoregulatory, cardiovascular, metabolic, endocrine, and inflammatory responses to CWI following cycling in the heat. Methods: Eleven male endurance trained cyclists completed two simulated approximately 40-min time trials at 34.3 +/- 1.1 degrees C. All subjects completed both a CWI trial (11.5 degrees C for 60 s repeated three times) and a control condition (CONT; passive recovery in 24.2 +/- 1.8 degrees C) in a randomized cross-over design. Capillary blood samples were assayed for lactate, glucose, pH, and blood gases. Venous blood samples were assayed for catecholamines, cortisol, testosterone, creatine kinase, C-reactive protein, IL-6, and IGF-1 on 7 of the 11 subjects. Heart rate (HR), rectal (Tre), and skin temperatures (Tsk) were measured throughout recovery. Results: CWI elicited a significantly lower HR (CWI: Delta 116 +/- 9 bpm vs. CONT: Delta 106 +/- 4 bpm; P = .02), Tre (CWI: Delta 1.99 +/- 0.50 degrees C vs. CONT: Delta 1.49 +/- 0.50 degrees C; P = .01) and Tsk. However, all other measures were not significantly different between conditions. All participants subjectively reported enhanced sensations of recovery following CWI. Conclusion: CWI did not result in hypothermia and can be considered safe following high intensity cycling in the heat, using the above protocol. CWI significantly reduced heart rate and core temperature; however, all other metabolic and endocrine markers were not affected by CWI.</t>
  </si>
  <si>
    <t>https://search.ebscohost.com/login.aspx?direct=true&amp;db=mdc&amp;AN=19211945&amp;site=ehost-live</t>
  </si>
  <si>
    <t>Practical precooling: effect on cycling time trial performance in warm conditions.</t>
  </si>
  <si>
    <t>Quod MJ; Martin DT; Laursen PB; Gardner AS; Halson SL; Marino FE; Tate MP; Mainwaring DE; Gore CJ; Hahn AG</t>
  </si>
  <si>
    <t>10.1080/02640410802298268</t>
  </si>
  <si>
    <t>Body Temperature physiology; Exercise physiology; Adult; Body Temperature Regulation physiology; Cold Temperature; Cross-Over Studies; Heart Rate; Humans; Immersion; Male; Physical Endurance physiology; Task Performance and Analysis</t>
  </si>
  <si>
    <t>The purpose of this study was to compare the effects of two practical precooling techniques (skin cooling vs. skin + core cooling) on cycling time trial performance in warm conditions. Six trained cyclists completed one maximal graded exercise test (VO2(peak) 71.4 +/- 3.2 ml x kg(-1) x min(-1)) and four approximately 40 min laboratory cycling time trials in a heat chamber (34.3 degrees C +/- 1.1 degrees C; 41.2% +/- 3.0% rh) using a fixed-power/variable-power format. Cyclists prepared for the time trial using three techniques administered in a randomised order prior to the warm-up: (1) no cooling (control), (2) cooling jacket for 40 min (jacket) or (3) 30-min water immersion followed by a cooling jacket application for 40 min (combined). Rectal temperature prior to the time trial was 37.8 degrees C +/- 0.1 degrees C in control, similar in jacket (37.8 degrees C +/- 0.3 degrees C) and lower in combined (37.1 degrees C +/- 0.2 degrees C, P &lt; 0.01). Compared with the control trial, time trial performance was not different for jacket precooling (-16 +/- 36 s, -0.7%; P = 0.35) but was faster for combined precooling (-42 +/- 25 s, - .8%; P = 0.009). In conclusion, a practical combined precooling strategy that involves immersion in cool water followed by the use of a cooling jacket can produce decrease in rectal temperature that persist throughout a warm-up and improve laboratory cycling time trial performance in warm conditions.</t>
  </si>
  <si>
    <t>https://search.ebscohost.com/login.aspx?direct=true&amp;db=mdc&amp;AN=18949661&amp;site=ehost-live</t>
  </si>
  <si>
    <t>Pre-exercise carbohydrate status influences carbohydrate-mediated attenuation of post-exercise cytokine responses.</t>
  </si>
  <si>
    <t>Cox AJ; Pyne DB; Cox GR; Callister R; Gleeson M</t>
  </si>
  <si>
    <t>10.1055/s-2008-1038753</t>
  </si>
  <si>
    <t>Bicycling physiology; Cytokines; Dietary Carbohydrates metabolism; Energy Metabolism; Exercise physiology; Nutritional Status; Adult; Blood Glucose; Ergometry instrumentation; Exercise Test; Humans; Male; Oxygen Consumption; Time Factors</t>
  </si>
  <si>
    <t>Most studies investigating the effects of acute carbohydrate (CHO) ingestion on post-exercise cytokine responses have involved fasted athletes. This study characterised the effects of acute CHO beverage ingestion preceded by consumption of a CHO-containing pre-exercise meal. Sixteen highly-trained male cyclists/triathletes (age: 30.6 +/- 5.6 y; V O (2max): 64.8 +/- 4.7 ml . kg . min (-1) [mean +/- SD]) undertook two cycle ergometry trials involving randomised consumption of a 10 % CHO beverage (15 mL . kg (-1) . hr (-1)) or water (H (2)O). Trials were undertaken 2 h after a breakfast providing 2.1 g CHO . kg (-1) body mass (BM) (48 kJ . kg (-1) BM) and consisted of 100 min steady state cycle ergometry at 70 % V O (2max) followed by a time trial of approximately 30 min duration. Blood samples were collected pre-, post- and 1 h post-exercise for measurement of Interleukin (IL)-6, IL-8, IL-10 and IL-1ra. Time-trial performance was not substantially different between CHO and H (2)O trials (4.5 %, p = 0.42). Neither IL-6 nor IL-8 responses were substantially reduced in the CHO compared to the H (2)O trial. There was a substantial reduction in IL-10 (32 %, p = 0.05) and IL-1ra (43 %, p = 0.02) responses at 1 h post-exercise with CHO compared to H (2)O ingestion. In conclusion, the previously shown attenuating effects of CHO ingestion during exercise on cytokine responses appear reduced when athletes consume a CHO-containing pre-exercise meal.</t>
  </si>
  <si>
    <t>https://search.ebscohost.com/login.aspx?direct=true&amp;db=mdc&amp;AN=18615388&amp;site=ehost-live</t>
  </si>
  <si>
    <t>Preparation for football competition at moderate to high altitude.</t>
  </si>
  <si>
    <t>Gore CJ; McSharry PE; Hewitt AJ; Saunders PU</t>
  </si>
  <si>
    <t>18 Suppl 1</t>
  </si>
  <si>
    <t>10.1111/j.1600-0838.2008.00836.x</t>
  </si>
  <si>
    <t>Altitude; Physical Fitness; Soccer; Acclimatization physiology; Humans; Oxygen Consumption</t>
  </si>
  <si>
    <t>Analysis of approximately 100 years of home-and-away South American World Cup matches illustrate that football competition at moderate/high altitude (&gt;2000 m) favors the home team, although this is more than compensated by the likelihood of sea-level teams winning at home against the same opponents who have descended from altitude. Nevertheless, the home team advantage at altitudes above approximately 2000 m may reflect that traditionally, teams from sea level or low altitude have not spent 1-2 weeks acclimatizing at altitude. Despite large differences between individuals, in the first few days at high altitude (e.g. La Paz, 3600 m) some players experience symptoms of acute mountain sickness (AMS) such as headache and disrupted sleep, and their maximum aerobic power (VO2max) is approximately 25% reduced while their ventilation, heart rate and blood lactate during submaximal exercise are elevated. Simulated altitude for a few weeks before competition at altitude can be used to attain partial ventilatory acclimation and ameliorated symptoms of AMS. The variety of simulated altitude exposures usually created with enriched nitrogen mixtures of air include resting or exercising for a few hours per day or sleeping approximately 8 h/night in hypoxia. Preparation for competition at moderate/high altitude by training at altitude is probably superior to simulated exposure; however, the optimal duration at moderate/high altitude is unclear. Preparing for 1-2 weeks at moderate/high altitude is a reasonable compromise between the benefits associated with overcoming AMS and partial restoration of VO2max vs the likelihood of detraining.</t>
  </si>
  <si>
    <t>https://search.ebscohost.com/login.aspx?direct=true&amp;db=mdc&amp;AN=18665956&amp;site=ehost-live</t>
  </si>
  <si>
    <t>Relationships between repeated sprint testing, speed, and endurance.</t>
  </si>
  <si>
    <t>Pyne DB; Saunders PU; Montgomery PG; Hewitt AJ; Sheehan K</t>
  </si>
  <si>
    <t>10.1519/JSC.0b013e318181fe7a</t>
  </si>
  <si>
    <t>Football physiology; Physical Endurance physiology; Running physiology; Adolescent; Exercise Test; Humans; Male</t>
  </si>
  <si>
    <t>Repeated sprint testing is gaining popularity in team sports, but the methods of data analysis and relationships to speed and endurance qualities are not well described. We compared three different methods for analyzing repeated sprint test results, and we quantified relationships between repeated sprints, short sprints, and endurance test scores. Well-trained male junior Australian Football players (n = 60, age 18.1 +/- 0.4 years, height 1.88 +/- 0.07 m, mass 82.0 +/- 8.1 kg; mean +/- SD) completed a 6 x 30-m repeated sprint running test on a 20-second cycle, a 20-m sprint test (short sprint), and the 20-m multistage shuttle run for endurance. Repeated sprint results were evaluated in three ways: total time for all six sprints (TOTAL), percent change from predicted times (PRED) from the fastest 30-m sprint time, and percent change from first to last sprint (CHANGE). We observed a very large decrement (CHANGE 6.3 +/- 0.7%, mean +/- 90% confidence limits) in 30-m performance from the first to last sprint (4.16 +/- 0.10 to 4.42 +/- 0.11 seconds, mean +/- SD). Results from TOTAL were highly correlated with 20-m sprint and 20-m multistage shuttle run tests. Performance decrements calculated by PRED were highly correlated with TOTAL (r = 0.91), but neither method was directly comparable with CHANGE (r = -0.23 and r = 0.12 respectively). TOTAL was moderately correlated with fastest 20-m sprint time (r = 0.66) but not the 20-m multistage shuttle run (r = -0.20). Evaluation of repeated sprint testing is sensitive to the method of data analysis employed. The total sprint time and indices of the relative decrement in performance are not directly interchangeable. Repeated sprint ability seems more related to short sprint qualities than endurance fitness.</t>
  </si>
  <si>
    <t>https://search.ebscohost.com/login.aspx?direct=true&amp;db=mdc&amp;AN=18714221&amp;site=ehost-live</t>
  </si>
  <si>
    <t>Relative importance of strength, power, and anthropometric measures to jump performance of elite volleyball players.</t>
  </si>
  <si>
    <t>Sheppard JM; Cronin JB; Gabbett TJ; McGuigan MR; Etxebarria N; Newton RU</t>
  </si>
  <si>
    <t>10.1519/JSC.0b013e31816a8440</t>
  </si>
  <si>
    <t>Anthropometry; Muscle Strength physiology; Physical Endurance; Volleyball physiology; Adult; Biomechanical Phenomena; Cohort Studies; Female; Humans; Linear Models; Male; Multivariate Analysis; Muscle Contraction physiology; Physical Education and Training methods; Probability; Task Performance and Analysis; Torque; Weight-Bearing</t>
  </si>
  <si>
    <t>The purpose of this investigation was to examine the potential strength, power, and anthropometric contributors to vertical jump performances that are considered specific to volleyball success: the spike jump (SPJ) and counter-movement vertical jump (CMVJ). To assess the relationship among strength, power, and anthropometric variables with CMVJ and SPJ, a correlation and regression analysis was performed. In addition, a comparison of strength, power, and anthropometric differences between the seven best subjects and the seven worst athletes on the CMVJ test and SPJ test was performed. When expressed as body mass relative measures, moderate correlations (0.53-0.65; p &lt; or = 0.01) were observed between the 1RM measures and both relative CMVJ and relative SPJ. Very strong correlations were observed between relative (absolute height-standing reach height) depth jump performance and relative SPJ (0.85; p &lt; or = 0.01) and relative CMVJ (0.93; p &lt;/= 0.01). The single best regression model component for relative CMVJ was the relative depth jump performance, explaining 84% of performance. The single best predictor for relative SPJ was also the relative depth jump performance (72% of performance), with the three-component models of relative depth jump, relative CMVJ, spike jump contribution (percent difference between SPJ and CMVJ), and relative CMVJ, spike jump contribution, and peak force, accounting for 96% and 97%, respectively. The results of this study clearly demonstrate that in an elite population of volleyball players, stretch-shortening cycle performance and the ability to tolerate high stretch loads, as in the depth jump, is critical to performance in the jumps associated with volleyball performance.</t>
  </si>
  <si>
    <t>https://search.ebscohost.com/login.aspx?direct=true&amp;db=mdc&amp;AN=18438243&amp;site=ehost-live</t>
  </si>
  <si>
    <t>Resting plasma and salivary IL-6 concentrations are not correlated in distance runners.</t>
  </si>
  <si>
    <t>Cox AJ; Pyne DB; Gleson M; Callister R</t>
  </si>
  <si>
    <t>10.1007/s00421-008-0722-x</t>
  </si>
  <si>
    <t>Biomarkers blood; Exercise physiology; Interleukin-6 blood; Running physiology; Saliva metabolism; Adult; Female; Humans; Immune System metabolism; Interleukin-6 metabolism; Male; Rest physiology; Sports physiology</t>
  </si>
  <si>
    <t>Measurement of IL-6 has been widely undertaken to examine inflammatory and immune responses to exercise. Use of salivary IL-6 offers an alternative to the invasive collection procedures required for IL-6 measurement in plasma samples. Rarely, however, has the degree of association between plasma and salivary IL-6 been reported. The aim of the current study was to investigate the relationship between resting salivary and plasma IL-6 concentrations in 45 trained distance runners (36 males, 9 females; age: 35.1 +/- 8.0 y, mean +/- SD). Plasma and saliva samples were collected from athletes under resting conditions. Plasma IL-6 concentrations were determined using a Bioplex suspension array system and commercially available reagents. Salivary IL-6 concentrations were determined using a commercially available high-sensitivity ELISA kit. At rest, the mean (+/- SD) plasma IL-6 concentration was 3.43 +/- 3.75 pg mL(-1) compared to a mean salivary IL-6 concentration of 1.80 +/- 4.25 pg mL(-1). IL-6 concentrations in plasma and saliva samples were not correlated (r = -0.031, p = 0.85). At rest, salivary IL-6 concentrations do not reflect plasma IL-6 concentrations. The potential for salivary IL-6 to act as a surrogate marker for plasma IL-6 responses when examining inflammatory and immune responses to exercise, therefore, appears unlikely.</t>
  </si>
  <si>
    <t>https://search.ebscohost.com/login.aspx?direct=true&amp;db=mdc&amp;AN=18351377&amp;site=ehost-live</t>
  </si>
  <si>
    <t>Screening for haematological and iron-related abnormalities in elite athletes-analysis of 576 cases.</t>
  </si>
  <si>
    <t>Fallon KE</t>
  </si>
  <si>
    <t>10.1016/j.jsams.2007.02.017</t>
  </si>
  <si>
    <t>Anemia, Iron-Deficiency diagnosis; Mass Screening; Sports; Adolescent; Adult; Female; Ferritins blood; Humans; Iron blood; Male; Prospective Studies</t>
  </si>
  <si>
    <t>Unlabelled: The aim of this prospective, cohort study was to determine the clinical and performance related utility of haematological and iron-related screening in elite athletes. Three hundred and three male and 273 female elite athletes underwent routine medical screening over a three-year period. In association with a standard medical consultation, a full blood count and iron-related variables were measured. Ten male athletes had a serum ferritin less than 30ng/mL and satisfied AIS criteria for iron supplementation. In only one case was a disorder identified which was not expected following the clinical history and examination. Fifty-two female athletes had a serum ferritin less than 30ng/mL and satisfied AIS criteria for iron supplementation. In the females, there were no instances in which a medical condition was identified which was not expected following the clinical history and examination. In both groups, clinically non-significant abnormalities were generally minor or isolated reductions in haemoglobin and/or haematocrit, and alterations in red cell parameters or single measures of iron status. Conclusion: Screening for haematological and iron-related abnormalities in athletes has a low yield. Due to the critical nature of the effects of anaemia and low serum ferritin on some aspects of performance it is reasonable to perform a haemoglobin and a serum ferritin on male and female athletes entering an elite training program. Isolated abnormalities which are close to the limits of their normal ranges and not accompanied by symptoms or signs of illness can almost certainly be ignored.</t>
  </si>
  <si>
    <t>https://search.ebscohost.com/login.aspx?direct=true&amp;db=mdc&amp;AN=17543581&amp;site=ehost-live</t>
  </si>
  <si>
    <t>Seasonal progression and variability of repeat-effort line-drill performance in elite junior basketball players.</t>
  </si>
  <si>
    <t>Montgomery PG; Pyne DB; Hopkins WG; Minahan CL</t>
  </si>
  <si>
    <t>10.1080/02640410701654298</t>
  </si>
  <si>
    <t>Athletic Performance physiology; Basketball physiology; Adolescent; Age Factors; Exercise Test; Female; Humans; Male; Physical Fitness physiology; Sex Factors</t>
  </si>
  <si>
    <t>To determine gender differences, positional differences, and patterns of change in the performance of the basketball line-drill test, 93 male (mean age 16.8 years, s = 1.1) and 95 female (mean age 16.5 years, s = 1.0) basketball players undertook 516 line-drill tests over a 5-year period. Log-transformed performance times were analysed using a mixed model that included quadratic within-participant fixed effects for time in the season and time in the programme. Changes and differences were standardized for interpretation of magnitudes. Mean performance times were 28.0 s (s = 1.3) for males and 30.4 s (s = 1.3) for females. The mean pattern of change in performance within a season differed substantially between the sexes and playing positions: male guards and female centres showed moderate to very large improvements mid-season of 1.1% and 3.5% respectively (90% confidence limits +/-2.1% and +/-3.0%), while female guards and male forwards showed large to very large decrements of -1.6% (+/-2.6%) and -2.4% (+/-2.0%). Over 3 years, males improved performance across all three playing positions by 1.4% (+/-1.3%) and females by 2.9% (+/-1.4%). Males improved performance by 0.2% (+/-0.5%) per year, whereas the performance of females deteriorated by 0.6% (+/-0.4%) per year. The differing patterns of performance change presumably reflect variations in training and competition loads, with short-term fluctuations in performance being managed to promote longer-term improvements.</t>
  </si>
  <si>
    <t>https://search.ebscohost.com/login.aspx?direct=true&amp;db=mdc&amp;AN=18274951&amp;site=ehost-live</t>
  </si>
  <si>
    <t>Sports nutrition and Australian football.</t>
  </si>
  <si>
    <t>10.1123/ijsnem.18.1.96</t>
  </si>
  <si>
    <t>Australia; Football physiology; Nutritional Physiological Phenomena physiology; Soccer physiology; Sports; Australia; Humans</t>
  </si>
  <si>
    <t>https://search.ebscohost.com/login.aspx?direct=true&amp;db=mdc&amp;AN=18320711&amp;site=ehost-live</t>
  </si>
  <si>
    <t>Tape that increases medial longitudinal arch height also reduces leg muscle activity: a preliminary study.</t>
  </si>
  <si>
    <t>Franettovich M; Chapman A; Vicenzino B</t>
  </si>
  <si>
    <t>10.1249/MSS.0b013e318162134f</t>
  </si>
  <si>
    <t>Bandages; Foot anatomy &amp; histology; Leg physiology; Muscle, Skeletal physiology; Posture; Pronation physiology; Walking physiology; Adult; Ankle physiology; Electromyography; Exercise Test; Female; Foot physiology; Gait; Humans; Leg anatomy &amp; histology; Male; Muscle Contraction physiology; Pilot Projects; Weight-Bearing</t>
  </si>
  <si>
    <t>Purpose: : To evaluate the initial effects of antipronation taping (APT) on foot posture and electromyographic (EMG) activity of tibialis anterior (TA), tibialis posterior (TP), and peroneus longus (PL) muscles during walking. Methods: : Five asymptomatic individuals who exhibited lower medial longitudinal arch height on a clinical assessment of gait walked on a treadmill for 10 min before and after the application of an APT technique-specifically, the augmented low-Dye. Arch height (AH) in standing as well as peak and average amplitude, duration, time of onset, and time of offset of recorded EMG activity during walking were analyzed for each condition. Results: : APT produced a mean (95% confidence interval (CI)) increase in AH of 12.9% (6.5-19.3; P = 0.005). Mean (95% CI) reductions in peak and average EMG activation of TA (peak: -23.9% (-34.0 to -13.9); average: -7.8% (-13.6 to -2.0)) and TP (peak: -45.5% (-77.3 to -13.7); average: -21.1% (-41.6 to -0.6)) were observed when walking with APT (P &lt; 0.05). The APT also produced a small increase in duration of TA EMG activity of 3.7% (0.9-6.5) of the stride cycle duration, largely because of an earlier onset of EMG activity (4.4%; -8.1 to -0.8 of a stride cycle; P &lt; 0.05). Conclusion: : APT reduces activity of the TA and TP muscles during walking while increasing AH, which provides preliminary evidence of its role in reducing the load of these key extrinsic muscles of the ankle and the foot. Follow-up study is required to evaluate these findings.</t>
  </si>
  <si>
    <t>https://search.ebscohost.com/login.aspx?direct=true&amp;db=mdc&amp;AN=18317390&amp;site=ehost-live</t>
  </si>
  <si>
    <t>The clinical utility of screening of biochemical parameters in elite athletes: analysis of 100 cases.</t>
  </si>
  <si>
    <t>10.1136/bjsm.2007.041137</t>
  </si>
  <si>
    <t>Biomarkers metabolism; Mass Screening statistics &amp; numerical data; Sports physiology; Adolescent; Adult; Female; Hemochromatosis diagnosis; Humans; Hyperlipidemias diagnosis; Male; Prospective Studies; Vascular Diseases diagnosis</t>
  </si>
  <si>
    <t>Objective: To determine the clinical utility of screening for biochemical parameters in elite athletes. Design: A prospective sequential case series. Setting: The Department of Sports Medicine at the Australian Institute of Sport. Participants: 100 elite athletes from 11 sports (56 male and 44 female athletes, mean age 19 years, range 16-27), undergoing routine medical screening. Intervention: Initial and follow-up assessment of the following biochemical parameters in association with clinical assessment; serum iron, ferritin, transferrin, percent transferrin saturation, sodium, potassium, chloride, calcium, magnesium, phosphate, urate, urea and creatinine, total protein, albumin, creatine kinase (CK), lactate dehydrogenase, aspartate aminotransaminase (AST), alanine aminotransferase, alkaline phosphatase, gamma-glutamyl transpeptidase, total bilirubin, cholesterol and triglycerides (non-fasting), and random glucose. Results: 18 athletes showed no abnormalities on biochemical screening. 194 abnormal results were found in 82 athletes. 115 abnormalities were noted in 46 male and 79 in 36 female athletes. In 43 individual tests, the results did not return to normal on repeat testing. The most common abnormalities were increases in AST (27%), phosphate (13%), CK (13%), urea (12%) and bilirubin (12%). Three cases of hypercholesterolaemia and one case of haemochromatosis were identified, and one athlete, who was asymptomatic, was diagnosed with Epstein-Barr virus infection, which was suspected because of an abnormal liver function test. The other abnormalities found appeared not to be of clinical significance. Conclusion: Most abnormalities found on routine biochemical screening in elite athletes are of no clinical significance, therefore such testing should, if used only for clinical purposes, be abandoned. When athletes are tested for iron status it would be prudent to include assessment of serum cholesterol in those with a family history of hyperlipidaemia.</t>
  </si>
  <si>
    <t>https://search.ebscohost.com/login.aspx?direct=true&amp;db=mdc&amp;AN=18070805&amp;site=ehost-live</t>
  </si>
  <si>
    <t>The effect of recovery strategies on physical performance and cumulative fatigue in competitive basketball.</t>
  </si>
  <si>
    <t>Montgomery PG; Pyne DB; Hopkins WG; Dorman JC; Cook K; Minahan CL</t>
  </si>
  <si>
    <t>10.1080/02640410802104912</t>
  </si>
  <si>
    <t>Basketball physiology; Competitive Behavior; Muscle Fatigue physiology; Muscle, Skeletal physiology; Physical Endurance physiology; Adult; Exercise Test; Health Status Indicators; Humans; Immersion; Male; Muscle Contraction; Stockings, Compression; Task Performance and Analysis</t>
  </si>
  <si>
    <t>To evaluate the effectiveness of recovery strategies on physical performance during a 3-day tournament style basketball competition, 29 male players (mean age 19.1 years, s= 2.1; height 1.84 m, s= 0.34; body mass 88.5 kg, s= 14.7) were assigned to one of three treatment groups: carbohydrate+stretching (7.7 g kg(-1) day(-1), s= 1.7; 'n = 9), cold water immersion (11 degrees C, 5 x 1; n = 10) or full leg compression garments (18 mmHg, approximately 18 h; n = 10). Effects of the recovery strategies on pre-post tournament performance tests were expressed as the mean change (% +/- standard deviation of the change score). Changes and differences were standardized for accumulated game time, assessed against the smallest worthwhile change for each test, and reported qualitatively. Accumulated fatigue was evident over the tournament with small to moderate impairments in performance tests. Sprint and agility performance decreased by 0.7% (s = 1.3) and 2.0% (s = 1.9) respectively. Vertical jump decreased substantially after the first day for all treatments, and remained suppressed post-tournament. Cold water immersion was substantially better in maintaining 20-m acceleration with only a 0.5% (s = 1.4) reduction in 20-m time after 3 days compared with a 3.2% (s = 1.6) reduction for compression. Cold water immersion (-1.4%, s = 1.7) and compression (-1.5%, s = 1.7) showed similar substantial benefits in maintaining line-drill performance over the tournament, whereas carbohydrate+stretching elicited a 0.4% (s =1.8) reduction. Sit-and-reach flexibility decreased for all groups, although cold water immersion resulted in the smallest reduction in flexibility. Basketball tournament play elicited small to moderate impairments in physical test performance. In conclusion, cold water immersion appears to promote better restoration of physical performance measures than carbohydrate + stretching routines and compression garments.</t>
  </si>
  <si>
    <t>https://search.ebscohost.com/login.aspx?direct=true&amp;db=mdc&amp;AN=18608847&amp;site=ehost-live</t>
  </si>
  <si>
    <t>Training repeated effort ability in national team male volleyball players.</t>
  </si>
  <si>
    <t>Sheppard JM; Gabbett T; Borgeaud R</t>
  </si>
  <si>
    <t>10.1123/ijspp.3.3.397</t>
  </si>
  <si>
    <t>Athletic Performance physiology; Exercise physiology; Volleyball physiology; Adolescent; Humans; Male; Young Adult</t>
  </si>
  <si>
    <t>Purpose: This case study evaluated the effect of repeated lateral movement and jumping training on repeated effort ability in a group of national team male volleyball players. Methods: Twelve volleyball players were assessed on their volleyball-specific repeated movement and jumping abilities using a volleyball-specific repeated effort test (RET) before and after 12 weeks of training. The athletes performed between 8 and 9 volleyball training sessions per week, with 5 to 6 of these sessions including specific training aimed at improving repeated effort ability. Typically these training sessions involved 8 to 12 repetitions of 2 to 3 block jumps over a 9-m lateral distance (ie, the athletes had to perform jumps and lateral movements, typical of front court play in volleyball). Population-specific repeatability data were used to determine whether any changes that may have occurred in this study were beyond the minimal clinically important difference (MCID) for this testing procedure. Results: Improvements in all variables of the RET were observed for each athlete involved in the study, with a small-to-moderate magnitude observed for the mean changes in each variable (Cohen's d, 0.21 to 0.59). All of the improvements in the results exceeded the MCID. Conclusions: These findings demonstrate that the RET is sensitive to training-induced changes. Lateral movement speed and repeated lateral movement speed, as well as jumping and repeated jumping ability are trainable qualities in high-performance volleyball players.</t>
  </si>
  <si>
    <t>https://search.ebscohost.com/login.aspx?direct=true&amp;db=mdc&amp;AN=19211951&amp;site=ehost-live</t>
  </si>
  <si>
    <t>Vitamin D status of females in an elite gymnastics program.</t>
  </si>
  <si>
    <t>Lovell G</t>
  </si>
  <si>
    <t>10.1097/JSM.0b013e3181650eee</t>
  </si>
  <si>
    <t>Australia; Gymnastics physiology; Vitamin D blood; Adolescent; Australia; Calcium, Dietary; Child; Cross-Sectional Studies; Diet Surveys; Female; Fractures, Stress physiopathology; Fractures, Stress prevention &amp; control; Humans; Nutritional Status</t>
  </si>
  <si>
    <t>Objective: Vitamin D plays an important role in calcium and bone metabolism. In Australia it has been assumed that all young athletes have good vitamin D levels. A survey of females in an elite gymnastics program was undertaken to determine their vitamin D and dietary calcium status. Design: Cross-sectional survey. Setting: Females in an elite gymnastics program at the Australian Institute of Sport. Participants and Outcome Measures: Eighteen female gymnasts aged 10-17 years were assessed for vitamin D status (serum 25[OH]D) and dietary calcium intake. Results: Fifteen were found to have levels below current recommended guidelines for optimal bone health (&lt;75 nmol/L). Six had vitamin D levels below 50 nmol/L. Thirteen of the gymnasts also had daily dietary calcium intakes below the daily recommended intake for their age. Conclusions: Gymnasts and possibly other indoor athletes should be carefully reviewed for vitamin D and calcium status.</t>
  </si>
  <si>
    <t>https://search.ebscohost.com/login.aspx?direct=true&amp;db=mdc&amp;AN=18332692&amp;site=ehost-live</t>
  </si>
  <si>
    <t>A biomechanical comparison of dominant and non-dominant arm throws for speed and accuracy.</t>
  </si>
  <si>
    <t>Sachlikidis A; Salter C</t>
  </si>
  <si>
    <t>10.1080/14763140701491294</t>
  </si>
  <si>
    <t>Arm physiology; Functional Laterality physiology; Range of Motion, Articular physiology; Sports physiology; Task Performance and Analysis; Adult; Biomechanical Phenomena methods; Humans; Male</t>
  </si>
  <si>
    <t>Training a non-dominant limb may increase a competitor's ability to perform with either side of his or her body and confer an advantage over competitors that use one side of the body exclusively. The aim of this study was to determine the kinematic differences between dominant and non-dominant arm throwing techniques for speed and accuracy in Under-17 and Under-19 high-performance cricketers. Seven participants performed ten throws for each arm (dominant/non-dominant) and condition (speed/accuracy) at a target positioned 10 m in front of them. Three-dimensional kinematic variables were measured using a Vicon motion analysis system. Digital footage was used to calculate stride data, ball speed, and record target accuracy. Data were analysed using repeated-measures analysis of variance and chi-squared tests. The non-dominant arm throws had significantly lower maximum lead knee lift, did not extend the lead knee in the arm acceleration phase, had significantly less elbow flexion before extension, had significantly less shoulder external rotation at the start of the arm acceleration phase, did not have a delay between the initiation of pelvic and upper torso internal rotation, and displayed a less than optimal coordination pattern. A speed-accuracy trade-off existed for the dominant arm throws. No trade-off was identified for the non-dominant arm throws. Through an enhanced understanding of how throwing technique varies between dominant and non-dominant arms, an opportunity exists for a performance-enhancing programme to be implemented so that ambidexterity of the throwing skill can be improved.</t>
  </si>
  <si>
    <t>https://search.ebscohost.com/login.aspx?direct=true&amp;db=mdc&amp;AN=17933196&amp;site=ehost-live</t>
  </si>
  <si>
    <t>A profile of sports science research (1983-2003).</t>
  </si>
  <si>
    <t>Williams SJ; Kendall LR</t>
  </si>
  <si>
    <t>10.1016/j.jsams.2006.07.016</t>
  </si>
  <si>
    <t>Australia; Research statistics &amp; numerical data; Sports physiology; Australia; Biomechanical Phenomena; Humans; Research Design; Sports psychology; Sports Medicine</t>
  </si>
  <si>
    <t>A majority of sports science research is undertaken in universities and dedicated research centres, such as institutes of sport. Reviews of literature analysing and categorising research have been carried out, but categories identified have been limited to research design and data gathering techniques. Hence there is a need to include categories such as discipline, subjects and targeted sport. A study was conducted using document analysis method to gather data that described and categorised performance-based sports science research projects in Australian universities and institutes of sport. An instrument was designed that could be used by researchers to analyse and profile research in the area of sports science. The instrument contained six categories: targeted sport, primary study area, participant type, research setting, methodology and data gathering techniques. Research documents analysed consisted of 725 original unpublished research reports/theses. Results showed that over two-thirds of research projects were targeted to specific sports and, of this group, nearly half involved four sports: cycling, rowing, athletics and swimming. Overall, physiology was the most researched scientific discipline. The most frequently used research method was experimental design, and the most frequently used data gathering technique was physiological (performance) measures. Two-thirds of research was conducted in laboratory settings, and nearly half of the research was conducted with elite or sub-elite athletes as participants/subjects. The findings of this study provide an overall synopsis of performance-based sports science research conducted in Australia over the last 20 years, and should be of considerable importance in the ongoing development of sports science research policy in Australia.</t>
  </si>
  <si>
    <t>https://search.ebscohost.com/login.aspx?direct=true&amp;db=mdc&amp;AN=17000134&amp;site=ehost-live</t>
  </si>
  <si>
    <t>An integrated physiological and performance profile of professional tennis.</t>
  </si>
  <si>
    <t>Hornery DJ; Farrow D; Mujika I; Young W</t>
  </si>
  <si>
    <t>10.1136/bjsm.2006.031351</t>
  </si>
  <si>
    <t>Adaptation, Physiological physiology; Physical Endurance physiology; Physical Exertion physiology; Tennis physiology; Adult; Biomechanical Phenomena; Body Temperature physiology; Body Weight; Cross-Over Studies; Humans; Male; Probability; Statistics, Nonparametric; Task Performance and Analysis</t>
  </si>
  <si>
    <t>Objective: To describe the physiological responses to tournament tennis in relation to prevailing environmental conditions, match notation, and skills that underpin performance. Design: 14 male professional tennis players (mean (SD) age, 21.4 (2.6) years; height, 183.0 (6.9) cm; body mass, 79.2 (6.4) kg) were studied while contesting international tennis tournaments. Environmental conditions, match notation, physiological (core temperature, hydration status, heart rate, blood variables), and performance indices (serve kinematics, serve velocity, error rates) were recorded. Results: Hard and clay court tournaments elicited similar peak core temperature (38.9 (0.3) v 38.5 (0.6) degrees C) and average heart rate (152 (15) v 146 (19) beats/min) but different body mass deficit (1.05 (0.49) v 0.32 (0.56)%, p&lt;0.05). Average pre-match urine specific gravity was 1.022 (0.004). Time between points was longer during hard court matches (25.1 (4.3) v 17.2 (3.3) s, p&lt;0.05). Qualitative analysis of first and second serves revealed inverse relations between the position of the tossing arm at ball release and the position of the ball toss and progressive match time (respectively, r = -0.74 and r = -0.73, p&lt;0.05) and incurred body mass deficit (r = 0.73 and r = 0.73, p&lt;0.05). Conclusions: Participants began matches in a poor state of hydration, and experienced moderate thermoregulatory strain and dehydration during competition. These adverse physiological conditions may compromise performance and influence notational analyses.</t>
  </si>
  <si>
    <t>https://search.ebscohost.com/login.aspx?direct=true&amp;db=mdc&amp;AN=17472999&amp;site=ehost-live</t>
  </si>
  <si>
    <t>Bicarbonate loading to enhance training and competitive performance.</t>
  </si>
  <si>
    <t>Burke LM; Pyne DB</t>
  </si>
  <si>
    <t>10.1123/ijspp.2.1.93</t>
  </si>
  <si>
    <t>Bicarbonates therapeutic use; Competitive Behavior; Dietary Supplements; Exercise Tolerance physiology; Sports physiology; Sports Medicine; Humans</t>
  </si>
  <si>
    <t>Bicarbonate loading is a popular ergogenic aid used primarily by athletes in short-duration, high-intensity sporting events and competitions. Controlled experimental trials have shown that small (worthwhile) benefits can obtained from acute doses of bicarbonate taken before exercise. Gastrointestinal problems encountered by some athletes limit the widespread use of this practice, however. The transfer of positive research findings to the competitive environment has proved problematic for some individuals. More recent applications involve serial ingestion of bicarbonate over several days before competition or during high-intensity training sessions over a few weeks. A number of research questions need to be addressed to enhance applications of bicarbonate loading in the elite sport environment. This commentary examines some of research and practical issues of bicarbonate loading used to enhance both training and competitive performance.</t>
  </si>
  <si>
    <t>https://search.ebscohost.com/login.aspx?direct=true&amp;db=mdc&amp;AN=19255457&amp;site=ehost-live</t>
  </si>
  <si>
    <t>Blood tests in tired elite athletes: expectations of athletes, coaches and sport science/sports medicine staff.</t>
  </si>
  <si>
    <t>10.1136/bjsm.2006.030999</t>
  </si>
  <si>
    <t>Australia; Fatigue blood; Sports; Attitude; Australia; Fatigue etiology; Humans; Prospective Studies</t>
  </si>
  <si>
    <t>Background: The issue of the expectations of elite athletes, their coaches and non-medically qualified athlete support staff of consultations with sports physicians has not been previously dealt with in the sports medicine literature. As fulfillment of expectations of the content of a consultation may influence patient's satisfaction and clinical outcome, it is important to assess the expectations of athletes and, most importantly, coaches. Objective: To assess the expectations and beliefs about fatigue, particularly in relation to blood tests, of athletes, their coaches and support staff in the specific context of tiredness of &lt;7 days' duration. Subjects: 28 senior sports science or non-medically qualified sports medicine staff, 22 elite coaches and 62 elite athletes from the Australian Institute of Sport were included in this study. Methods: A single questionnaire. Results: The expectation for a blood test at the initial consultation for short-term fatigue was particularly high among athletes (81%) and coaches (91%). This expectation increased in athletes if their performance was worsening. All groups unanimously suggested that a blood test be performed in cases of more prolonged fatigue. Increase in total training load was perceived to be the most important cause of fatigue, but issues relating to sleep were also thought to be highly relevant. All groups suggested that blood tests provide some degree of reassurance, and all groups suggested that the most important blood tests that might be performed related to exclusion of iron deficiency, anaemia and infection. Conclusion: Athletes and their coaches generally expect that blood tests will be performed even when fatigue has been present for &lt;1 week. This is at odds with currently available evidence of the diagnostic utility of these tests. Despite the current evidence base, individual factors in the athletes, coaches and doctors need to be considered when deciding on whether such testing has to be performed.</t>
  </si>
  <si>
    <t>https://search.ebscohost.com/login.aspx?direct=true&amp;db=mdc&amp;AN=17062653&amp;site=ehost-live</t>
  </si>
  <si>
    <t>Caffeine, carbohydrate, and cooling use during prolonged simulated tennis.</t>
  </si>
  <si>
    <t>Hornery DJ; Farrow D; Mujika I; Young WB</t>
  </si>
  <si>
    <t>10.1123/ijspp.2.4.423</t>
  </si>
  <si>
    <t>Adaptation, Physiological physiology; Caffeine therapeutic use; Cold Temperature; Dietary Carbohydrates therapeutic use; Exercise Tolerance physiology; Heat Stress Disorders prevention &amp; control; Muscle Fatigue physiology; Tennis physiology; Adolescent; Adult; Dietary Supplements; Heat Stress Disorders etiology; Humans; Male; Task Performance and Analysis; Time Factors; Young Adult</t>
  </si>
  <si>
    <t>Purpose: To determine the effects of prolonged simulated tennis on performance and the ergogenic potential of caffeine, carbohydrates, and cooling. Methods: Twelve highly trained male tennis players (age 18.3 +/- 3.0 y, height 178.8 +/- 8.5 cm, body mass 73.95 +/- 12.30 kg, mean +/- SD) performed 4 simulated matches (2 h 40 min) against a ball machine on an indoor hard court. The counterbalanced experimental trials involved caffeine supplementation (3 mg/kg), carbohydrate supplementation (6% solution), precooling and intermittent cooling, and placebo control. Physiological markers (core temperature, heart rate, blood lactate, and blood glucose), subjective responses (ratings of perceived exertion and thermal sensation), stroke velocity and accuracy, serve kinematics, and tennis-specific perceptual skill quantified the efficacy of interventions. Results: Significant effects of time (P &lt; .01) reflected increased physiological demand, reduced serve velocity and ground-stroke velocity and accuracy, and a slowing of the serve racket-arm acceleration phase. Caffeine increased serve velocity (165 +/- 15 km/h) in the final set of the match (P = .014) compared with placebo (159 +/- 15 km/h, P = .008) and carbohydrate (158 +/- 13 km/h, P = .001) conditions. Carbohydrate and cooling conditions afforded physiological advantage (increased blood glucose, P &lt; .01, and reduced preexercise thermal sensation, P &lt; .01) but did not affect performance relative to the placebo condition. Conclusions: Prolonged simulated tennis induced significant decrements in tennis skills. Caffeine supplementation partly attenuated the effects of fatigue and increased serve velocity. In contrast, carbohydrate and cooling strategies had little ergogenic effect on tennis performance.</t>
  </si>
  <si>
    <t>https://search.ebscohost.com/login.aspx?direct=true&amp;db=mdc&amp;AN=19171960&amp;site=ehost-live</t>
  </si>
  <si>
    <t>Canoe slalom--competition analysis reliability.</t>
  </si>
  <si>
    <t>10.1080/14763140701324842</t>
  </si>
  <si>
    <t>Data Collection methods; Sports; Time and Motion Studies; Competitive Behavior; Female; Humans; Male; Observer Variation; Reproducibility of Results; Ships; Video Recording</t>
  </si>
  <si>
    <t>The aim of this study was to assess intra-observer and inter-observer reliability of data gathered from a lapsed-time time-motion analysis of canoe slalom competition. The data were collected using a definition set developed in conjunction with elite canoe slalom coaches. Competition runs from four national-standard paddlers in a national selection race were analysed in random order three times by three observers. For each run, observers identified various events specific to canoe slalom, including time taken between gates, touched and missed gates, turn times, major and minor avoidance, rolls, paddle in and out of water times, and stroke classification. The error of measurement was determined for each of these variables. For time taken between gates and turn times, the error was &lt; or = 0.21 and &lt; or = 0.39 s for intra-observer and inter-observer analysis, respectively. The error for stroke in and out of water times was &lt; or = 0.08 and &lt; or = 0.13 s for intra-observer and inter-observer analysis, respectively. Analysis of stroke classification identification for intra-observer comparisons revealed that 91% of the time identical stroke identification occurred. Inter-observer analysis revealed identical stroke identification was achieved 81% of the time. These reliability data compare favourably with previous time-motion analysis in other sports using fewer variables.</t>
  </si>
  <si>
    <t>https://search.ebscohost.com/login.aspx?direct=true&amp;db=mdc&amp;AN=17892093&amp;site=ehost-live</t>
  </si>
  <si>
    <t>Cytokine responses to treadmill running in healthy and illness-prone athletes.</t>
  </si>
  <si>
    <t>Cox AJ; Pyne DB; Saunders PU; Callister R; Gleeson M</t>
  </si>
  <si>
    <t>10.1249/mss.0b013e318149f2aa</t>
  </si>
  <si>
    <t>United States; Cytokines blood; Disease Susceptibility; Respiratory Tract Infections blood; Running; Sports; Adult; Case-Control Studies; Exercise Test; Humans; Male; United States</t>
  </si>
  <si>
    <t>Purpose: To characterize differences in cytokine responses to exercise of different intensities and durations between healthy and illness-prone runners. Methods: Trained distance runners were classified as healthy (no more than two episodes of upper-respiratory symptoms per year; N = 10) or illness-prone (four or more episodes per year; N = 8) and completed three treadmill tests: SHORT (30 min, 65% VO2max), LONG (60 min, 65% VO2max), and INTENSE (6 x 3 min, 90% VO2max). Blood samples were collected pre-, post-, 1 h, 10 h, and 24 h after exercise, and interleukin (IL)-2, IL-4, IL-6, IL-8, IL-10, IL-12, and IL-1ra concentrations were determined. Repeated-measures ANOVA was used to assess changes in cytokine responses to exercise. Magnitudes of changes and differences between groups were characterized using Cohen's effect size (ES) criteria. Results: Resting IL-8, IL-10, and IL-1ra concentrations were 19-38% lower (ES:0.38-0.96; small to moderate differences) in illness-prone runners. Similarly, postexercise IL-10 concentrations were 13-20% lower (ES: 0.20-0.37; small differences), and IL-1ra concentrations were 10-20% lower (ES: 0.22-0.38; small differences) in illness-prone subjects. In contrast, IL-6 elevations were 84-185% higher (ES: 0.29-0.59, small differences) in illness-prone subjects. Postexercise responses of IL-2, IL-4, and IL-12 were small and not substantially different between the groups. Conclusions: Cytokine responses to controlled treadmill running differ between healthy and illness-prone athletes. Illness-prone distance runners showed evidence suggestive of impaired inflammatory regulation in the hours after exercise that may account for the greater frequency of upper-respiratory symptoms experienced.</t>
  </si>
  <si>
    <t>https://search.ebscohost.com/login.aspx?direct=true&amp;db=mdc&amp;AN=17986898&amp;site=ehost-live</t>
  </si>
  <si>
    <t>Development of a repeated-effort test for elite men's volleyball.</t>
  </si>
  <si>
    <t>Sheppard JM; Gabbett T; Taylor KL; Dorman J; Lebedew AJ; Borgeaud R</t>
  </si>
  <si>
    <t>10.1123/ijspp.2.3.292</t>
  </si>
  <si>
    <t>Exercise Test; Leg physiology; Muscle Contraction physiology; Muscle Fatigue physiology; Muscle, Skeletal physiology; Volleyball physiology; Adult; Competitive Behavior; Exercise Tolerance; Humans; Internationality; Male; Reproducibility of Results</t>
  </si>
  <si>
    <t>Purpose: The authors conducted a study to develop a repeated-effort test for international men's volleyball. The test involved jumping and movement activity that was specific to volleyball, using durations and rest periods that replicated the demands of a match. Methods: A time-motion analysis was performed on a national team and development national team during international matches to determine the demands of competition and thereby form the basis of the rationale in designing the repeated-effort test. An evaluation of the test for reliability and validity in discriminating between elite and sub-elite players was performed. Results: The test jump height and movement-speed test parameters were highly reliable, with findings of high intraclass correlations (ICCs) and low typical errors of measurement (TE; ICC .93 to .95 and %TE 0.54 to 2.44). The national team's ideal and actual jump height and ideal and actual speeds, mean +/- SD, were 336.88 +/- 8.31 cm, 329.91 +/- 6.70 cm, 6.83 +/- 0.34 s, and 7.14 +/- 0.34 s, respectively. The development national team's ideal and actual jump heights and ideal and actual speeds were 330.88 +/- 9.09 cm, 323.80 +/- 7.74 cm, 7.41 +/- 0.56 s, and 7.66 +/- 0.56 s, respectively. Probabilities of differences between groups for ideal jump, actual jump, ideal time, and actual time were 82%, 95%, 92%, and 96%, respectively, with a Cohen effect-size statistic supporting large magnitudes (0.69, 0.84, 1.34, and 1.13, respectively). Conclusion: The results of this study demonstrate that the developed test offers a reliable and valid method of assessing repeated-effort ability in volleyball players.</t>
  </si>
  <si>
    <t>https://search.ebscohost.com/login.aspx?direct=true&amp;db=mdc&amp;AN=19168929&amp;site=ehost-live</t>
  </si>
  <si>
    <t>Effect of long haul travel on maximal sprint performance and diurnal variations in elite skeleton athletes.</t>
  </si>
  <si>
    <t>Bullock N; Martin DT; Ross A; Rosemond D; Marino FE</t>
  </si>
  <si>
    <t>10.1136/bjsm.2006.033233</t>
  </si>
  <si>
    <t>Circadian Rhythm physiology; Hydrocortisone metabolism; Jet Lag Syndrome physiopathology; Running physiology; Sports physiology; Adult; Aircraft; Female; Humans; Male; Running psychology; Saliva chemistry; Surveys and Questionnaires</t>
  </si>
  <si>
    <t>Objective: To quantify the impact of eastward long haul travel on diurnal variations in cortisol, psychological sensations and daily measurements of physical performance. Methods: Five elite Australian skeleton athletes undertook a long haul eastward flight from Australia to Canada (LH(travel)), while seven elite Canadian skeleton athletes did not travel (NO(travel)). Salivary cortisol was measured on awakening, 60 min and 120 min after awakening. Psychological sensations were measured with a questionnaire, and maximal 30 m sprints were performed once a day between 09:30 and 11:00 h local time. Results: Compared with baseline, average (SD) resting salivary cortisol decreased by 67% immediately after long haul travel (23.43 (5.71) nMol/l) (mean+/-90% confidence interval) in the LH(travel) group (p = 0.03), while no changes were found in the NO(travel) group (p = 0.74). There were no significant differences in 30 m sprint time between baseline and post-flight tests in the LH(travel) group (p&gt;0.05). The LH(travel) group perceived themselves as "jet lagged" for up to 2 days after the flight (p = 0.01 for both midday lunch and evening dinner). Conclusions: Despite a distinct phase change in salivary cortisol rhythmicity and the athletes perceiving themselves as "jet lagged", minimal disturbances in "one-off" maximal sprinting ability between 09:30 and 11:00 h local time were seen in a group of elite skeleton athletes after long haul eastward travel from Australia to Canada.</t>
  </si>
  <si>
    <t>https://search.ebscohost.com/login.aspx?direct=true&amp;db=mdc&amp;AN=17473002&amp;site=ehost-live</t>
  </si>
  <si>
    <t>Fatigue in tennis: mechanisms of fatigue and effect on performance.</t>
  </si>
  <si>
    <t>10.2165/00007256-200737030-00002</t>
  </si>
  <si>
    <t>Fatigue physiopathology; Motor Skills physiology; Tennis physiology; Brain physiopathology; Dehydration physiopathology; Fever physiopathology; Humans; Hypoglycemia physiopathology; Physical Endurance physiology</t>
  </si>
  <si>
    <t>This article reviews research sourced through sport science and medical journal databases (SportDiscus and PubMed) that has attempted to quantify the effects of fatigue on tennis performance. Specific physiological perturbations and their effects on common performance measures, such as stroke velocity and accuracy, are discussed. Current literature does not convincingly support anecdotal assertions of overt performance decrements during prolonged matches or matches played during unfavourable (e.g. hot and humid) environmental conditions. The constraints of field-based research have presented, and continue to present, a methological challenge to investigators within this domain. Limitations of previous investigations have included the following: (i) a restricted measurement approach to the multifaceted skills that form the basis of match performance; (ii) a lack of sensitivity and large variability in skill or performance measures; (iii) usage of non tennis-specific methods to induce fatigue; and (iv) fatigue levels failing to reflect those recorded in match play. Hyperthermia, dehydration and hypoglycaemia have all been identified as common challenges to sustained performance proficiency in tennis, with emerging evidence suggesting central fatigue may also be a key stressor. Mixed results underpin attempts to mitigate physiological compromise and in situ performance deterioration through application of potential ergogenetic strategies (e.g. carbohydrate and caffeine supplementation, and hyperhydration). Methodological limitations are again a likely explanation, but positive findings from other skill-based sports should encourage further research in tennis. To date, tennis has largely relied on traditional methods to measure performance and has not yet realised the benefits of new sports science methods. Future research is encouraged to adopt methodological approaches that capture the multi-dimensional nature of tennis. This can be achieved through the incorporation of multifaceted performance assessment (i.e. perceptual-cognitive and biomechanical measurement approaches), the improvement of measurement sensitivity in the field setting and through the use of experimental settings that accurately simulate the energetic demands of match play.</t>
  </si>
  <si>
    <t>https://search.ebscohost.com/login.aspx?direct=true&amp;db=mdc&amp;AN=17326696&amp;site=ehost-live</t>
  </si>
  <si>
    <t>Fluid and food intake during professional men's and women's road-cycling tours.</t>
  </si>
  <si>
    <t>Ebert TR; Martin DT; Stephens B; McDonald W; Withers RT</t>
  </si>
  <si>
    <t>10.1123/ijspp.2.1.58</t>
  </si>
  <si>
    <t>Adaptation, Physiological; Bicycling physiology; Dehydration; Eating physiology; Feeding Behavior physiology; Nutritional Status; Adult; Analysis of Variance; Body Mass Index; Drinking physiology; Energy Metabolism; Female; Humans; Male</t>
  </si>
  <si>
    <t>Purpose: To quantify the fluid and food consumed during a men's and women's professional road-cycling tour. Methods: Eight men (age 25 +/- 5 y, body mass 71.4 +/- 7.4 kg, and height 177.4 +/- 4.5 cm) and 6 women (age 26 +/- 4 y, body mass 62.5 +/- 5.6 kg, and height 170.4 +/- 5.2 cm) of the Australian Institute of Sport Road Cycling squads participated in the study. The men competed in the 6-d Tour Down Under (Adelaide, Australia), and the women, in the 10-d Tour De L'Aude (Aude, France). Body mass was recorded before and immediately after the race. Cyclists recalled the number of water bottles and amount of food they had consumed. Results: Men and women recorded body-mass losses of approximately 2 kg (2.8% body mass) and 1.5 kg (2.6% body mass), respectively, per stage during the long road races. Men had an average fluid intake of 1.0 L/h, whereas women only consumed on average 0.4 L/h. In addition, men consumed CHO at the rate suggested by dietitians (average CHO intake of 48 g/h), but again the women failed to reach recommendations, with an average intake of approximately 21 g/h during a road stage. Conclusions: Men appeared to drink and eat during racing in accordance with current nutritional recommendations, but women failed to reach these guidelines. Both men and women finished their races with a body-mass loss of approximately 2.6% to 2.8%. Further research is required to determine the impact of this loss on road-cycling performance and thermoregulation.</t>
  </si>
  <si>
    <t>https://search.ebscohost.com/login.aspx?direct=true&amp;db=mdc&amp;AN=19255455&amp;site=ehost-live</t>
  </si>
  <si>
    <t>Influence of hydration status on thermoregulation and cycling hill climbing.</t>
  </si>
  <si>
    <t>Ebert TR; Martin DT; Bullock N; Mujika I; Quod MJ; Farthing LA; Burke LM; Withers RT</t>
  </si>
  <si>
    <t>10.1249/01.mss.0000247000.86847.de</t>
  </si>
  <si>
    <t>Altitude; Bicycling physiology; Body Temperature Regulation; Dehydration; Health Status; Physical Endurance physiology; Adult; Body Mass Index; Exercise Test; Fatigue complications; Fatigue physiopathology; Heart Rate; Humans; Male; Prospective Studies</t>
  </si>
  <si>
    <t>Purpose: Although dehydration can impair endurance performance, a reduced body mass may benefit uphill cycling by increasing the power-to-mass ratio. This study examined the effects of a reduction in body mass attributable to unreplaced sweat losses on simulated cycling hill-climbing performance in the heat. Methods: Eight well-trained male cyclists (mean +/- SD: 28.4 +/- 5.7 yr; 71.0 +/- 5.9 kg; 176.7 +/- 4.7 cm; VO2peak: 66.2 +/- 5.8 mL x kg(-1) x min(-1)) completed a maximal graded cycling test on a stationary ergometer to determine maximal aerobic power (MAP). In a randomized crossover design, cyclists performed a 2-h ride at 53% MAP on a stationary ergometer, immediately followed by a cycling hill-climb time-to-exhaustion trial (88% MAP) on their own bicycle on an inclined treadmill (8%) at approximately 30 degrees C. During the 2-h ride, they consumed either 2.4 L of a 7% carbohydrate (CHO) drink (HIGH) or 0.4 L of water (LOW) with sport gels to match for CHO content. Results: After the 2-h ride and before the hill climb, drinking strategies influenced body mass (LOW -2.5 +/- 0.5% vs HIGH 0.3 +/- 0.4%; P &lt; 0.001), HR (LOW 158 +/- 15 vs HIGH 146 +/- 15 bpm; P = 0.03), and rectal temperature (T(re): LOW 38.9 +/- 0.2 vs HIGH 38.3 +/- 0.2 degrees C; P = 0.001). Despite being approximately 1.9 kg lighter, time to exhaustion was significantly reduced by 28.6 +/- 13.8% in the LOW treatment (LOW 13.9 +/- 5.5 vs HIGH 19.5 +/- 6.0 min, P = 0.002), as was the power output for a fixed speed (LOW 308 +/- 28 vs HIGH 313 +/- 28 W, P = 0.003). At exhaustion, T(re) was higher in the LOW treatment (39.5 vs HIGH 39.1 degrees C; P &lt; 0.001), yet peak HR, blood lactate, and glucose were similar. Conclusion: Exercise-induced dehydration in a warm environment is detrimental to laboratory cycling hill-climbing performance despite reducing the power output required for a given speed.</t>
  </si>
  <si>
    <t>https://search.ebscohost.com/login.aspx?direct=true&amp;db=mdc&amp;AN=17277597&amp;site=ehost-live</t>
  </si>
  <si>
    <t>Influence of nutrient intake after weigh-in on lightweight rowing performance.</t>
  </si>
  <si>
    <t>Slater GJ; Rice AJ; Sharpe K; Jenkins D; Hahn AG</t>
  </si>
  <si>
    <t>10.1249/01.mss.0000240319.16029.5f</t>
  </si>
  <si>
    <t>Australia; Energy Intake; Exercise Test; Task Performance and Analysis; Adolescent; Adult; Australia; Biomechanical Phenomena; Body Weight; Ergometry; Humans; Male; Ships</t>
  </si>
  <si>
    <t>Purpose: The aim of the present study was to compare the effectiveness of different nutritional recovery strategies between weigh-in and racing on 2000-m rowing ergometer performance among oarsmen undertaking short-term weight loss before competition. Methods: Competitive rowers (N = 12) completed four ergometer trials, each separated by 48 h. No weight restrictions were imposed for the first trial (TR1). Thereafter, athletes were required to reduce their body mass by 5.2% in the 24 h before trial 2 (TR2), again reaching this body mass before the final two trials (TR3 and TR4). Athletes were provided with one of three nutritional recovery strategies in the 2 h between weigh-in and racing in a counterbalanced fashion according to a Latin square design: fluid (2.8 kJ.kg(-1), 0.0 g.kg(-1) carbohydrate, 0.6 mg.kg(-1) sodium, 28.5 mL.kg(-1) fluid; FLU), carbohydrate/sodium (45.3 kJ.kg(-1), 2.2 g.kg(-1) carbohydrate, 32.9 mg.kg(-1) sodium, 7.2 mL.kg(-1) fluid; CHO), and a combination of water and carbohydrate/sodium (44.8 kJ.kg(-1), 2.3 g.kg(-1) carbohydrate, 33 mg.kg(-1) sodium, 28.5 mL.kg(-1) fluid; COM). Results: Performance was slower for CHO compared with both COM (mean difference, 4.13; 95% CI, 1.37-6.88 s; P = 0.003) and FLU (2.88; 95% CI, 0.13-5.63 s; P = 0.039). However, FLU was not significantly slower than COM (1.24; 95% CI, -1.41 to 3.90 s; P = 0.474). Conclusions: The present investigation has shown that although carbohydrate and sodium intake may be important in the recovery period between weigh-in and 2000-m rowing ergometer performance, fluid intake has a greater influence on performance among lightweight male rowers who undertake short-term weight loss to achieve specified body-mass limits.</t>
  </si>
  <si>
    <t>https://search.ebscohost.com/login.aspx?direct=true&amp;db=mdc&amp;AN=17218901&amp;site=ehost-live</t>
  </si>
  <si>
    <t>Maximal torque- and power-pedaling rate relationships for elite sprint cyclists in laboratory and field tests.</t>
  </si>
  <si>
    <t>Gardner AS; Martin JC; Martin DT; Barras M; Jenkins DG</t>
  </si>
  <si>
    <t>10.1007/s00421-007-0498-4</t>
  </si>
  <si>
    <t>Bicycling physiology; Physical Endurance physiology; Torque; Humans; Male</t>
  </si>
  <si>
    <t>Performance models provide an opportunity to examine cycling in a broad parameter space. Variables used to drive such models have traditionally been measured in the laboratory. The assumption, however, that maximal laboratory power is similar to field power has received limited attention. The purpose of the study was to compare the maximal torque- and power-pedaling rate relationships during "all-out" sprints performed on laboratory ergometers and on moving bicycles with elite cyclists. Over a 3-day period, seven male (mean +/- SD; 180.0 +/- 3.0 cm; 86.2 +/- 6.1 kg) elite track cyclists completed two maximal 6 s cycle ergometer trials and two 65 m sprints on a moving bicycle; calibrated SRM powermeters were used and data were analyzed per revolution to establish torque- and power-pedaling rate relationships, maximum power, maximum torque and maximum pedaling rate. The inertial load of our laboratory test was (37.16 +/- 0.37 kg m(2)), approximately half as large as the field trials (69.7 +/- 3.8 kg m(2)). There were no statistically significant differences between laboratory and field maximum power (1791 +/- 169; 1792 +/- 156 W; P = 0.863), optimal pedaling rate (128 +/- 7; 129 +/- 9 rpm; P = 0.863), torque-pedaling rate linear regression slope (-1.040 +/- 0.09; -1.035 +/- 0.10; P = 0.891) and maximum torque (266 +/- 20; 266 +/- 13 Nm; P = 0.840), respectively. Similar torque- and power-pedaling rate relationships were demonstrated in laboratory and field settings. The findings suggest that maximal laboratory data may provide an accurate means of modeling cycling performance.</t>
  </si>
  <si>
    <t>https://search.ebscohost.com/login.aspx?direct=true&amp;db=mdc&amp;AN=17562069&amp;site=ehost-live</t>
  </si>
  <si>
    <t>Movement discrimination after intra-articular local anaesthetic of the ankle joint.</t>
  </si>
  <si>
    <t>Down S; Waddington G; Adams R; Thomson M</t>
  </si>
  <si>
    <t>10.1136/bjsm.2006.031468</t>
  </si>
  <si>
    <t>Anesthetics, Local administration &amp; dosage; Ankle Injuries drug therapy; Lidocaine administration &amp; dosage; Proprioception drug effects; Range of Motion, Articular drug effects; Adolescent; Adult; Anesthetics, Local adverse effects; Ankle Injuries prevention &amp; control; Area Under Curve; Athletic Injuries prevention &amp; control; Cross-Over Studies; Double-Blind Method; Female; Follow-Up Studies; Humans; Injections, Intra-Articular; Lidocaine adverse effects; Male; Movement drug effects; Pain Measurement drug effects; Probability; Prospective Studies; Range of Motion, Articular physiology; Reference Values; Risk Assessment</t>
  </si>
  <si>
    <t>Background: The effect on clinical safety of dampening articular mechanoreceptor feedback at the ankle is unknown. Injection of the ankle joint for pain control may result in such dampening. Athletes receiving intra-articular local anaesthetic may therefore be at increased risk of sustaining ankle injuries, which are a common reason for missed sporting participation. Objective: To determine the effect of intra-articular local anaesthetic on movement discrimination at the ankle joint. Design: Prospective, randomised, double-blinded, placebo-controlled, cross-over trial. Setting: Australian Institute of Sport Medical Centre, Canberra, Australia. Patients: Twenty two healthy subjects (44 ankles) aged 18-26 were recruited for the three visits of the study. Interventions: Subjects were tested for their initial movement discrimination scores using the active movement extent discrimination apparatus (AMEDA). They then received ultrasound-guided intra-articular injections of local anaesthetic (2% lignocaine hydrochloride) or normal saline, on two separate later occasions, before further AMEDA assessment. Main Outcome Measures: Change in movement discrimination scores after intra-articular injection of local anaesthetic or saline. Results: Movement discrimination scores were not significantly different from control ankles after injection of either local anaesthetic or saline into the ankle joint. Conclusions: The intra-articular injection of neither 2 ml lignocaine nor an equivalent amount of normal saline resulted in significant effects on movement discrimination at the ankle joint. These results suggest that injections of local anaesthetic into the ankle joint are unlikely to significantly affect proprioception and thereby increase injury risk.</t>
  </si>
  <si>
    <t>https://search.ebscohost.com/login.aspx?direct=true&amp;db=mdc&amp;AN=17341587&amp;site=ehost-live</t>
  </si>
  <si>
    <t>New issues in training and nutrition: train low, compete high?</t>
  </si>
  <si>
    <t>Current sports medicine reports</t>
  </si>
  <si>
    <t>10.1007/s11932-007-0018-7</t>
  </si>
  <si>
    <t>Current Science Inc</t>
  </si>
  <si>
    <t>Dietary Carbohydrates administration &amp; dosage; Physical Education and Training methods; Adaptation, Physiological; Dietary Fats administration &amp; dosage; Glycogen metabolism; Humans; Muscle, Skeletal metabolism</t>
  </si>
  <si>
    <t>https://search.ebscohost.com/login.aspx?direct=true&amp;db=mdc&amp;AN=19202658&amp;site=ehost-live</t>
  </si>
  <si>
    <t>Nonhematological mechanisms of improved sea-level performance after hypoxic exposure.</t>
  </si>
  <si>
    <t>Gore CJ; Clark SA; Saunders PU</t>
  </si>
  <si>
    <t>10.1249/mss.0b013e3180de49d3</t>
  </si>
  <si>
    <t>Acclimatization physiology; Altitude; Erythropoiesis physiology; Hypoxia prevention &amp; control; Physical Endurance physiology; Physical Fitness physiology; Sports physiology; Task Performance and Analysis; Adaptation, Physiological; Erythrocytes; Humans; Hypoxia blood; Mitochondria physiology; Oxygen Consumption physiology</t>
  </si>
  <si>
    <t>Altitude training has been used regularly for the past five decades by elite endurance athletes, with the goal of improving performance at sea level. The dominant paradigm is that the improved performance at sea level is due primarily to an accelerated erythropoietic response due to the reduced oxygen available at altitude, leading to an increase in red cell mass, maximal oxygen uptake, and competitive performance. Blood doping and exogenous use of erythropoietin demonstrate the unequivocal performance benefits of more red blood cells to an athlete, but it is perhaps revealing that long-term residence at high altitude does not increase hemoglobin concentration in Tibetans and Ethiopians compared with the polycythemia commonly observed in Andeans. This review also explores evidence of factors other than accelerated erythropoiesis that can contribute to improved athletic performance at sea level after living and/or training in natural or artificial hypoxia. We describe a range of studies that have demonstrated performance improvements after various forms of altitude exposures despite no increase in red cell mass. In addition, the multifactor cascade of responses induced by hypoxia includes angiogenesis, glucose transport, glycolysis, and pH regulation, each of which may partially explain improved endurance performance independent of a larger number of red blood cells. Specific beneficial nonhematological factors include improved muscle efficiency probably at a mitochondrial level, greater muscle buffering, and the ability to tolerate lactic acid production. Future research should examine both hematological and nonhematological mechanisms of adaptation to hypoxia that might enhance the performance of elite athletes at sea level.</t>
  </si>
  <si>
    <t>https://search.ebscohost.com/login.aspx?direct=true&amp;db=mdc&amp;AN=17805094&amp;site=ehost-live</t>
  </si>
  <si>
    <t>Nutrition for distance events.</t>
  </si>
  <si>
    <t>Burke LM; Millet G; Tarnopolsky MA</t>
  </si>
  <si>
    <t>25 Suppl 1</t>
  </si>
  <si>
    <t>S29</t>
  </si>
  <si>
    <t>10.1080/02640410701607239</t>
  </si>
  <si>
    <t>Dietary Carbohydrates administration &amp; dosage; Nutritional Requirements; Running physiology; Walking physiology; Athletic Performance; Caffeine administration &amp; dosage; Central Nervous System Stimulants administration &amp; dosage; Dietary Carbohydrates metabolism; Dietary Proteins; Dietary Supplements; Female; Humans; Iron; Male; Physical Endurance physiology; Sex Factors; Water-Electrolyte Balance</t>
  </si>
  <si>
    <t>The goal of training is to prepare the distance athlete to perform at his or her best during major competitions. Whatever the event, nutrition plays a major role in the achievement of various factors that will see a runner or walker take the starting line in the best possible form. Everyday eating patterns must supply fuel and nutrients needed to optimize their performance during training sessions and to recover quickly afterwards. Carbohydrate and fluid intake before, during, and after a workout may help to reduce fatigue and enhance performance. Recovery eating should also consider issues for adaptation and the immune system that may involve intakes of protein and some micronutrients. Race preparation strategies should include preparation of adequate fuel stores, including carbohydrate loading for prolonged events such as the marathon or 50-km walk. Fluid and carbohydrate intake during races lasting an hour or more should also be considered. Sports foods and supplements of value to distance athletes include sports drinks and liquid meal supplements to allow nutrition goals to be achieved when normal foods are not practical. While caffeine is an ergogenic aid of possible value to distance athletes, most other supplements are of minimal benefit.</t>
  </si>
  <si>
    <t>https://search.ebscohost.com/login.aspx?direct=true&amp;db=mdc&amp;AN=18049981&amp;site=ehost-live</t>
  </si>
  <si>
    <t>Nutrition strategies for the marathon : fuel for training and racing.</t>
  </si>
  <si>
    <t>10.2165/00007256-200737040-00018</t>
  </si>
  <si>
    <t>Australian Capital Territory; Dietary Carbohydrates administration &amp; dosage; Nutritional Requirements; Running physiology; Australian Capital Territory; Humans; Physical Exertion physiology</t>
  </si>
  <si>
    <t>Muscle glycogen provides a key fuel for training and racing a marathon. Carbohydrate 'loading' can enhance marathon performance by allowing the competitor to run at their optimal pace for a longer period before fatiguing. For the well trained runner, this may be achieved by tapering exercise over the final days before the marathon and ensuring carbohydrate intakes of 10-12 g/kg/day over the 36-48 hours prior to the race. Sports nutrition guidelines recommend that the runner consumes sufficient carbohydrate to promote restoration of muscle glycogen between training sessions. This strategy should allow the runner to 'train harder' and recover optimally between workouts. A recent hypothesis suggests that runners might 'train smarter' by training with low glycogen stores, since this might promote greater stimulation of the training response. However, there is no evidence that a low carbohydrate diet enhances the outcomes of training or provides benefits as a depletion phase prior to carbohydrate loading. In fact, a low carbohydrate diet may even impair performance if carried out for extended periods. If there are benefits to manipulating glycogen stores for some workouts, this is likely to happen as the natural outcome of the periodisation of the high-volume programme of an elite runner.</t>
  </si>
  <si>
    <t>https://search.ebscohost.com/login.aspx?direct=true&amp;db=mdc&amp;AN=17465604&amp;site=ehost-live</t>
  </si>
  <si>
    <t>Perceptions of elite coaches and sports scientists of the research needs for elite coaching practice.</t>
  </si>
  <si>
    <t>Williams SJ; Kendall L</t>
  </si>
  <si>
    <t>10.1080/02640410701245550</t>
  </si>
  <si>
    <t>Australia; Athletic Performance education; Athletic Performance psychology; Perception; Physical Education and Training; Sports Medicine education; Teaching; Australia; Biomechanical Phenomena; Data Collection; Female; Humans; Interviews as Topic; Male; Needs Assessment; Research</t>
  </si>
  <si>
    <t>A major objective of sports scientists and elite coaches is the enhancement of athletic performance. Despite this common goal, there is a general perception that research in sports science does not meet the needs of coaches. A study using survey and interview examined the perceptions of elite coaches and sports science researchers in Australia regarding the research needs of elite coaching. Congruence was found between coaches and researchers regarding research practice at the elite level. Both groups held common perceptions on the importance and application of research, the methods by which research questions are determined, and the qualities valued in elite coaches and sports science researchers. However, elite coaches perceived a need for more research in the area of sports psychology, dissemination of research findings via coaching clinics and sports-specific magazines, and the use of more appropriate "lay" language in information dissemination.</t>
  </si>
  <si>
    <t>https://search.ebscohost.com/login.aspx?direct=true&amp;db=mdc&amp;AN=17852663&amp;site=ehost-live</t>
  </si>
  <si>
    <t>Physiological responses to exercise on different models of the concept II rowing ergometer.</t>
  </si>
  <si>
    <t>Vogler AJ; Rice AJ; Withers RT</t>
  </si>
  <si>
    <t>10.1123/ijspp.2.4.360</t>
  </si>
  <si>
    <t>Adaptation, Physiological; Exercise Test; Exercise Tolerance physiology; Lactic Acid blood; Muscle Contraction physiology; Oxygen Consumption physiology; Ships; Adult; Analysis of Variance; Cross-Over Studies; Female; Humans; Male; Muscle, Skeletal physiology; Time Factors</t>
  </si>
  <si>
    <t>Purpose: The Concept II model C (IIC) rowing ergometer was replaced by the Concept II model D (IID), but the design modifications of the updated ergometer might alter resistance characteristics and rowing technique, thereby potentially influencing ergometer test results. This study evaluated the physiological response to rowing on the IIC and IID ergometers during a submaximal progressive incremental test and maximal-performance time trial. Methods: Eight national-level rowers completed submaximal and maximal tests on the IIC and IID ergometers separated by 48 to 72 h. Physiological responses and calculated blood lactate thresholds (LT1 and LT2) were compared between ergometer models (IIC vs IID) using standardized drag-factor settings. Results: Power output, oxygen consumption, rowing economy (mL O2 . min-1 . W-1), heart rate, blood lactate concentration, stroke rate, and rating of perceived exertion all displayed similar responses regardless of ergometer model. Calculated physiological values equivalent to LT1 and LT2 were also similar between models, except for blood lactate concentration at LT, which displayed a small but statistically significant difference (P = .02) of 0.2 mmol/L. Conclusions: The physiological response when rowing on IIC and IID ergometers is nearly identical, and testing can therefore be carried out on either ergometer and the results directly compared.</t>
  </si>
  <si>
    <t>https://search.ebscohost.com/login.aspx?direct=true&amp;db=mdc&amp;AN=19171954&amp;site=ehost-live</t>
  </si>
  <si>
    <t>Pseudohyperaldosteronism in an elite triathlete.</t>
  </si>
  <si>
    <t>Fallon KE; Lovell G</t>
  </si>
  <si>
    <t>10.1097/JSM.0b013e31803202b8</t>
  </si>
  <si>
    <t>Australian Capital Territory; Dietary Supplements adverse effects; Pseudohypoaldosteronism physiopathology; Sports; Adult; Australian Capital Territory; Humans; Male; Pseudohypoaldosteronism etiology</t>
  </si>
  <si>
    <t>https://search.ebscohost.com/login.aspx?direct=true&amp;db=mdc&amp;AN=17620793&amp;site=ehost-live</t>
  </si>
  <si>
    <t>The effect of acute simulated moderate altitude on power, performance and pacing strategies in well-trained cyclists.</t>
  </si>
  <si>
    <t>Clark SA; Bourdon PC; Schmidt W; Singh B; Cable G; Onus KJ; Woolford SM; Stanef T; Gore CJ; Aughey RJ</t>
  </si>
  <si>
    <t>10.1007/s00421-007-0554-0</t>
  </si>
  <si>
    <t>Acclimatization physiology; Altitude; Bicycling physiology; Energy Transfer physiology; Oxygen Consumption physiology; Physical Exertion physiology; Physical Fitness physiology; Task Performance and Analysis; Adult; Humans; Male</t>
  </si>
  <si>
    <t>Athletes regularly compete at 2,000-3,000 m altitude where peak oxygen consumption (VO2peak) declines approximately 10-20%. Factors other than VO2peak including gross efficiency (GE), power output, and pacing are all important for cycling performance. It is therefore imperative to understand how all these factors and not just VO2peak are affected by acute hypobaric hypoxia to select athletes who can compete successfully at these altitudes. Ten well-trained, non-altitude-acclimatised male cyclists and triathletes completed cycling tests at four simulated altitudes (200, 1,200, 2,200, 3,200 m) in a randomised, counter-balanced order. The exercise protocol comprised 5 x 5-min submaximal efforts (50, 100, 150, 200 and 250 W) to determine submaximal VO2 and GE and, after 10-min rest, a 5-min maximal time-trial (5-minTT) to determine VO2peak and mean power output (5-minTT(power)). VO2peak declined 8.2 +/- 2.0, 13.9 +/- 2.9 and 22.5 +/- 3.8% at 1,200, 2,200 and 3,200 m compared with 200 m, respectively, P &lt; 0.05. The corresponding decreases in 5-minTT(power) were 5.8 +/- 2.9, 10.3 +/- 4.3 and 19.8 +/- 3.5% (P &lt; 0.05). GE during the 5-minTT was not different across the four altitudes. There was no change in submaximal VO2 at any of the simulated altitudes, however, submaximal efficiency decreased at 3,200 m compared with both 200 and 1,200 m. Despite substantially reduced power at simulated altitude, there was no difference in pacing at the four altitudes for athletes whose first trial was at 200 or 1,200 m; whereas athletes whose first trial was at 2,200 or 3,200 m tended to mis-pace that effort. In conclusion, during the 5-minTT there was a dose-response effect of hypoxia on both VO2peak and 5-minTT(power) but no effect on GE.</t>
  </si>
  <si>
    <t>https://search.ebscohost.com/login.aspx?direct=true&amp;db=mdc&amp;AN=17882451&amp;site=ehost-live</t>
  </si>
  <si>
    <t>The effect of contrast water therapy on symptoms of delayed onset muscle soreness.</t>
  </si>
  <si>
    <t>Vaile JM; Gill ND; Blazevich AJ</t>
  </si>
  <si>
    <t>10.1519/R-19355.1</t>
  </si>
  <si>
    <t>Hydrotherapy methods; Muscle, Skeletal physiology; Pain prevention &amp; control; Adult; Analysis of Variance; Creatine Kinase blood; Cross-Over Studies; Female; Humans; Leg physiology; Male; Pain Measurement; Treatment Outcome</t>
  </si>
  <si>
    <t>This study examined the effect of contrast water therapy (CWT) on the physiological and functional symptoms of delayed onset muscle soreness (DOMS) following DOMS-inducing leg press exercise. Thirteen recreational athletes performed 2 experimental trials separated by 6 weeks in a randomized crossover design. On each occasion, subjects performed a DOMS-inducing leg press protocol consisting of 5 x 10 eccentric contractions (180 seconds recovery between sets) at 140% of 1 repetition maximum (1RM). This was followed by a 15-minute recovery period incorporating either CWT or no intervention, passive recovery (PAS). Creatine kinase concentration (CK), perceived pain, thigh volume, isometric squat strength, and weighted jump squat performance were measured prior to the eccentric exercise, immediately post recovery, and 24, 48, and 72 hours post recovery. Isometric force production was not reduced below baseline measures throughout the 72-hour data collection period following CWT ( approximately 4-10%). However, following PAS, isometric force production (mean +/- SD) was 14.8 +/- 11.4% below baseline immediately post recovery (p &lt; 0.05), 20.8 +/- 15.6% 24 hours post recovery (p &lt; 0.05), and 22.5 +/- 12.3% 48 hours post recovery (p &lt; 0.05). Peak power produced during the jump squat was significantly reduced (p &lt; 0.05) following both PAS (20.9 +/- 13.4%) and CWT (12.8 +/- 8.0%), with the mean reduction in power for PAS being marginally (not significantly) greater than for CWT (effect size = 0.76). Thigh volume measured immediately following CWT was significantly less than PAS. No significant differences in the changes in CK were found; in addition, there were no significant (p &gt; 0.01) differences in perceived pain between treatments. Contrast water therapy was associated with a smaller reduction, and faster restoration, of strength and power measured by isometric force and jump squat production following DOMS-inducing leg press exercise when compared to PAS. Therefore, CWT seems to be effective in reducing and improving the recovery of functional deficiencies that result from DOMS, as opposed to passive recovery.</t>
  </si>
  <si>
    <t>https://search.ebscohost.com/login.aspx?direct=true&amp;db=mdc&amp;AN=17685683&amp;site=ehost-live</t>
  </si>
  <si>
    <t>Variability of erythropoietin response to sleeping at simulated altitude: a cycling case study.</t>
  </si>
  <si>
    <t>Garvican LA; Martin DT; Clark SA; Schmidt WF; Gore CJ</t>
  </si>
  <si>
    <t>10.1123/ijspp.2.3.327</t>
  </si>
  <si>
    <t>Acclimatization physiology; Altitude; Bicycling physiology; Computer Simulation; Erythropoietin biosynthesis; Sleep physiology; Adaptation, Physiological; Adult; Exercise Tolerance physiology; Humans; Male; Muscle Contraction physiology; Oximetry; Oxygen Consumption</t>
  </si>
  <si>
    <t>https://search.ebscohost.com/login.aspx?direct=true&amp;db=mdc&amp;AN=19168933&amp;site=ehost-live</t>
  </si>
  <si>
    <t>Acute weight loss followed by an aggressive nutritional recovery strategy has little impact on on-water rowing performance.</t>
  </si>
  <si>
    <t>Slater G; Rice AJ; Tanner R; Sharpe K; Gore CJ; Jenkins DG; Hahn AG</t>
  </si>
  <si>
    <t>10.1136/bjsm.2005.019604</t>
  </si>
  <si>
    <t>Dietary Supplements; Physical Fitness physiology; Sports physiology; Weight Loss physiology; Adolescent; Adult; Body Weight physiology; Female; Humans; Male</t>
  </si>
  <si>
    <t>Objectives: To assess the influence of moderate, acute weight loss on on-water rowing performance when aggressive nutritional recovery strategies were used in the two hours between weigh in and racing. Methods: Competitive rowers (n = 17) undertook three on-water 1800 m time trials under cool conditions (mean (SD) temperature 8.4 (2.0) degrees C), each separated by 48 hours. No weight limit was imposed for the first time trial--that is, unrestricted body mass (UNR1). However, one of the remaining two trials followed a 4% loss in body mass in the previous 24 hours (WT(-4%)). No weight limit was imposed for the other trial (UNR2). Aggressive nutritional recovery strategies (WT(-4%), 2.3 g/kg carbohydrate, 34 mg/kg Na+, and 28.4 ml/kg fluid; UNR, ad libitum) were used in the first 90 minutes of the two hours between weigh in and performance trials. Results: WT(-4%) had only a small and statistically non-significant effect on the on-water time trial performance (mean 1.0 second, 95% confidence interval (CI) -0.9 to 2.8; p = 0.29) compared with UNR. This was despite a significant decrease in plasma volume at the time of weigh in for WT(-4%) compared with UNR (-9.2%, 95% CI -12.8% to -5.6%; p&lt;0.001). Conclusions: Acute weight loss of up to 4% over 24 hours, when combined with aggressive nutritional recovery strategies, can be undertaken with minimal impact on on-water rowing performance, at least in cool conditions.</t>
  </si>
  <si>
    <t>https://search.ebscohost.com/login.aspx?direct=true&amp;db=mdc&amp;AN=16371492&amp;site=ehost-live</t>
  </si>
  <si>
    <t>Agility literature review: classifications, training and testing.</t>
  </si>
  <si>
    <t>Sheppard JM; Young WB</t>
  </si>
  <si>
    <t>10.1080/02640410500457109</t>
  </si>
  <si>
    <t>Movement physiology; Sports physiology; Acceleration; Anthropometry; Cognition physiology; Humans; Leg physiology; Muscle Strength physiology; Running physiology</t>
  </si>
  <si>
    <t>At present, no agreement on a precise definition of agility within the sports science community exists. The term is applied to a broad range of sport contexts, but with such great inconsistency, it further complicates our understanding of what trainable components may enhance agility. A new definition of agility is proposed: "a rapid whole-body movement with change of velocity or direction in response to a stimulus". Agility has relationships with trainable physical qualities such as strength, power and technique, as well as cognitive components such as visual-scanning techniques, visual-scanning speed and anticipation. Agility testing is generally confined to tests of physical components such as change of direction speed, or cognitive components such as anticipation and pattern recognition. New tests of agility that combine physical and cognitive measures are encouraged.</t>
  </si>
  <si>
    <t>https://search.ebscohost.com/login.aspx?direct=true&amp;db=mdc&amp;AN=16882626&amp;site=ehost-live</t>
  </si>
  <si>
    <t>AIS 25th birthday gala dinner.</t>
  </si>
  <si>
    <t>SPHS-1036922</t>
  </si>
  <si>
    <t>Australian Sports Commission</t>
  </si>
  <si>
    <t>Monograph or government document</t>
  </si>
  <si>
    <t>SPECIAL events; AUSTRALIA; PROGRAMS; AUSTRALIAN Sports Commission; AUSTRALIAN Institute of Sport; HISTORY</t>
  </si>
  <si>
    <t>https://search.ebscohost.com/login.aspx?direct=true&amp;db=s3h&amp;AN=SPHS-1036922&amp;site=ehost-live</t>
  </si>
  <si>
    <t>An evaluation of a new test of reactive agility and its relationship to sprint speed and change of direction speed.</t>
  </si>
  <si>
    <t>Sheppard JM; Young WB; Doyle TL; Sheppard TA; Newton RU</t>
  </si>
  <si>
    <t>10.1016/j.jsams.2006.05.019</t>
  </si>
  <si>
    <t>Football physiology; Motor Skills physiology; Movement physiology; Adolescent; Adult; Analysis of Variance; Decision Making; Football psychology; Humans; Male; Observer Variation; Reproducibility of Results; Research Design</t>
  </si>
  <si>
    <t>The purpose of this study was to evaluate the reliability and validity of a new test of agility, the reactive agility test (RAT), which included anticipation and decision-making components in response to the movements of a tester. Thirty-eight Australian football players took part in the study, categorized into either a higher performance group (HPG) (n=24) or lower performance group (LPG) (n=14) based on playing level from the previous season. All participants undertook testing of a 10m straight sprint (10mSS), a 8-9m change of direction speed test (CODST), and the RAT. Test-retest and inter-tester reliability testing measures were conducted with the LPG. The intra-class correlation (ICC) of the RAT was 0.870, with no significant (p&lt;0.05) difference between the test results obtained on the first and second test sessions using a t-test. A dependent samples t-test revealed no significant (p&lt;0.05) difference between the test results of two different testers with the same population. The HPG were significantly (p=0.001) superior to those of the LPG on the RAT, with no differences observed on any other variable. The RAT is an acceptably reliable test when considering both test-retest reliability, as well as inter-rater reliability. In addition, the test was valid in distinguishing between players of differing performance level in Australian football, while the 10mSS and CODST were not. This result suggests that traditional closed skill sprint and sprint with direction change tests may not adequately distinguish between players of different levels of competition in Australian football.</t>
  </si>
  <si>
    <t>https://search.ebscohost.com/login.aspx?direct=true&amp;db=mdc&amp;AN=16844413&amp;site=ehost-live</t>
  </si>
  <si>
    <t>Anthropometric and strength correlates of fast bowling speed in junior and senior cricketers.</t>
  </si>
  <si>
    <t>Pyne DB; Duthie GM; Saunders PU; Petersen CA; Portus MR</t>
  </si>
  <si>
    <t>10.1519/R-18315.1</t>
  </si>
  <si>
    <t>Body Mass Index; Lower Extremity anatomy &amp; histology; Muscle Strength physiology; Sports physiology; Upper Extremity anatomy &amp; histology; Adolescent; Adult; Body Height physiology; Cross-Sectional Studies; Humans; Lower Extremity physiology; Male; Muscle, Skeletal anatomy &amp; histology; Muscle, Skeletal physiology; Upper Extremity physiology</t>
  </si>
  <si>
    <t>The aim of this study was to characterize relationships between anthropometric and isoinertial strength characteristics and bowling speed in junior and senior cricket fast bowlers. Subjects were first-class senior (n = 24; mean +/- SD age = 23.9 +/- 4.8 years, height = 187.4 +/- 4.8 cm, mass = 87.8 +/- 8.4 kg) and junior representative (n = 48; mean +/- SD age = 14.8 +/- 1.3 years, height = 175.7 +/- 9.8 cm, mass = 65.8 +/- 12.9 kg) male fast bowlers. A full anthropometric profile, upper- and lower-body isoinertial strength tests, and peak bowling speed (Vpeak) were assessed on the same day. The senior bowlers had a substantially faster Vpeak (126.7 km.h(-1)) than the juniors (99.6 km.h(-1)), a larger estimated muscle mass (seniors 40.0 +/- 3.9 kg, juniors 28.3 +/- 5.6 kg), and a greater bench press throw and deltoid throw (all p &lt; 0.01). The best multiple predictors of Vpeak for the junior bowlers were the static jump, bench throw, body mass, percentage muscle mass, and height (multiple-correlation r = 0.86). For the senior bowlers, static jump and arm length correlated positively with Vpeak (multiple-correlation r = 0.74). The 1-legged countermovement jump was negatively correlated with Vpeak in both groups. We conclude that differences in Vpeak between junior and senior bowlers relate primarily to body mass and upper-body strength. However, lower body strength is a more important contributor to Vpeak in senior bowlers.</t>
  </si>
  <si>
    <t>https://search.ebscohost.com/login.aspx?direct=true&amp;db=mdc&amp;AN=16937976&amp;site=ehost-live</t>
  </si>
  <si>
    <t>Applied sport expertise &amp; learning workshop 2005.</t>
  </si>
  <si>
    <t>SPHS-1044489</t>
  </si>
  <si>
    <t>CD-ROM</t>
  </si>
  <si>
    <t>SPORTS sciences; COACHING (Athletics); AUSTRALIAN Institute of Sport; AUSTRALIAN Sports Commission; LEARNING</t>
  </si>
  <si>
    <t>https://search.ebscohost.com/login.aspx?direct=true&amp;db=s3h&amp;AN=SPHS-1044489&amp;site=ehost-live</t>
  </si>
  <si>
    <t>Australian Institute of Sport : celebrating excellence.</t>
  </si>
  <si>
    <t>Nihill, G.; Drane, R.</t>
  </si>
  <si>
    <t>SPHS-1044473</t>
  </si>
  <si>
    <t>Focus Publishing</t>
  </si>
  <si>
    <t>SPORTS; ACHIEVEMENT; SUCCESS; AUSTRALIA; AUSTRALIAN Institute of Sport; HISTORY; MANAGEMENT; BIOGRAPHY</t>
  </si>
  <si>
    <t>Includes profiles on Robert de Castella, Vicki Wilson, Michelle Martin, Luc Longley, Todd Woodbridge, Rechelle Hawkes, Louise Sauvage, Clint Robinson, John Eales, Kate Slatter, Mark Viduka, Glenn McGrath, Shane Kelly, Michael Milton, Bridgit Gusterson, Petria Thomas, Neil Fuller, Michael Klim, Zali Steggall, Simon Fairweather, Alisa Camplin, Kerry Saxby-Junna, Stuart O'Grady, Chantelle Newbery and Lauren Jackson.</t>
  </si>
  <si>
    <t>https://search.ebscohost.com/login.aspx?direct=true&amp;db=s3h&amp;AN=SPHS-1044473&amp;site=ehost-live</t>
  </si>
  <si>
    <t>Clinical utility of blood tests in elite athletes with short term fatigue.</t>
  </si>
  <si>
    <t>10.1136/bjsm.2006.026617</t>
  </si>
  <si>
    <t>Blood Chemical Analysis; Fatigue diagnosis; Sports; Adolescent; Adult; Fatigue blood; Female; Humans; Male; Prospective Studies</t>
  </si>
  <si>
    <t>Objective: To determine, in a population of elite athletes at their initial presentation with tiredness or fatigue, whether a set of haematological and biochemical investigations enhances the diagnostic process over and above the information gained from clinical history and examination. Methods: A sequential series of 50 elite athletes were studied at the initial consultation for a primary complaint of fatigue, tiredness, or a synonym thereof. A standardised clinical history, physical examination, and series of haematological and biochemical test were performed. The effects of the results of the blood tests on the diagnosis made after the clinical history and examination were examined. Results: In only one case did the test results lead to an alteration in diagnosis. Physical examination did not provide any findings that would not have been suspected from the history, except for a number of incidental findings not relevant to the presenting symptom. Discussion: In cases of short term fatigue in elite athletes, a thorough clinical history is mandatory. Physical examination is unlikely to reveal any findings not suspected from the history. Routine ordering of a panel of blood tests at the initial consultation should be discouraged. Unless specifically indicated by the history and examination, investigations are not required at the initial consultation.</t>
  </si>
  <si>
    <t>https://search.ebscohost.com/login.aspx?direct=true&amp;db=mdc&amp;AN=16547143&amp;site=ehost-live</t>
  </si>
  <si>
    <t>Cooling athletes before competition in the heat: comparison of techniques and practical considerations.</t>
  </si>
  <si>
    <t>Quod MJ; Martin DT; Laursen PB</t>
  </si>
  <si>
    <t>10.2165/00007256-200636080-00004</t>
  </si>
  <si>
    <t>Acclimatization physiology; Cold Temperature; Physical Endurance physiology; Sports; Body Temperature physiology; Body Temperature Regulation physiology; Exercise physiology; Hot Temperature adverse effects; Humans; Humidity adverse effects; Oxygen Consumption physiology; Task Performance and Analysis</t>
  </si>
  <si>
    <t>With the general acceptance that high ambient temperature and humidity have a detrimental effect on performance, the topic of whole-body cooling and sport performance has received considerable attention from sport scientists, particularly in the lead up to the relatively hot Olympic games of 1996 in Atlanta, Georgia, USA, and 2004 in Athens, Greece. This trend is likely to continue as athletes begin to prepare for what will likely be another hot Olympic games in 2008 in Beijing, China. To overcome the reduced exercise capacity associated with the heat, a number of precooling methods have been utilised to cool the body prior to exercise, with the greatest benefits likely associated with prolonged endurance-type exercise. An increase in heat storage capacity following a precooling manoeuvre has been suggested as the primary means of delaying fatigue during endurance exercise performance in the heat; the notion being that the increased heat storage capacity will allow an athlete to complete a greater amount of work before a critical body temperature is reached. However, the specific underlying mechanisms responsible for delaying fatigue during exercise in hot ambient conditions remains unclear. While significant research in this area has been completed in the laboratory setting, few studies utilise performance protocols, and even less address the practical and logistical issues associated with precooling an athlete prior to elite competition in the field. This review addresses evidence supporting the use of a precooling manoeuvre prior to endurance exercise, the potential underlying mechanisms responsible for improved endurance performance following precooling, and the practical issues associated with the use of precooling prior to competition for elite athletes.</t>
  </si>
  <si>
    <t>https://search.ebscohost.com/login.aspx?direct=true&amp;db=mdc&amp;AN=16869709&amp;site=ehost-live</t>
  </si>
  <si>
    <t>Effect of interrepetition rest intervals on weight training repetition power output.</t>
  </si>
  <si>
    <t>Lawton TW; Cronin JB; Lindsell RP</t>
  </si>
  <si>
    <t>10.1519/R-13893.1</t>
  </si>
  <si>
    <t>Physical Education and Training methods; Rest physiology; Weight Lifting physiology; Adolescent; Humans; Male; Muscle, Skeletal physiology; Recovery of Function physiology</t>
  </si>
  <si>
    <t>The purpose of this study was to determine the change in weight training repetition power output as a consequence of interrepetition rest intervals. Twenty-six elite junior male basketball and soccer players performed bench presses using a 6 repetition maximum (6RM) load. The power output for each repetition was recorded using a linear encoder sampling each 10 ms (100 Hz). Subjects were assigned to 1 of 3 intervention groups, differentiated by the arrangement of rest intervals within the 6 repetitions: 6 x 1 repetition with 20-second rest periods between each repetition (Singles); 3 x 2 repetitions with 50 seconds between each pair of repetitions (Doubles); or 2 x 3 repetitions with 100 seconds of rest between each 3 repetitions (Triples). A timer was used to ensure that the rest interval and duration to complete all interrepetition interventions was equated across groups (118 seconds). Significantly (p &lt; 0.05) greater repetition power outputs (25-49%) were observed in the later repetitions (4-6) of the Singles, Doubles, and Triples loading schemes. Significantly greater total power output (21.6-25.1%) was observed for all interrepetition rest interventions when compared to traditional continuous 6RM total power output. No significant between-group differences were found (p = 0.96). We conclude that utilizing interrepetition rest intervals enables greater repetition and total power output in comparison to traditional loading parameters.</t>
  </si>
  <si>
    <t>https://search.ebscohost.com/login.aspx?direct=true&amp;db=mdc&amp;AN=16503678&amp;site=ehost-live</t>
  </si>
  <si>
    <t>Energy and carbohydrate for training and recovery.</t>
  </si>
  <si>
    <t>Burke LM; Loucks AB; Broad N</t>
  </si>
  <si>
    <t>10.1080/02640410500482602</t>
  </si>
  <si>
    <t>Energy Metabolism physiology; Physical Fitness physiology; Adult; Dietary Carbohydrates metabolism; Female; Glycogen; Humans; Soccer physiology</t>
  </si>
  <si>
    <t>Soccer players should achieve an energy intake that provides sufficient carbohydrate to fuel the training and competition programme, supplies all nutrient requirements, and allows manipulation of energy or nutrient balance to achieve changes in lean body mass, body fat or growth. Although the traditional culture of soccer has focused on carbohydrate intake for immediate match preparation, top players should adapt their carbohydrate intake on a daily basis to ensure adequate fuel for training and recovery between matches. For players with a mobile playing style, there is sound evidence that dietary programmes that restore and even super-compensate muscle glycogen levels can enhance activity patterns during matches. This will presumably also benefit intensive training, such as twice daily practices. As well as achieving a total intake of carbohydrate commensurate with fuel needs, the everyday diet should promote strategic intake of carbohydrate and protein before and after key training sessions to optimize the adaptations and enhance recovery. The achievement of the ideal physique for soccer is a long-term goal that should be undertaken over successive years, and particularly during the off-season and pre-season. An increase in lean body mass or a decrease in body fat is the product of a targeted training and eating programme. Consultation with a sports nutrition expert can assist soccer players to manipulate energy and nutrient intake to meet such goals. Players should be warned against the accidental or deliberate mismatch of energy intake and energy expenditure, such that energy availability (intake minus the cost of exercise) falls below 125 kJ (30 kcal) per kilogram of fat-free mass per day. Such low energy availability causes disturbances to hormonal, metabolic, and immune function.</t>
  </si>
  <si>
    <t>https://search.ebscohost.com/login.aspx?direct=true&amp;db=mdc&amp;AN=16766497&amp;site=ehost-live</t>
  </si>
  <si>
    <t>Fat and carbohydrate for exercise.</t>
  </si>
  <si>
    <t>Current opinion in clinical nutrition and metabolic care</t>
  </si>
  <si>
    <t>10.1097/01.mco.0000232911.69236.3b</t>
  </si>
  <si>
    <t>Dietary Carbohydrates administration &amp; dosage; Dietary Fats administration &amp; dosage; Exercise physiology; Oxygen Consumption drug effects; Physical Endurance drug effects; Adaptation, Physiological; Dietary Carbohydrates metabolism; Dietary Fats metabolism; Energy Metabolism drug effects; Energy Metabolism physiology; Humans; Muscle, Skeletal metabolism; Physical Endurance physiology</t>
  </si>
  <si>
    <t>Purpose of Review: To examine the results of new investigations that look at the efficacy of nutrient/training strategies on metabolism and athletic performance. Recent Findings: 'Dietary periodization' involves the manipulation of macronutrient intake in association with changes in physical training. Such interventions have a major effect on altering patterns of fuel utilization during exercise; however, they often fail to enhance performance capacity. In contrast, the ingestion of a combination of different types of carbohydrate during exercise results in high rates of muscle glucose oxidation (1.5 g/min) and can improve intense, short-duration (approximately 60 min), and prolonged (&gt;90 min) submaximal steady-state exercise, either by metabolic or neural mechanisms. Summary: Further investigation into the responses of specific nutrient/training strategies on metabolic and cellular signaling pathways is warranted to determine the underlying mechanisms by which such interventions exert their effect. Such studies, however, should be coupled with investigations that assess the outcomes of these responses on the 'real life' training adaptations in athletes.</t>
  </si>
  <si>
    <t>https://search.ebscohost.com/login.aspx?direct=true&amp;db=mdc&amp;AN=16778580&amp;site=ehost-live</t>
  </si>
  <si>
    <t>Impact of two different body mass management strategies on repeat rowing performance.</t>
  </si>
  <si>
    <t>Slater GJ; Rice AJ; Tanner R; Sharpe K; Jenkins D; Hahn AG</t>
  </si>
  <si>
    <t>10.1249/01.mss.0000179903.05365.7a</t>
  </si>
  <si>
    <t>Australian Capital Territory; Exercise; Sports; Task Performance and Analysis; Weight Loss physiology; Adolescent; Adult; Australian Capital Territory; Body Size; Fluid Therapy; Humans; Male</t>
  </si>
  <si>
    <t>Purpose: The present study was conducted to examine the impact of acute weight loss on repeat 2000-m rowing ergometer performance during a simulated multiday regatta, and to compare two different body mass management strategies between races. Methods: Competitive rowers (N = 16) were assigned to either a control (CON), partial recovery (REC(partial)), or complete recovery (REC(complete)) group. Volunteers completed four trials, each separated by 48 h. No weight restrictions were imposed for the first trial. Thereafter, athletes in REC(partial) and REC(complete) were required to reduce their body mass by 4% in the 24 h before trial 2, again reaching this body mass before the final two trials. No weight restrictions were imposed on CON. Aggressive nutritional recovery strategies were used in the 2 h following weigh-in for all athletes. These strategies were maintained for the 12-16 h following racing for REC(complete) with the aim of restoring at least three quarters of the original 4% body mass loss. Postrace recovery strategies were less aggressive in REC(partial); volunteers were encouraged to restore no more than half of their initial 4% body mass loss. Results: Acute weight loss increased time to complete the first "at-weight" performance trial by a small margin (mean 3.0, 95% CI -0.3 to 6.3 s, P = 0.07) when compared with the CON response. This effect decreased when sustained for several days. Aggressive postrace recovery strategies tended to eliminate the effect of acute weight loss on subsequent performance. Conclusion: Acute weight loss resulted in a small performance compromise that was reduced or eliminated when repeated over several days. Athletes should be encouraged to maximize recovery in the 12-16 h following racing when attempting to optimize subsequent performance.</t>
  </si>
  <si>
    <t>https://search.ebscohost.com/login.aspx?direct=true&amp;db=mdc&amp;AN=16394966&amp;site=ehost-live</t>
  </si>
  <si>
    <t>Increased serum erythropoietin but not red cell production after 4 wk of intermittent hypobaric hypoxia (4,000-5,500 m).</t>
  </si>
  <si>
    <t>Gore CJ; Rodríguez FA; Truijens MJ; Townsend NE; Stray-Gundersen J; Levine BD</t>
  </si>
  <si>
    <t>10.1152/japplphysiol.00342.2006</t>
  </si>
  <si>
    <t>Adaptation, Physiological physiology; Altitude; Erythropoiesis physiology; Erythropoietin blood; Hypoxia blood; Double-Blind Method; Erythrocyte Volume physiology; Female; Hematologic Tests; Humans; Male; Running physiology; Swimming physiology</t>
  </si>
  <si>
    <t>This study tested the hypothesis that athletes exposed to 4 wk of intermittent hypobaric hypoxia exposure (3 h/day, 5 days/wk at 4,000-5,500 m) or double-blind placebo increase their red blood cell volume (RCV) and hemoglobin mass (Hbmass) secondary to an increase in erythropoietin (EPO). Twenty-three collegiate level athletes were measured before (Pre) and after (Post) the intervention for RCV via Evans blue (EB) dye and in duplicate for Hbmass using CO rebreathing. Hematological indexes including EPO, soluble transferrin receptor, and reticulocyte parameters were measured on 8-10 occasions spanning the intervention. The subjects were randomly divided among hypobaric hypoxia (Hypo, n = 11) and normoxic (Norm, n = 12) groups. Apart from doubling EPO concentration 3 h after hypoxia there was no increase in any of the measures for either Hypo or Norm groups. The mean change in RCV from Pre to Post for the Hypo group was 2.3% (95% confidence limits = -4.8 to 9.5%) and for the Norm group was -0.2% (-5.7 to 5.3%). The corresponding changes in Hbmass were 1.0% (-1.3 to 3.3%) for Hypo and -0.3% (-2.6 to 3.1%) for Norm. There was good agreement between blood volume (BV) from EB and CO: EB BV = 1.03 x CO BV + 142, r2 = 0.85, P &lt; 0.0001. Overall, evidence from four independent techniques (RCV, Hbmass, reticulocyte parameters, and soluble transferrin receptor) suggests that intermittent hypobaric hypoxia exposure did not accelerate erythropoiesis despite the increase in serum EPO.</t>
  </si>
  <si>
    <t>https://search.ebscohost.com/login.aspx?direct=true&amp;db=mdc&amp;AN=16794028&amp;site=ehost-live</t>
  </si>
  <si>
    <t>Monitoring changes in lean mass of elite male and female swimmers.</t>
  </si>
  <si>
    <t>Pyne DB; Anderson ME; Hopkins WG</t>
  </si>
  <si>
    <t>10.1123/ijspp.1.1.14</t>
  </si>
  <si>
    <t>Body Mass Index; Skinfold Thickness; Swimming physiology; Adolescent; Adult; Female; Humans; Male; Sex Factors; Young Adult</t>
  </si>
  <si>
    <t>Purpose: To characterize within-subject changes in anthropometric characteristics of elite swimmers within and between seasons. Methods: The subjects were 77 elite swimmers (31 females, 46 males, age 15 to 30 years) monitored over 0.4 to 9.2 years. One anthropometrist recorded their body mass (M) and sum of 7 skinfold thicknesses (S) on 2042 occasions over 14 years from phase to phase within a season and over consecutive seasons. We estimated change in lean mass using a newly derived index (LMI) that tracked changes in M controlled for changes in S. Results: The LMI is M/Sx, where x = 0.16 +/- 0.04 for females and 0.15 +/- 0.05 for males (mean +/- SD). The LMI of males increased 1.1% (95% confidence limits +/- 0.2%) between preseason and taper phases, almost twice as much as that of females (0.6% +/- 0.3%). During the same period, M and S fell by approximately 1% and approximately 11%, respectively. From season to season LMI increased by 0.9% (0.8% to 1.0%) for males and 0.5% (0.3% to 0.7%) for females. All these within-subject effects on LMI were well defined (+/-approximately 0.3%). The typical variation (SD) of an individual's LMI was 1.2% for assessments within a season and 1.9% between seasons, with a short-term technical error of measurement of approximately 0.5%. Conclusion: Coaches and conditioners should typically expect a twofold greater increase in lean mass in male swimmers within and between seasons than in females. An LMI of the form M/Sx should be useful for monitoring individual swimmers and athletes in other sports in which body composition affects performance.</t>
  </si>
  <si>
    <t>https://search.ebscohost.com/login.aspx?direct=true&amp;db=mdc&amp;AN=19114734&amp;site=ehost-live</t>
  </si>
  <si>
    <t>Optimising a curriculum for clinical haematology and biochemistry in sports medicine: a Delphi approach.</t>
  </si>
  <si>
    <t>Fallon KE; Trevitt AC</t>
  </si>
  <si>
    <t>10.1136/bjsm.2005.020602</t>
  </si>
  <si>
    <t>Biochemistry education; Hematology education; Sports Medicine education; Curriculum standards; Delphi Technique; Education, Medical, Graduate methods; Humans</t>
  </si>
  <si>
    <t>Objectives: To investigate issues of curriculum in the context of a postgraduate sports medicine training programme, specifically in the field of clinical biochemistry and haematology. Methods: Following the Delphi methodology, a series of sequential questionnaires was administered to curriculum developers, clinical teachers, examiners, and registrars. Results: Agreement on a core syllabus for this subject with an indication of the core aims and objectives of teaching and learning in this field and the associated required skills and competencies. An indication of current and ideal teaching and learning methods and reasons for these preferences. A consensus of key features of a teaching module for this field and of appropriate methods of examination. Conclusions: The data derived from this study, as well as the experience of engaging in it, will better inform curriculum developers, teachers, and students of one another's perceptions as to what is important in and appropriate to teaching and learning in this field of sports medicine. Engagement in the exercise and broader consideration of the outcomes by those who develop the curriculum, teach, and formulate the examination process will facilitate attainment of the ideal of well aligned teaching, learning, and examination in this specific field.</t>
  </si>
  <si>
    <t>https://search.ebscohost.com/login.aspx?direct=true&amp;db=mdc&amp;AN=16432001&amp;site=ehost-live</t>
  </si>
  <si>
    <t>Osteitis pubis and assessment of bone marrow edema at the pubic symphysis with MRI in an elite junior male soccer squad.</t>
  </si>
  <si>
    <t>Lovell G; Galloway H; Hopkins W; Harvey A</t>
  </si>
  <si>
    <t>10.1097/00042752-200603000-00006</t>
  </si>
  <si>
    <t>Bone Marrow pathology; Osteitis pathology; Pubic Symphysis pathology; Soccer injuries; Adolescent; Edema pathology; Humans; Magnetic Resonance Imaging; Male; Osteitis etiology; Pain pathology</t>
  </si>
  <si>
    <t>Objectives: To assess bone marrow edema at the pubic symphysis with magnetic resonance imaging (MRI), and its relation to training and osteitis pubis in an elite group of junior soccer players. Setting: Soccer players on scholarship at the Australian Institute of Sport (AIS). Patients: Nineteen players from an elite junior men's soccer squad. INTERVENTION/ASSESSMENT: Serial MRI examinations of the pubic symphysis over a 4-month training and playing period, training session questionnaire, and review of clinical diagnosis, investigations, and records on presentation of athletes with groin pain at the Department of Sports Medicine. Main Outcome Measures: Assessment of bone marrow edema (4-point scale) on MRI scans, review of athlete questionnaires, and review of clinical records. Results: Initial MRI scans showed moderate to severe bone marrow edema at the pubic symphysis in 11 of the 18 asymptomatic players. There was a greatly decreased risk of developing groin pain (osteitis pubis) with more training prior to entry of the AIS soccer program (odds ratio per 4 sessions of training, 0.003). The correlation between initial bone marrow edema grading and pre-AIS training was small. The increase in bone marrow edema grading from baseline over the scans was 0.5 (90% CL, 0.4). Conclusions: Substantial amounts of bone marrow edema at the pubic symphysis can occur in asymptomatic elite junior soccer players, but it is only weakly related to the development of osteitis pubis. Progressing training loads more slowly in athletes presenting with low current training loads may be a useful strategy for the prevention of osteitis pubis in junior soccer players.</t>
  </si>
  <si>
    <t>https://search.ebscohost.com/login.aspx?direct=true&amp;db=mdc&amp;AN=16603880&amp;site=ehost-live</t>
  </si>
  <si>
    <t>Persistent fatigue in a female sprint cyclist after a talent-transfer initiative.</t>
  </si>
  <si>
    <t>Halson S; Martin DT; Gardner AS; Fallon K; Gulbin J</t>
  </si>
  <si>
    <t>10.1123/ijspp.1.1.65</t>
  </si>
  <si>
    <t>Bicycling physiology; Fatigue physiopathology; Fatigue psychology; Adult; Bicycling psychology; Exercise Test; Female; Humans; Motivation; Physical Education and Training; Sleep Deprivation physiopathology; Stress, Psychological physiopathology</t>
  </si>
  <si>
    <t>https://search.ebscohost.com/login.aspx?direct=true&amp;db=mdc&amp;AN=19114740&amp;site=ehost-live</t>
  </si>
  <si>
    <t>Positional differences in fitness and anthropometric characteristics in Australian football.</t>
  </si>
  <si>
    <t>Pyne DB; Gardner AS; Sheehan K; Hopkins WG</t>
  </si>
  <si>
    <t>10.1016/j.jsams.2005.10.001</t>
  </si>
  <si>
    <t>Australia; Anthropometry; Physical Fitness; Soccer physiology; Adolescent; Adult; Age Factors; Australia; Body Size; Humans; Skinfold Thickness</t>
  </si>
  <si>
    <t>To evaluate the utility of fitness assessment and trends in drafting of players in the Australian Football League, we analysed height, mass, skinfolds, 20-m sprint, vertical jump, agility run and endurance assessed in the 495 players attending the annual national draft camps between 1999 and 2004. Effects of player position and assessment year were expressed as standardised mean differences (Cohen effect sizes) and interpreted qualitatively. Effect of birth month on chance of being drafted, which may be important in team sports, was also analysed. Compared with midfield players, ruckmen, tall forwards and tall defenders were decisively taller (effect-size range 1.33-1.95, large) and heavier (1.30-1.63, large), but had poorer sprint speed (0.23-0.57, small), aerobic ability (0.66-1.18, moderate) and agility (0.64-1.11, moderate). The only substantial changes in fitness scores over the 5-year period were an increase in height (0.76, moderate) and an increase in 20-m sprint time (0.39, small). A majority (65%) of players attending the camps were born in the first half of a given year, but their chance of being drafted (70%) was similar to that of players born in the second half (64%). We conclude that fitness assessment is useful for differentiating between player positions and identifying some annual trends in recruitment in Australian football, and that players with a second half birth month have been disadvantaged with lower representation at the national draft camp.</t>
  </si>
  <si>
    <t>https://search.ebscohost.com/login.aspx?direct=true&amp;db=mdc&amp;AN=16580878&amp;site=ehost-live</t>
  </si>
  <si>
    <t>Power output during a professional men's road-cycling tour.</t>
  </si>
  <si>
    <t>Ebert TR; Martin DT; Stephens B; Withers RT</t>
  </si>
  <si>
    <t>10.1123/ijspp.1.4.324</t>
  </si>
  <si>
    <t>Bicycling; Muscle Contraction; Muscle Strength; Muscle, Skeletal physiology; Physical Endurance; Exercise Test; Humans; Male; Oxygen Consumption; Task Performance and Analysis; Time Factors; Young Adult</t>
  </si>
  <si>
    <t>Purpose: To quantify the power-output demands of men's road-cycling stage racing using a direct measure of power output. Methods: Power-output data were collected from 207 races over 6 competition years on 31 Australian national male road cyclists. Subjects performed a maximal graded exercise test in the laboratory to determine maximum aerobic-power output, and bicycles were fitted with SRM power meters. Races were described as flat, hilly, or criterium, and linear mixed modeling was used to compare the races. Results: Criterium was the shortest race and displayed the highest mean power output (criterium 262 +/- 30 v hilly 203 +/- 32 v flat 188 +/- 30 W), percentage total race time above 7.5 W/kg (criterium 15.5% +/- 4.1% v hilly 3.8% +/- 1.7% v flat 3.5% +/- 1.4%) and SD in power output (criterium 250 v hilly 165 v flat 169 W). Approximately 67%, 80%, and 85% of total race time was spent below 5 W/kg for criterium, hilly and flat races, respectively. About 70, 40, and 20 sprints above maximum aerobic-power output occurred during criterium, hilly, and flat races, respectively, with most sprints being 6 to 10 s. Conclusions: These data extend previous research documenting the demands of men's road cycling. Despite the relatively low mean power output, races were characterized by multiple high-intensity surges above maximum aerobic-power output. These data can be used to develop sport-specific interval-training programs that replicate the demands of competition.</t>
  </si>
  <si>
    <t>https://search.ebscohost.com/login.aspx?direct=true&amp;db=mdc&amp;AN=19124890&amp;site=ehost-live</t>
  </si>
  <si>
    <t>Preparation of former heavyweight oarsmen to compete as lightweight rowers over 16 weeks: three case studies.</t>
  </si>
  <si>
    <t>Slater GJ; Rice AJ; Jenkins D; Gulbin J; Hahn AG</t>
  </si>
  <si>
    <t>10.1123/ijsnem.16.1.108</t>
  </si>
  <si>
    <t>Australia; Sports statistics &amp; numerical data; Weight Loss physiology; Adolescent; Adult; Anthropometry methods; Australia; Basal Metabolism physiology; Biomarkers blood; Biomarkers urine; Body Composition physiology; Body Mass Index; Diet Records; Ergometry methods; Humans; Male; Physical Endurance physiology; Time Factors</t>
  </si>
  <si>
    <t>To strengthen the depth of lightweight rowing talent, we sought to identify experienced heavyweight rowers who possessed physique traits that predisposed them to excellence as a lightweight. Identified athletes (n = 3) were monitored over 16 wk. Variables measured included performance, anthropometric indices, and selected biochemical and metabolic parameters. All athletes decreased their body mass (range 2.0 to 8.0 kg), with muscle mass accounting for a large proportion of this (31.7 to 84.6%). Two athletes were able to maintain their performance despite reductions in body mass. However, performance was compromised for the athlete who experienced the greatest weight loss. In summary, smaller heavyweight rowers can successfully make the transition into the lightweight category, being nationally competitive in their first season as a lightweight.</t>
  </si>
  <si>
    <t>https://search.ebscohost.com/login.aspx?direct=true&amp;db=mdc&amp;AN=16676707&amp;site=ehost-live</t>
  </si>
  <si>
    <t>Quality assurance in Australian exercise physiology laboratories in quest of excellence.</t>
  </si>
  <si>
    <t>Tanner RK; Gore CJ</t>
  </si>
  <si>
    <t>10.1123/ijspp.1.1.58</t>
  </si>
  <si>
    <t>Australia; Exercise physiology; Laboratories standards; Quality Control; Sports Medicine standards; Australia; Humans</t>
  </si>
  <si>
    <t>https://search.ebscohost.com/login.aspx?direct=true&amp;db=mdc&amp;AN=19114738&amp;site=ehost-live</t>
  </si>
  <si>
    <t>Short-term plyometric training improves running economy in highly trained middle and long distance runners.</t>
  </si>
  <si>
    <t>Saunders PU; Telford RD; Pyne DB; Peltola EM; Cunningham RB; Gore CJ; Hawley JA</t>
  </si>
  <si>
    <t>10.1519/R-18235.1</t>
  </si>
  <si>
    <t>Muscle Strength physiology; Oxygen Consumption physiology; Physical Education and Training methods; Physical Endurance physiology; Running physiology; Adult; Analysis of Variance; Humans; Lactates blood; Male</t>
  </si>
  <si>
    <t>Fifteen highly trained distance runners VO(2)max 71.1 +/- 6.0 ml.min(-1).kg(-1), mean +/- SD) were randomly assigned to a plyometric training (PLY; n = 7) or control (CON; n = 8) group. In addition to their normal training, the PLY group undertook 3 x 30 minutes PLY sessions per week for 9 weeks. Running economy (RE) was assessed during 3 x 4 minute treadmill runs (14, 16, and 18 km.h(-1)), followed by an incremental test to measure VO(2)max. Muscle power characteristics were assessed on a portable, unidirectional ground reaction force plate. Compared with CON, PLY improved RE at 18 km.h(-1) (4.1%, p = 0.02), but not at 14 or 16 km.h(-1). This was accompanied by trends for increased average power during a 5-jump plyometric test (15%, p = 0.11), a shorter time to reach maximal dynamic strength during a strength quality assessment test (14%, p = 0.09), and a lower VO(2)-speed slope (14%, p = 0.12) after 9 weeks of PLY. There were no significant differences in cardiorespiratory measures or VO(2)max as a result of PLY. In a group of highly-trained distance runners, 9 weeks of PLY improved RE, with likely mechanisms residing in the muscle, or alternatively by improving running mechanics.</t>
  </si>
  <si>
    <t>https://search.ebscohost.com/login.aspx?direct=true&amp;db=mdc&amp;AN=17149987&amp;site=ehost-live</t>
  </si>
  <si>
    <t>Sprint patterns in rugby union players during competition.</t>
  </si>
  <si>
    <t>Duthie GM; Pyne DB; Marsh DJ; Hooper SL</t>
  </si>
  <si>
    <t>10.1519/R-16784.1</t>
  </si>
  <si>
    <t>Competitive Behavior physiology; Football physiology; Running physiology; Acceleration; Adult; Humans; Videotape Recording</t>
  </si>
  <si>
    <t>The purpose of this study was to characterize sprint patterns of rugby union players during competition. Velocity profiles (60 m) of 28 rugby players were initially established in testing from standing, walking, jogging, and striding starts. During competition, the individual sprinting patterns of 17 rugby players were determined from video by using the individual velocity profiles. Forwards commenced sprints from a standing start most frequently (41%), whereas backs sprinted from standing (29%), walking (29%), jogging (29%), and occasionally striding (13%) starts. Forwards and backs achieved speeds in excess of 90% maximal velocity (Vmax) on 5 +/- 4 and 9 +/- 4 occasions ( approximately 50% of the sprints performed), respectively, during competition. The higher frequency of sprinting for the backs compared with the forwards highlights the importance of speed training for this positional group. The similar relative distribution of velocities achieved during competition for forwards and backs suggests both positional groups should train acceleration and Vmax qualities. The backs should have a higher total volume of sprint training. Sprinting efforts should be performed from a variety of starting speeds to mimic the movement patterns of competition.</t>
  </si>
  <si>
    <t>https://search.ebscohost.com/login.aspx?direct=true&amp;db=mdc&amp;AN=16506864&amp;site=ehost-live</t>
  </si>
  <si>
    <t>The effects of fatigue on decision making and shooting skill performance in water polo players.</t>
  </si>
  <si>
    <t>Royal KA; Farrow D; Mujika I; Halson SL; Pyne D; Abernethy B</t>
  </si>
  <si>
    <t>10.1080/02640410500188928</t>
  </si>
  <si>
    <t>Decision Making physiology; Fatigue physiopathology; Psychomotor Performance physiology; Sports physiology; Adolescent; Heart Rate physiology; Humans; Lactic Acid blood; Male; Physical Exertion physiology</t>
  </si>
  <si>
    <t>The aim of this study was to assess the effects of fatigue on decision making and goal shooting skill in water polo. Fourteen junior elite male players (age 17.2 +/- 0.5 years; mass 84.2 +/- 7.6 kg; height 1.85 +/- 0.05 m) completed four sets of eight repetitions of an approximately 18 s maximal water polo specific drill. Progressively declining rest ratios for each successive set of the drill were employed to induce increasing fatigue and reflect the demands of match-play. A video-based temporally occluded decision-making task (verbalized response to various tactical situations) or goal shooting skill test (qualitative and quantitative analysis of goal shooting) was performed after each set. Heart rate, rating of perceived exertion (RPE) and blood lactate concentration were recorded. Heart rate (159 +/- 12, 168 +/- 13, 176 +/- 12, 181 +/- 12 Deats min-1; P &lt; 0.001) and RPE (13.1 +/- 2.2, 15.5 +/- 1.7, 17.3 +/- 1.6, 19.1 +/- 1.1; P &lt; 0.001) increased with declining rest ratios. At very high fatigue, decision-making accuracy was 18.0 +/- 21.8% better than at low fatigue (P = 0.008). Shooting accuracy and velocity were unaffected by incremental fatigue; however, skill proficiency (technique) decreased by 43 +/- 24% between the pre-test and high-fatigue conditions (P &lt; 0.001). In conclusion, incremental increases in fatigue differentially influenced decision making (improved) relative to the technical performance (declined), accuracy and speed of the ball (unchanged) of a water polo goal shot.</t>
  </si>
  <si>
    <t>https://search.ebscohost.com/login.aspx?direct=true&amp;db=mdc&amp;AN=16815774&amp;site=ehost-live</t>
  </si>
  <si>
    <t>The reliability of ten-meter sprint time using different starting techniques.</t>
  </si>
  <si>
    <t>Duthie GM; Pyne DB; Ross AA; Livingstone SG; Hooper SL</t>
  </si>
  <si>
    <t>10.1519/R-17084.1</t>
  </si>
  <si>
    <t>Acceleration; Running physiology; Time; Adolescent; Humans; Male; Posture physiology; Reproducibility of Results</t>
  </si>
  <si>
    <t>Acceleration is an important factor for success in team-sport athletes. The purpose of this investigation was to compare the reliability of 10-m sprint times when using different starting techniques. Junior male rugby players (n = 15) were tested for speed over 10 m on 2 different testing sessions. Three trials of 3 different starting techniques (standing, foot, and thumb starts) were assessed. Despite large differences in the time taken to perform 10-m sprints from different starts, there was minimal difference in the typical error (approximately 0.02 seconds, or &lt;1%) between the 3 different starts. There was a small, 0.02 +/- 0.02 second, decrease (p = 0.05) in sprint time between sessions for the foot start. For all starting techniques, the magnitude of error (typical error) was greater than the smallest worthwhile change (&lt;0.01 second), indicating that acceleration over 10 m measured by photocells only has a marginal chance of reliably detecting a change of sufficient magnitude to be worthwhile in practical terms. However, by accounting for the smallest worthwhile change and typical error, it is possible to establish the probability an individual has had a worthwhile change in sprint performance. Coaching and sports-science practitioners can use a variety of sprint-start techniques shown to have small typical errors (&lt;1%); however, the results from the different starting technique are not interchangeable.</t>
  </si>
  <si>
    <t>https://search.ebscohost.com/login.aspx?direct=true&amp;db=mdc&amp;AN=16686548&amp;site=ehost-live</t>
  </si>
  <si>
    <t>The water-polo intermittent shuttle test: a match-fitness test for water-polo players.</t>
  </si>
  <si>
    <t>Mujika I; McFadden G; Hubbard M; Royal K; Hahn A</t>
  </si>
  <si>
    <t>10.1123/ijspp.1.1.27</t>
  </si>
  <si>
    <t>Exercise Test methods; Physical Fitness physiology; Sports physiology; Adolescent; Athletic Performance physiology; Female; Heart Rate physiology; Humans; Lactic Acid blood; Male; Reproducibility of Results; Young Adult</t>
  </si>
  <si>
    <t>Purpose: To develop and validate an intermittent match-fitness test for water-polo players. Methods: Eight male junior players performed the Water Polo Intermittent Shuttle Test (WIST) twice to assess test reliability. To assess test sensitivity and validity, 104 male and female players from different competition standards and playing positions were tested. Eighteen players performed the WIST 5 times throughout a season to track fitness changes. Twelve players performed the WIST 48 hours before 4 consecutive National League games, and coaches awarded individual match-fitness scores based on game performances to assess the relationship between match fitness and test results. Heart rate (HR) and blood lactate (La(blood)) were measured during and after each test, respectively. Results: Test-retest performance values were 216 +/- 90 vs 229 +/- 96 m (r = .98, P = .0001, coefficient of variation [CV] = 5.4%), peak HR 190 +/- 8 vs 192 +/- 10 bpm (r = .96, P = .0002, CV = 1.2%), and La(blood) 7.0 +/- 1.8 vs 6.4 +/- 1.6 mmol/L (r = .84, P = .0092, CV = 8.8%). Significant differences were observed among different standards of play (range junior regional females 102 +/- 10 m, senior international males 401 +/- 30 m) and playing positions (field players 305 +/- 154 m, center forwards 255 +/- 118, goal keepers 203 +/- 135 m). Test performance was lower in the early season (344 +/- 118 m) than the remainder of the season (range 459 +/- 138 to 550 +/- 176 m). WIST performance and match-fitness scores correlated for all field players (r = .57, P = .054) but more highly for field players other than center forwards (r = .83, P = .0027). Conclusions: The WIST is a reliable, sensitive, and valid match-fitness test for water-polo players. It could become a useful tool to assess the effects of different interventions on match fitness.</t>
  </si>
  <si>
    <t>https://search.ebscohost.com/login.aspx?direct=true&amp;db=mdc&amp;AN=19114735&amp;site=ehost-live</t>
  </si>
  <si>
    <t>Time and sample site dependency of the optimized co-rebreathing method.</t>
  </si>
  <si>
    <t>Gore CJ; Bourdon PC; Woolford SM; Ostler LM; Eastwood A; Scroop GC</t>
  </si>
  <si>
    <t>10.1249/01.mss.0000222848.35004.41</t>
  </si>
  <si>
    <t>Carbon Monoxide administration &amp; dosage; Hemoglobins analysis; Phlebotomy methods; Adult; Blood Circulation physiology; Blood Volume physiology; Capillaries; Carboxyhemoglobin analysis; Confounding Factors, Epidemiologic; Female; Humans; Male; Reproducibility of Results; Time Factors; Veins</t>
  </si>
  <si>
    <t>Purpose: A new method to estimate hemoglobin mass (Hbmass) requires capillary blood and rebreathing a carbon-monoxide (CO) bolus for 2 min. We hypothesized that incomplete circulatory mixing of CO could confound this method, so we compared capillary with venous blood to determine whether sampling site altered the percentage of carboxyhemoglobin (%HbCO) and the reliability and accuracy of the "2-min Hbmass." The conventional 20-min CO-rebreathing procedure was used as the Hbmass criterion. Methods: In the first experiment (N=12), both fingertip capillary and antecubital venous blood were sampled 4 and 6 min after commencing 2 min of CO-rebreathing. Within 8 d, these subjects completed two 2-min and one 20-min CO-rebreathing periods. For the latter, capillary and venous blood were collected simultaneously after two 10-min periods of rebreathing. In a second experiment (N=6), both capillary and venous blood were sampled 4, 6, 8, 10, and 12 min after commencing 2 min of CO-rebreathing. A third experiment (N=6) evaluated the reliability of a modified 2-min CO-rebreathing test with capillary blood sampled at minutes 8 and 10. Results: Typical error (TE) for the first two 2-min tests was 1.1% (90% confidence limits 0.9-1.8%), but the average Hbmass from 2-min capillary blood was 4.8% lower than from venous blood for the 20-min procedure. In the second experiment, peak venous %HbCO occurred at minute 6, and the difference between capillary and venous values was minimal (mean+/-SD; 0.08+/-0.07, 0.01+/-0.09) at minutes 8 and 10. TE for the third experiment was 1.2% (0.8-2.5%). Conclusion: A modified 2-min CO-rebreathing procedure using capillary or venous blood sampled 8 and 10 min after starting CO-rebreathing allows complete circulatory mixing and provides an accurate and reliable estimate of Hbmass.</t>
  </si>
  <si>
    <t>https://search.ebscohost.com/login.aspx?direct=true&amp;db=mdc&amp;AN=16775562&amp;site=ehost-live</t>
  </si>
  <si>
    <t>Topical glyceryl trinitrate therapy for chronic supraspinatus tendinopathy.</t>
  </si>
  <si>
    <t>Fallon K</t>
  </si>
  <si>
    <t>10.1097/00042752-200605000-00022</t>
  </si>
  <si>
    <t>https://search.ebscohost.com/login.aspx?direct=true&amp;db=mdc&amp;AN=16778558&amp;site=ehost-live</t>
  </si>
  <si>
    <t>Validation of a skinfold based index for tracking proportional changes in lean mass.</t>
  </si>
  <si>
    <t>Slater GJ; Duthie GM; Pyne DB; Hopkins WG</t>
  </si>
  <si>
    <t>10.1136/bjsm.2005.019794</t>
  </si>
  <si>
    <t>New South Wales; Anthropometry; Body Mass Index; Football physiology; Skinfold Thickness; Absorptiometry, Photon methods; Adult; Body Composition physiology; Body Water physiology; Bone Density physiology; Humans; Male; New South Wales</t>
  </si>
  <si>
    <t>Background: The lean mass index (LMI) is a new empirical measure that tracks within-subject proportional changes in body mass adjusted for changes in skinfold thickness. Objective: To compare the ability of the LMI and other skinfold derived measures of lean mass to monitor changes in lean mass. Methods: 20 elite rugby union players undertook full anthropometric profiles on two occasions 10 weeks apart to calculate the LMI and five skinfold based measures of lean mass. Hydrodensitometry, deuterium dilution, and dual energy x ray absorptiometry provided a criterion choice, four compartment (4C) measure of lean mass for validation purposes. Regression based measures of validity, derived for within-subject proportional changes through log transformation, included correlation coefficients and standard errors of the estimate. Results: The correlation between change scores for the LMI and 4C lean mass was moderate (0.37, 90% confidence interval -0.01 to 0.66) and similar to the correlations for the other practical measures of lean mass (range 0.26 to 0.42). Standard errors of the estimate for the practical measures were in the range of 2.8-2.9%. The LMI correctly identified the direction of change in 4C lean mass for 14 of the 20 athletes, compared with 11 to 13 for the other practical measures of lean mass. Conclusions: The LMI is probably as good as other skinfold based measures for tracking lean mass and is theoretically more appropriate. Given the impracticality of the 4C criterion measure for routine field use, the LMI may offer a convenient alternative for monitoring physique changes, provided its utility is established under various conditions.</t>
  </si>
  <si>
    <t>https://search.ebscohost.com/login.aspx?direct=true&amp;db=mdc&amp;AN=16505075&amp;site=ehost-live</t>
  </si>
  <si>
    <t>Body-mass management of Australian lightweight rowers prior to and during competition.</t>
  </si>
  <si>
    <t>Slater GJ; Rice AJ; Sharpe K; Mujika I; Jenkins D; Hahn AG</t>
  </si>
  <si>
    <t>10.1249/01.mss.0000162692.09091.7a</t>
  </si>
  <si>
    <t>Sports physiology; Weight Loss physiology; 3-Hydroxybutyric Acid blood; Adult; Age Factors; Australia; Body Water metabolism; Body Weight physiology; CD3 Complex blood; Dehydration physiopathology; Diet, Reducing; Drinking Behavior; Energy Intake physiology; Fasting; Female; Humans; Insulin-Like Growth Factor I analysis; Male; Sex Factors; Surveys and Questionnaires</t>
  </si>
  <si>
    <t>Purpose: Although the body-mass management strategies of athletes in high-participation weight-category sports such as wrestling have been thoroughly investigated, little is known about such practices among lightweight rowers. This study examined the body-mass management practices of lightweight rowers before competition and compared these with current guidelines of the International Federation of Rowing Association (FISA). Quantification of nutrient intake in the 1-2 h between weigh-in and racing was also sought. Methods: Lightweight rowers (N = 100) competing in a national regatta completed a questionnaire that assessed body-mass management practices during the 4 wk before and throughout a regatta plus recovery strategies after weigh-in. Biochemical data were collected immediately after weigh-in to validate questionnaire responses. Responses were categorized according to gender and age category (Senior B or younger than 23 yr old, i.e., U23, Senior A or OPEN, i.e., open age limit) for competition. Results: Most athletes (male U23 76.5%, OPEN 92.3%; female U23 84.0%, OPEN 94.1%) decreased their body mass in the weeks before the regatta at rates compliant with FISA guidelines. Gradual dieting, fluid restriction, and increased training load were the most popular methods of body-mass management. Although the importance of recovery after weigh-in was recognized by athletes, nutrient intake and especially sodium (male U23 5.3 +/- 4.9, OPEN 7.7 +/- 5.9; female U23 5.7 +/- 6.8, OPEN 10.2 +/- 5.4 mg x kg(-1)) and fluid intake (male U23 12.1 +/- 7.1, OPEN 13.5 +/- 8.1; female U23 9.4 +/- 7.4, OPEN 14.8 +/- 6.9 mL x kg(-1)) were below current sports nutrition recommendations. Conclusion: Few rowers were natural lightweights; the majority reduced their body mass in the weeks before a regatta. Nutritional recovery strategies implemented by lightweight rowers after weigh-in were not consistent with current guidelines.</t>
  </si>
  <si>
    <t>https://search.ebscohost.com/login.aspx?direct=true&amp;db=mdc&amp;AN=15870642&amp;site=ehost-live</t>
  </si>
  <si>
    <t>Characterising the individual performance responses to mild illness in international swimmers.</t>
  </si>
  <si>
    <t>Pyne DB; Hopkins WG; Batterham AM; Gleeson M; Fricker PA</t>
  </si>
  <si>
    <t>10.1136/bjsm.2004.017475</t>
  </si>
  <si>
    <t>Australia; Gastrointestinal Diseases complications; Physical Fitness physiology; Respiratory Tract Diseases complications; Skin Diseases complications; Swimming physiology; Adolescent; Adult; Australia; Competitive Behavior physiology; Exercise physiology; Female; Health Behavior; Humans; Male; Task Performance and Analysis</t>
  </si>
  <si>
    <t>Objectives: To determine individual differences in the impact of illness on the change in performance of swimmers in international competitions. Methods: Subjects were members of the Australian swimming team (33 male and 39 female, aged 15-27 years). Swimmers provided a weekly seven day recall of symptoms of illness during final six weeks of preparations for international competition over a three year period. Swimmers were categorised as either ill (one or more episodes of illness) or healthy. The measure of performances was the international point score. Mean changes in points score were calculated for healthy and ill swimmers between a national championship and an international competition ( approximately 16 weeks later). Likelihoods of substantial effects of illness on an individual's true change in performance (beneficial/trivial/harmful) were estimated from means and standard deviations, assuming a smallest substantial change of 6 points. Results: Illness was reported before international performances by 38% of female and 35% of male swimmers. For female swimmers the change in performance was -3.7 (21.5) points (mean (SD)) with illness and -2.6 (19.0) points when healthy; for male swimmers the changes were -1.4 (17.5) points with illness and 5.6 (13.2) points when healthy. The likelihoods that illness had a substantial beneficial/trivial/harmful effect on performance of an individual swimmer were 32%/31%/37% for female and 17%/31%/52% for male participants (90% confidence limits approximately +/-10% to 20%). Conclusions: Although mild illness had only a trivial mean effect on female swimmers and a small harmful mean effect on male swimmers, there were substantial chances of benefit and harm for individuals.</t>
  </si>
  <si>
    <t>https://search.ebscohost.com/login.aspx?direct=true&amp;db=mdc&amp;AN=16183773&amp;site=ehost-live</t>
  </si>
  <si>
    <t>Counterpoint: positive effects of intermittent hypoxia (live high:train low) on exercise performance are not mediated primarily by augmented red cell volume.</t>
  </si>
  <si>
    <t>Gore CJ; Hopkins WG</t>
  </si>
  <si>
    <t>10.1152/japplphysiol.00820.2005</t>
  </si>
  <si>
    <t>Adaptation, Physiological physiology; Erythrocytes physiology; Exercise physiology; Hypoxia physiopathology; Physical Fitness physiology; Erythrocytes cytology; Humans</t>
  </si>
  <si>
    <t>https://search.ebscohost.com/login.aspx?direct=true&amp;db=mdc&amp;AN=16227464&amp;site=ehost-live</t>
  </si>
  <si>
    <t>Disability discrimination and harassment.</t>
  </si>
  <si>
    <t>SPHS-1003806</t>
  </si>
  <si>
    <t>PEOPLE with disabilities; DISCRIMINATION in sports; SPORTS; ETHICS; AUSTRALIA</t>
  </si>
  <si>
    <t>Contents: Is disability discrimination against the law? -- Can people with infectious diseases be excluded from sport on health grounds? -- What is disability discrimination? -- What is not disability discrimination? -- What is a special measure program? -- What is HIV/AIDS vilification? -- What is harassment? -- What is harassment based on disability? -- What can I do if one of these things happens to me? -- Contacts.</t>
  </si>
  <si>
    <t>https://search.ebscohost.com/login.aspx?direct=true&amp;db=s3h&amp;AN=SPHS-1003806&amp;site=ehost-live</t>
  </si>
  <si>
    <t>Effect of carbohydrate intake on half-marathon performance of well-trained runners.</t>
  </si>
  <si>
    <t>Burke LM; Wood C; Pyne DB; Telford DR; Saunders PU</t>
  </si>
  <si>
    <t>10.1123/ijsnem.15.6.573</t>
  </si>
  <si>
    <t>Dietary Carbohydrates administration &amp; dosage; Drinking; Oxygen Consumption drug effects; Running physiology; Abdominal Pain epidemiology; Body Weight drug effects; Body Weight physiology; Cross-Over Studies; Dietary Carbohydrates adverse effects; Gels; Humans; Male; Oxygen Consumption physiology; Time Factors</t>
  </si>
  <si>
    <t>Eighteen highly-trained runners ran two half marathons in mild environmental conditions, 3 wk apart, consuming either 426 +/- 227 mL of a flavored placebo drink (PLACEBO) or an equivalent volume of water (386 +/- 185 mL) and a commercial gel (GEL) supplying 1.1 +/- 0.2 g/kg body mass (BM) carbohydrate (CHO). Voluntary consumption of this fluid was associated with a mean BM change of approximately 2.4%. Runners performed better in their second race by 0.9% or 40 s (P = 0.03). Three runners complained of gastrointestinal discomfort in GEL trial, which produced a clear impairment of half-marathon performance by 2.4% or 105 s (P=0.03). The effect of GEL on performance was trivial: time was improvedby 0.3% or 14 s compared with PLACEBO (P = 0.52). Consuming the gel was associated with a 2.4% slower time through the 2 x 200 m feed zone; adding a trivial approximately 2 s to race time. Although benefits to half marathon performance were not detected, the theoretical improvement during 1-h exercise with CHO intake merits further investigation.</t>
  </si>
  <si>
    <t>https://search.ebscohost.com/login.aspx?direct=true&amp;db=mdc&amp;AN=16521844&amp;site=ehost-live</t>
  </si>
  <si>
    <t>Effect of dry needling of gluteal muscles on straight leg raise: a randomised, placebo controlled, double blind trial.</t>
  </si>
  <si>
    <t>Huguenin L; Brukner PD; McCrory P; Smith P; Wajswelner H; Bennell K</t>
  </si>
  <si>
    <t>10.1136/bjsm.2003.009431</t>
  </si>
  <si>
    <t>Acupuncture Therapy methods; Buttocks injuries; Pain Management; Running injuries; Buttocks physiopathology; Double-Blind Method; Humans; Male; Pain etiology; Pain Measurement; Range of Motion, Articular; Thigh physiopathology; Treatment Outcome</t>
  </si>
  <si>
    <t>Objectives: To use a randomised, double blind, placebo controlled trial to establish the effect on straight leg raise, hip internal rotation, and muscle pain of dry needling treatment to the gluteal muscles in athletes with posterior thigh pain referred from gluteal trigger points. Methods: A randomised, double blind, placebo controlled trial of 59 male runners was performed during the 2002 Australian Rules football season. Subjects were thoroughly screened and had magnetic resonance imaging of their hamstring muscles to exclude local pathology. The inclusion criterion was reproduction of recognisable posterior thigh pain with the application of digital pressure to the gluteal trigger points. Subjects randomly received either therapeutic or placebo needle treatment on one occasion at their gluteal trigger points. Range of motion and visual analogue scale data were collected immediately before, immediately after, 24 hours after, and 72 hours after the intervention. Range of motion was measured with passive straight leg raise and hip internal rotation. Visual analogue scales were completed for hamstring and gluteal pain and tightness at rest and during a running task. Results: Magnetic resonance imaging scans revealed normal hamstring musculature in most subjects. Straight leg raise and hip internal rotation remained unchanged in both groups at all times. Visual analogue scale assessment of hamstring pain and tightness and gluteal tightness after running showed improvements immediately after the intervention in both groups (p = 0.001), which were maintained at 24 and 72 hours. The magnitude of this improvement was the same for therapeutic and placebo interventions. Resting muscle pain and tightness were unaffected. Conclusions: Neither dry needling nor placebo needling of the gluteal muscles resulted in any change in straight leg raise or hip internal rotation. Both interventions resulted in subjective improvement in activity related muscle pain and tightness. Despite being commonly used clinical tests in this situation, straight leg raise and hip internal rotation are not likely to help the therapist assess response to treatment. Patient reports of response to such treatment are better indicators of its success. The mechanisms by which these responses occur and the reasons for the success of the placebo needling treatment are areas for further investigation.</t>
  </si>
  <si>
    <t>https://search.ebscohost.com/login.aspx?direct=true&amp;db=mdc&amp;AN=15665203&amp;site=ehost-live</t>
  </si>
  <si>
    <t>Errors of measurement for blood volume parameters: a meta-analysis.</t>
  </si>
  <si>
    <t>Gore CJ; Hopkins WG; Burge CM</t>
  </si>
  <si>
    <t>10.1152/japplphysiol.00505.2005</t>
  </si>
  <si>
    <t>Anemia diagnosis; Blood Volume Determination standards; Hematology methods; Physiology methods; Polycythemia diagnosis; Anemia physiopathology; Blood Volume Determination methods; Humans; Polycythemia physiopathology; Reproducibility of Results</t>
  </si>
  <si>
    <t>The volume of red blood cells (V(RBC)) is used routinely in the diagnostic workup of polycythemia, in assessing the efficacy of erythropoietin administration, and to study factors affecting oxygen transport. However, errors of various methods of measurement of V(RBC) and related parameters are not well characterized. We meta-analyzed 346 estimates of error of measurement of V(RBC) for techniques based on Evans blue (V(RBC,Evans)), 51chromium-labeled red blood cells (V(RBC,51Cr)), and carbon monoxide (CO) rebreathing (V(RBC,CO)), as well as hemoglobin mass with the carbon-monoxide method (M(Hb,CO)), in athletes and active and inactive subjects undergoing various experimental and control treatments lasting minutes to months. Subject characteristics and experimental treatments had little effect on error of measurement, but measures with the smallest error showed some increase in error with increasing time between trials. Adjusted to 1 day between trials and expressed as coefficients of variation, mean errors for M(Hb,CO) (2.2%; 90% confidence interval 1.4-3.5%) and V(RBC,51Cr) (2.8%; 2.4-3.2%) were much less than those for V(RBC,Evans) (6.7%; 4.9-9.4%) and V(RBC,CO) (6.7%; 3.4-14%). Most of the error of V(RBC,Evans) was due to error in measurement of volume of plasma via Evans blue dye (6.0%; 4.5-7.8%), which is the basis of V(RBC,Evans). Most of the error in V(RBC,CO) was due to estimates from laboratories with a relatively large error in M(Hb,CO), the basis of V(RBC,CO). V(RBC,51Cr) and M(Hb,CO) are the best measures for research on blood-related changes in oxygen transport. With care, V(RBC,Evans) is suitable for clinical applications of blood-volume measurement.</t>
  </si>
  <si>
    <t>https://search.ebscohost.com/login.aspx?direct=true&amp;db=mdc&amp;AN=15976358&amp;site=ehost-live</t>
  </si>
  <si>
    <t>Essay: Biomechanical support in sport.</t>
  </si>
  <si>
    <t>Mason BR; Portus M</t>
  </si>
  <si>
    <t>Lancet (London, England)</t>
  </si>
  <si>
    <t>366 Suppl 1</t>
  </si>
  <si>
    <t>S25</t>
  </si>
  <si>
    <t>10.1016/S0140-6736(05)67834-8</t>
  </si>
  <si>
    <t>Biomechanical Phenomena; Sports Medicine; Swimming physiology; Humans</t>
  </si>
  <si>
    <t>https://search.ebscohost.com/login.aspx?direct=true&amp;db=mdc&amp;AN=16360738&amp;site=ehost-live</t>
  </si>
  <si>
    <t>Fitness testing and career progression in AFL football.</t>
  </si>
  <si>
    <t>10.1016/s1440-2440(05)80043-x</t>
  </si>
  <si>
    <t>Australia; Career Mobility; Physical Fitness; Soccer; Adolescent; Adult; Anthropometry; Australia; Exercise Test; Humans; Male; Oxygen Consumption; Regression Analysis</t>
  </si>
  <si>
    <t>Relationships between fitness testing and career progression in the Australian Football League (AFL) are under-explored. This study investigated relationships between anthropometric and fitness tests conducted at the annual AFL National Draft Camp and subsequent career progression of players. A total of 283 players was tested over three consecutive camps (1999-2001). The anthropometric and fitness measures were: height, mass, sum of skinfolds, 20-m sprint test, vertical jump (standing and bilateral running), agility run and a multi-stage incremental shuttle run. The five outcome variables were: drafted (yes/no), AFL debut (yes/no), number of AFL games played to the end of 2003, and subjective ratings of career potential and career value (5-point scale). Of 205 players (72%) subsequently drafted, 166 (59%) eventually made their AFL debut. Players drafted to AFL clubs were faster over 5 m, 10 m and 20 m, ran further in the shuttle run and ran marginally faster in the agility test than players not drafted. Multi-regression analysis showed small to moderate correlations (r = 0.27-0.31) between the designated outcome variables and selected fitness tests: 20-m sprint time (faster), agility run test (faster), and running vertical jump (higher absolute height and smaller difference between left and ride sides). Regression analysis for the standing vertical jump relative to standing reach height showed a counterintuitive negative correlation with positive outcomes, possibly reflecting non-compliance with testing procedures by the less successful athletes. We conclude that the 20-m sprint, jump, agility and shuttle run tests have a small but important association with career progression of AFL footballers.</t>
  </si>
  <si>
    <t>https://search.ebscohost.com/login.aspx?direct=true&amp;db=mdc&amp;AN=16248473&amp;site=ehost-live</t>
  </si>
  <si>
    <t>Harlequin syndrome in two athletes.</t>
  </si>
  <si>
    <t>Fallon KE; May JJ</t>
  </si>
  <si>
    <t>e1</t>
  </si>
  <si>
    <t>10.1136/bjsm.2004.012195</t>
  </si>
  <si>
    <t>Autonomic Nervous System Diseases complications; Exercise physiology; Flushing etiology; Hypohidrosis etiology; Adolescent; Autonomic Nervous System Diseases diagnosis; Autonomic Nervous System Diseases physiopathology; Basketball; Body Temperature Regulation physiology; Female; Flushing physiopathology; Humans; Magnetic Resonance Imaging methods; Middle Aged; Running; Syndrome</t>
  </si>
  <si>
    <t>Two cases are reported of harlequin syndrome, a disorder of the sympathetic nervous system in which sweating and flushing of the skin in response to exercise is diminished. This condition is most likely to be first noticed in sporting situations.</t>
  </si>
  <si>
    <t>https://search.ebscohost.com/login.aspx?direct=true&amp;db=mdc&amp;AN=15618325&amp;site=ehost-live</t>
  </si>
  <si>
    <t>Hypoxic air machines. Commentary.</t>
  </si>
  <si>
    <t>Fricker P</t>
  </si>
  <si>
    <t>Journal of medical ethics</t>
  </si>
  <si>
    <t>10.1136/jme.2004.005470</t>
  </si>
  <si>
    <t>Acclimatization ethics; Hypoxia physiopathology; Physical Education and Training ethics; Sports ethics; Altitude; Humans; Physical Education and Training methods; Social Problems ethics</t>
  </si>
  <si>
    <t>https://search.ebscohost.com/login.aspx?direct=true&amp;db=mdc&amp;AN=15681682&amp;site=ehost-live</t>
  </si>
  <si>
    <t>Impact of acute weight loss and/or thermal stress on rowing ergometer performance.</t>
  </si>
  <si>
    <t>Slater GJ; Rice AJ; Sharpe K; Tanner R; Jenkins D; Gore CJ; Hahn AG</t>
  </si>
  <si>
    <t>10.1249/01.mss.0000174900.13358.7e</t>
  </si>
  <si>
    <t>Australia; Exercise physiology; Weight Loss; Australia; Body Temperature; Body Weight; Diet; Female; Heart Rate; Humans; Lactic Acid blood; Male; Plasma Volume; Water</t>
  </si>
  <si>
    <t>Purpose: The impact of acute weight loss on rowing performance was assessed when generous nutrient intake was provided in 2 h of recovery after making weight. Methods: Competitive rowers (N = 17) completed four ergometer trials, each separated by 48 h. Two trials were performed after a 4% body mass loss in the previous 24 h (WT) and two were performed after no weight restrictions, that is, unrestricted (UNR). In addition, two trials (1 x WT, 1 x UNR) were in a thermoneutral environment (NEUTRAL, mean 21.1 +/- SD 0.7 degrees C, 29.0 +/- 4.5% RH) and two were in the heat (HOT 32.4, +/- 0.4 degrees C, 60.4 +/- 2.7% RH). Trials were performed in a counterbalanced fashion according to a Latin square design. Aggressive nutritional recovery strategies (WT 2.3 g x kg(-1) carbohydrate, 34 mg x kg(-1) Na, 28.4 mL x kg(-1) fluid; UNR ad libitum) were employed in the 2 h after weigh-in. Results: Both WT (mean 2.1, 95% CI 0.7-3.4 s; P = 0.003) and HOT (4.1, 2.7 - 5.4 s; P &lt; 0.001) compromised 2000-m time-trial performance. Whereas WT resulted in hypohydration, the associated reduction in plasma volume explained only part of the performance compromise observed (0.2 s for every 1% decrement) Moreover, WT did not influence core temperature or indices of cardiovascular function. Conclusions: Acute weight loss compromised performance, despite generous nutrient intake in recovery, although the effect was small. Performance decrements were further exacerbated when exercise was performed in the heat.</t>
  </si>
  <si>
    <t>https://search.ebscohost.com/login.aspx?direct=true&amp;db=mdc&amp;AN=16118587&amp;site=ehost-live</t>
  </si>
  <si>
    <t>Indigenous athletes at the Australian Institute of Sport.</t>
  </si>
  <si>
    <t>Fogarty, M.</t>
  </si>
  <si>
    <t>SPHS-994885</t>
  </si>
  <si>
    <t>ELITE athletes; AUSTRALIAN Institute of Sport; HISTORY; INDIGENOUS peoples</t>
  </si>
  <si>
    <t>https://search.ebscohost.com/login.aspx?direct=true&amp;db=s3h&amp;AN=SPHS-994885&amp;site=ehost-live</t>
  </si>
  <si>
    <t>Influence of training loads on patterns of illness in elite distance runners.</t>
  </si>
  <si>
    <t>Fricker PA; Pyne DB; Saunders PU; Cox AJ; Gleeson M; Telford RD</t>
  </si>
  <si>
    <t>10.1097/01.jsm.0000168075.66874.3e</t>
  </si>
  <si>
    <t>New South Wales; Respiratory Tract Diseases epidemiology; Respiratory Tract Diseases physiopathology; Running physiology; Adult; Cost of Illness; Humans; Longitudinal Studies; Male; New South Wales epidemiology; Respiratory Tract Diseases etiology; Task Performance and Analysis</t>
  </si>
  <si>
    <t>Objective: To investigate relationships between training mileage and intensity, and the type, incidence, severity, and duration of respiratory illness in distance runners, and the impact of illness on submaximal and maximal running performance. Design: A longitudinal observational study of distance runners with serial monitoring of training loads and clinical patterns of illness. Setting: A 4-month winter training period in the Southern Hemisphere. Participants: A total of 20 highly trained (elite) male middle-distance and distance runners competing at the national and international levels. Main Outcome Measures: Training was quantified by mileage (km), intensity (scale, 1-5), and load (volume x intensity). Symptoms and signs of respiratory illness (type, duration, and severity) were verified by a physician at a weekly review. Performance was monitored by measuring submaximal and maximal oxygen uptake and time to exhaustion on a incremental treadmill test. Results: A majority of subjects (15/20) experienced 1 or more episodes of respiratory illness (mean, 2.5 episodes; range, 1-5), with 79% of symptoms classified as upper respiratory in origin. There were no significant differences in mean weekly mileage (P = 0.43), training intensity (P = 0.85), or training load (P = 0.45) between healthy runners and those affected by illness. Mean weekly (88 +/- 46 km) and mean monthly (373 +/- 163 km) mileages prior to each episode of illness were similar to the overall study means (95.5 +/- 36.4 km and 382 +/- 146 km). There were no substantial relationships between mean weekly training mileage, intensity, or training load and the number of illnesses reported (all r &lt; 0.20). Neither submaximal nor maximal running performance was significantly affected by the presence of illness. Conclusions: Differences in training mileage, intensity, and load were not associated with the incidence of respiratory illness in highly trained middle-distance and distance runners. Runners with mild illness can be reassured that symptoms will not necessarily impair submaximal and maximal performance.</t>
  </si>
  <si>
    <t>https://search.ebscohost.com/login.aspx?direct=true&amp;db=mdc&amp;AN=16003039&amp;site=ehost-live</t>
  </si>
  <si>
    <t>Making mentors : a guide to establishing a successful mentoring program for coaches and officials.</t>
  </si>
  <si>
    <t>Layton, R.</t>
  </si>
  <si>
    <t>SPHS-1000781</t>
  </si>
  <si>
    <t>COACHING (Athletics); SPORTS officiating; MENTORING; PROGRAMS; CASE studies; OCCUPATIONS</t>
  </si>
  <si>
    <t>https://search.ebscohost.com/login.aspx?direct=true&amp;db=s3h&amp;AN=SPHS-1000781&amp;site=ehost-live</t>
  </si>
  <si>
    <t>Maximising you : a resource to help you maximise your performance.</t>
  </si>
  <si>
    <t>SPHS-1012950</t>
  </si>
  <si>
    <t>TRAINING; CONTESTS; PSYCHOLOGY; MENTAL training; ABILITY</t>
  </si>
  <si>
    <t>https://search.ebscohost.com/login.aspx?direct=true&amp;db=s3h&amp;AN=SPHS-1012950&amp;site=ehost-live</t>
  </si>
  <si>
    <t>Off-side front foot drives in men's high performance cricket.</t>
  </si>
  <si>
    <t>Stuelcken MC; Portus MR; Mason BR</t>
  </si>
  <si>
    <t>10.1080/14763140508522849</t>
  </si>
  <si>
    <t>Foot physiology; Movement physiology; Sports physiology; Task Performance and Analysis; Biomechanical Phenomena; Competitive Behavior; Elbow physiology; Gravitation; Humans; Male; Motor Activity physiology; Posture physiology; Shoulder physiology; Sports Equipment; Videotape Recording; Wrist physiology</t>
  </si>
  <si>
    <t>We investigated the techniques used by nine right-handed, international batsmen to perform front foot off-side drives in first class and international matches. All strokes were captured using two synchronised high-speed video cameras; nine were selected for kinematic analysis. These movement sequences were then manually digitised at a sampling frequency of 125 Hz using APAS motion analysis software. The results of this study indicated that the batsmen used movement patterns that enabled important aspects of stroke production, such as the front stride and the downswing of the bat, to be delayed so that additional information from ball flight could be assimilated. Front upper limb segments were constrained to work in a unitary fashion, with the peak horizontal end point speed of each segment occurring almost simultaneously just before impact. It has been suggested that these strategies serve to enhance stroke accuracy. Other aspects of their techniques included a distinctively looped bat path, a front foot placement that occurred only just before impact, and a front ankle that was positioned well inside the line of the ball at impact. Various technical parameters, such as the alignment of the trunk relative to ground and the continuous flow of the bat between the backswing and downswing, were similar to findings in previous batting research. Other characteristics of stroke production not previously addressed, including the path of the bat and the timing of the front stride, may challenge some long held beliefs evident in current coaching literature.</t>
  </si>
  <si>
    <t>https://search.ebscohost.com/login.aspx?direct=true&amp;db=mdc&amp;AN=15807374&amp;site=ehost-live</t>
  </si>
  <si>
    <t>Physique traits of lightweight rowers and their relationship to competitive success.</t>
  </si>
  <si>
    <t>Slater GJ; Rice AJ; Mujika I; Hahn AG; Sharpe K; Jenkins DG</t>
  </si>
  <si>
    <t>10.1136/bjsm.2004.015990</t>
  </si>
  <si>
    <t>Exercise physiology; Muscle, Skeletal physiology; Somatotypes physiology; Sports physiology; Adult; Anthropometry; Body Composition physiology; Body Mass Index; Body Weight physiology; Female; Humans; Male; Physical Education and Training methods; Physical Endurance physiology; Task Performance and Analysis</t>
  </si>
  <si>
    <t>Objectives: Physique traits and their relationship to competitive success were assessed amongst lightweight rowers competing at the 2003 Australian Rowing Championships. Methods: Full anthropometric profiles were collected from 107 lightweight rowers (n = 65 males, n = 45 females) competing in the Under 23 and Open age categories. Performance assessments were obtained for 66 of these rowers based on results in the single sculls events. The relationship between physique traits and competitive success was then determined. Results: Lower body fat (heat time estimate -8.4 s kg(-1), p&lt;0.01), greater total body mass (heat time estimate -4.4 s kg(-1), p = 0.03), and muscle mass (heat time estimate -10.2 s kg(-1), p&lt;0.01) were associated with faster 2000 m heat times. Conclusions: The more successful lightweight rowers were those who had lower body fat and greater total muscle mass.</t>
  </si>
  <si>
    <t>https://search.ebscohost.com/login.aspx?direct=true&amp;db=mdc&amp;AN=16183770&amp;site=ehost-live</t>
  </si>
  <si>
    <t>Power output during women's World Cup road cycle racing.</t>
  </si>
  <si>
    <t>Ebert TR; Martin DT; McDonald W; Victor J; Plummer J; Withers RT</t>
  </si>
  <si>
    <t>10.1007/s00421-005-0039-y</t>
  </si>
  <si>
    <t>Bicycling physiology; Adult; Anaerobic Threshold; Competitive Behavior physiology; Female; Geography; Humans; Lactic Acid blood; Power, Psychological; Pulmonary Ventilation</t>
  </si>
  <si>
    <t>Little information exists on the power output demands of competitive women's road cycle racing. The purpose of our investigation was to document the power output generated by elite female road cyclists who achieved success in FLAT and HILLY World Cup races. Power output data were collected from 27 top-20 World Cup finishes (19 FLAT and 8 HILLY) achieved by 15 nationally ranked cyclists (mean +/- SD; age: 24.1+/-4.0 years; body mass: 57.9+/-3.6 kg; height: 168.7+/-5.6 cm; VO2max 63.6+/-2.4 mL kg(-1) min(-1); peak power during graded exercise test (GXT(peak power)): 310+/-25 W). The GXT determined GXT(peak power), VO2peak lactate threshold (LT) and anaerobic threshold (AT). Bicycles were fitted with SRM powermeters, which recorded power (W), cadence (rpm), distance (km) and speed (km h(-1)). Racing data were analysed to establish time in power output and metabolic threshold bands and maximal mean power (MMP) over different durations. When compared to HILLY, FLAT were raced at a similar cadence (75+/-8 vs. 75+/-4 rpm, P=0.93) but higher speed (37.6+/-2.6 vs. 33.9+/-2.7 km h(-1), P=0.008) and power output (192+/-21 vs. 169+/-17 W, P=0.04; 3.3+/-0.3 vs. 3.0+/-0.4 W kg(-1), P=0.04). During FLAT races, riders spent significantly more time above 500 W, while greater race time was spent between 100 and 300 W (LT-AT) for HILLY races, with higher MMPs for 180-300 s. Racing terrain influenced the power output profiles of our internationally competitive female road cyclists. These data are the first to define the unique power output requirements associated with placing well in both flat and hilly women's World Cup cycling events.</t>
  </si>
  <si>
    <t>https://search.ebscohost.com/login.aspx?direct=true&amp;db=mdc&amp;AN=16151832&amp;site=ehost-live</t>
  </si>
  <si>
    <t>Probing expert anticipation with the temporal occlusion paradigm: experimental investigations of some methodological issues.</t>
  </si>
  <si>
    <t>Farrow D; Abernethy B; Jackson RC</t>
  </si>
  <si>
    <t>Motor control</t>
  </si>
  <si>
    <t>Professional Competence; Psychomotor Performance physiology; Tennis; Visual Perception physiology; Adult; Conditioning, Psychological physiology; Female; Humans; Male; Reference Values; Sensory Deprivation physiology; Time Factors</t>
  </si>
  <si>
    <t>Two experiments were conducted to examine whether the conclusions drawn regarding the timing of anticipatory information pick-up from temporal occlusion studies are influenced by whether (a) the viewing period is of variable or fixed duration and (b) the task is a laboratory-based one with simple responses or a natural one requiring a coupled, interceptive movement response. Skilled and novice tennis players either made pencil-and-paper predictions of service direction (Experiment 1) or attempted to hit return strokes (Experiment 2) to tennis serves while their vision was temporally occluded in either a traditional progressive mode (where more information was revealed in each subsequent occlusion condition) or a moving window mode (where the visual display was only available for a fixed duration with this window shifted to different phases of the service action). Conclusions regarding the timing of information pick-up were generally consistent across display mode and across task setting lending support to the veracity and generalisability of findings regarding perceptual expertise in existing laboratory-based progressive temporal occlusion studies.</t>
  </si>
  <si>
    <t>https://search.ebscohost.com/login.aspx?direct=true&amp;db=mdc&amp;AN=16239719&amp;site=ehost-live</t>
  </si>
  <si>
    <t>Racial discrimination and harassment.</t>
  </si>
  <si>
    <t>SPHS-1003803</t>
  </si>
  <si>
    <t>RACISM in sports; SPORTS; ETHICS; AUSTRALIA</t>
  </si>
  <si>
    <t>https://search.ebscohost.com/login.aspx?direct=true&amp;db=s3h&amp;AN=SPHS-1003803&amp;site=ehost-live</t>
  </si>
  <si>
    <t>Sex discrimination and sexual harassment.</t>
  </si>
  <si>
    <t>SPHS-1003805</t>
  </si>
  <si>
    <t>SEX discrimination in sports; SEXUAL harassment; SPORTS; ETHICS; AUSTRALIA</t>
  </si>
  <si>
    <t>https://search.ebscohost.com/login.aspx?direct=true&amp;db=s3h&amp;AN=SPHS-1003805&amp;site=ehost-live</t>
  </si>
  <si>
    <t>Sleep disturbance at simulated altitude indicated by stratified respiratory disturbance index but not hypoxic ventilatory response.</t>
  </si>
  <si>
    <t>Kinsman TA; Townsend NE; Gore CJ; Hahn AG; Clark SA; Aughey RJ; McKenna MJ; Hawley JA; Chow CM</t>
  </si>
  <si>
    <t>10.1007/s00421-005-1368-6</t>
  </si>
  <si>
    <t>Altitude; Altitude Sickness physiopathology; Dyssomnias diagnosis; Dyssomnias physiopathology; Polysomnography methods; Respiratory Function Tests methods; Sleep Apnea Syndromes diagnosis; Sleep Apnea Syndromes physiopathology; Adult; Altitude Sickness complications; Dyssomnias complications; Dyssomnias etiology; Humans; Male; Pulmonary Ventilation; Reproducibility of Results; Sensitivity and Specificity; Severity of Illness Index; Sleep Apnea Syndromes etiology</t>
  </si>
  <si>
    <t>At high altitudes, the clinically defined respiratory disturbance index (RDI) and high hypoxic ventilatory response (HVR) have been associated with diminished sleep quality. Increased RDI has also been observed in some athletes sleeping at simulated moderate altitude. In this study, we investigated relationships between the HVR of 14 trained male endurance cyclists with variable RDI and sleep quality responses to simulated moderate altitude. Blood oxygen saturation (SpO2%), heart rate, RDI, arousal rate, awakenings, sleep efficiency, rapid eye movement (REM) sleep, non-REM sleep stages 1, 2 and slow wave sleep as percentages of total sleep time (%TST) were measured for two nights at normoxia of 600 m and one night at a simulated altitude of 2,650 m. HVR and RDI were not significantly correlated with sleep stage, arousal rate or awakening response to nocturnal simulated altitude. SpO2 was inversely correlated with total RDI (r = -0.69, P = 0.004) at simulated altitude and with the change in arousal rate from normoxia (r = -0.65, P = 0.02). REM sleep response to simulated altitude correlated with the change, relative to normoxia, in arousal (r = -0.63, P = 0.04) and heart rate (r = -0.61, P = 0.04). When stratified, those athletes at altitude with RDI &gt;20 h(-1) (n = 4) and those with &lt;10 h(-1) (n = 10) exhibited no difference in HVR but the former had larger falls in SpO2 (P = 0.05) and more arousals (P = 0.03). Neither RDI (without stratification) nor HVR were sufficiently sensitive to explain any deterioration in REM sleep or arousal increase. However, the stratified RDI provides a basis for determining potential sleep disturbance in athletes at simulated moderate altitude.</t>
  </si>
  <si>
    <t>https://search.ebscohost.com/login.aspx?direct=true&amp;db=mdc&amp;AN=15940534&amp;site=ehost-live</t>
  </si>
  <si>
    <t>Sleep in athletes undertaking protocols of exposure to nocturnal simulated altitude at 2650 m.</t>
  </si>
  <si>
    <t>Kinsman TA; Gore CJ; Hahn AG; Hopkins WG; Hawley JA; McKenna MJ; Clark SA; Aughey RJ; Townsend NE; Chow CM</t>
  </si>
  <si>
    <t>10.1016/s1440-2440(05)80013-1</t>
  </si>
  <si>
    <t>Altitude; Sleep physiology; Sports; Adult; Atmosphere Exposure Chambers; Humans; Hypoxia etiology; Male; Oximetry; Oxygen blood; Polysomnography; Sleep Stages</t>
  </si>
  <si>
    <t>A popular method to attempt to enhance performance is for athletes to sleep at natural or simulated moderate altitude (SMA) when training daily near sea level. Based on our previous observation of periodic breathing in athletes sleeping at SMA, we hypothesised that athletes' sleep quality would also suffer with hypoxia. Using two typical protocols of nocturnal SMA (2650 m), we examined the effect on the sleep physiology of 14 male endurance-trained athletes. The selected protocols were Consecutive (15 successive exposure nights) and Intermittent (3x 5 successive exposure nights, interspersed with 2 normoxic nights) and athletes were randomly assigned to follow either one. We monitored sleep for two successive nights under baseline conditions (B; normoxia, 600 m) and then at weekly intervals (nights 1, 8 and 15 (N1, N8 and N15, respectively)) of the protocols. Since there was no significant difference in response between the protocols being followed (based on n=7, for each group) we are unable to support a preference for either one, although the likelihood of a Type II error must be acknowledged. For all athletes (n=14), respiratory disturbance and arousal responses between B and N1, although large in magnitude, were highly individual and not statistically significant. However, SpO2 decreased at N1 versus B (p&lt;0.001) and remained lower on N8 (p&lt;0.001) and N15 (p&lt;0.001), not returning to baseline level. Compared to B, arousals were more frequent on N8 (p=0.02) and N15 (p=0.01). The percent of rapid eye movement sleep (REM) increased from N1 to N8 (p=0.03) and N15 (p=0.01). Overall, sleeping at 2650 m causes sleep disturbance in susceptible athletes, yet there was some improvement in REM sleep over the study duration.</t>
  </si>
  <si>
    <t>https://search.ebscohost.com/login.aspx?direct=true&amp;db=mdc&amp;AN=16075782&amp;site=ehost-live</t>
  </si>
  <si>
    <t>The development of a test of reactive agility for netball: a new methodology.</t>
  </si>
  <si>
    <t>Farrow D; Young W; Bruce L</t>
  </si>
  <si>
    <t>10.1016/s1440-2440(05)80024-6</t>
  </si>
  <si>
    <t>Basketball physiology; Movement physiology; Reaction Time physiology; Sports Medicine methods; Adolescent; Adult; Decision Making; Humans; Running physiology; Task Performance and Analysis</t>
  </si>
  <si>
    <t>The purpose of this study was to present a new methodology for the measurement of agility for netball that is considered more ecologically valid than previous agility tests. Specifically, the agility performance of highly-skilled (n = 12), moderately-skilled (n = 12) and lesser-skilled players (n = 8) when responding to a life-size, interactive video display of a netball player initiating a pass was compared to a traditional, pre-planned agility movement where no external stimulus was present. The total movement times and decision times of the players were the primary dependent measures of interest. A second purpose of the research was to determine the test-retest reliability of the testing approach. Results revealed significant differences existed between the 2 test conditions demonstrating that they were measuring different types of agility. The highly-skilled group was significantly faster in both the reactive and planned test conditions relative to the lesser-skilled group, while the moderately-skilled group was significantly faster than the lesser-skilled group in the reactive test condition. The decision time component within the reactive test condition revealed that the highly-skilled players made significantly faster decisions than the lesser-skilled players. It is reasoned that it is this decision-making component of reactive agility that contributes to the significant differences between the two test conditions. The testing approach was shown to have good test-retest reliability with an intra-class correlation of r = .83.</t>
  </si>
  <si>
    <t>https://search.ebscohost.com/login.aspx?direct=true&amp;db=mdc&amp;AN=15887901&amp;site=ehost-live</t>
  </si>
  <si>
    <t>Time motion analysis of 2001 and 2002 super 12 rugby.</t>
  </si>
  <si>
    <t>Duthie G; Pyne D; Hooper S</t>
  </si>
  <si>
    <t>10.1080/02640410410001730188</t>
  </si>
  <si>
    <t>Football physiology; Time and Motion Studies; Humans</t>
  </si>
  <si>
    <t>The aim of this study was to quantify movements of Super 12 rugby players in competition because information on elite rugby players' movements is unavailable. Players were categorized into forwards [front (n = 16) and back row (n = 15)] and backs [inside (n = 9) and outside backs (n = 7)] and their movements analysed by video-based time motion analysis. Movements were classified as rest (standing, walking and jogging) and work (striding, sprinting, static exertion, jumping, lifting or tackling). The total time, number and duration of individual activities were assessed, with differences between groups evaluated using independent sample t-tests (unequal variances), while differences between halves were assessed with paired sample t-tests. Forwards had 7:47 min:s (95% confidence limits: 6:39 to 8:55 min:s, P&lt;0.01) more time in static exertion than backs, but backs spent 0:52 (0:34 to 1:09, P = 0.01) min:s more time sprinting than forwards, and had a 0.7 (0.3 to 1.2, P = 0.01) s longer duration of each sprint. Forwards spent 7:31 (5:55 to 9:08) min:s more time in work activities (P = 0.01) and had 2.1 (1.3 to 2.8) s longer work durations (P&lt;0.01) than backs. The results indicate frequent short duration (&lt;4 s) work efforts followed by moderate duration (&lt;20 s) rest for forwards, and extended (&gt;100 s) rest duration for backs. High-intensity efforts involved static exertion for forwards (mean +/- standard deviation frequency = 80 +/- 17) and sprinting for backs (27 +/- 9). In conclusion, after nearly a decade since becoming professional, elite rugby union is still characterized by highly intense, intermittent movement patterns and marked differences in the competition demands of forwards and backs.</t>
  </si>
  <si>
    <t>https://search.ebscohost.com/login.aspx?direct=true&amp;db=mdc&amp;AN=16195000&amp;site=ehost-live</t>
  </si>
  <si>
    <t>Training leading to repetition failure enhances bench press strength gains in elite junior athletes.</t>
  </si>
  <si>
    <t>Drinkwater EJ; Lawton TW; Lindsell RP; Pyne DB; Hunt PH; McKenna MJ</t>
  </si>
  <si>
    <t>10.1519/R-15224.1</t>
  </si>
  <si>
    <t>Muscle Fatigue physiology; Muscle, Skeletal physiology; Physical Education and Training methods; Sports education; Sports physiology; Weight Lifting physiology; Adaptation, Physiological physiology; Adolescent; Arm; Basketball education; Basketball physiology; Humans; Male; Soccer education; Soccer physiology</t>
  </si>
  <si>
    <t>The purpose of this study was to investigate the importance of training leading to repetition failure in the performance of 2 different tests: 6 repetition maximum (6RM) bench press strength and 40-kg bench throw power in elite junior athletes. Subjects were 26 elite junior male basketball players (n = 12; age = 18.6 +/- 0.3 years; height = 202.0 +/- 11.6 cm; mass = 97.0 +/- 12.9 kg; mean +/- SD) and soccer players (n = 14; age = 17.4 +/- 0.5 years; height = 179.0 +/- 7.0 cm; mass = 75.0 +/- 7.1 kg) with a history of greater than 6 months' strength training. Subjects were initially tested twice for 6RM bench press mass and 40-kg Smith machine bench throw power output (in watts) to establish retest reliability. Subjects then undertook bench press training with 3 sessions per week for 6 weeks, using equal volume programs (24 repetitions x 80-105% 6RM in 13 minutes 20 seconds). Subjects were assigned to one of two experimental groups designed either to elicit repetition failure with 4 sets of 6 repetitions every 260 seconds (RF(4 x 6)) or allow all repetitions to be completed with 8 sets of 3 repetitions every 113 seconds (NF(8 x 3)). The RF(4 x 6) treatment elicited substantial increases in strength (7.3 +/- 2.4 kg, +9.5%, p &lt; 0.001) and power (40.8 +/- 24.1 W, +10.6%, p &lt; 0.001), while the NF(8 x 3) group elicited 3.6 +/- 3.0 kg (+5.0%, p &lt; 0.005) and 25 +/- 19.0 W increases (+6.8%, p &lt; 0.001). The improvements in the RF(4 x 6) group were greater than those in the repetition rest group for both strength (p &lt; 0.005) and power (p &lt; 0.05). Bench press training that leads to repetition failure induces greater strength gains than nonfailure training in the bench press exercise for elite junior team sport athletes.</t>
  </si>
  <si>
    <t>https://search.ebscohost.com/login.aspx?direct=true&amp;db=mdc&amp;AN=15903379&amp;site=ehost-live</t>
  </si>
  <si>
    <t>A pilot study of the eccentric decline squat in the management of painful chronic patellar tendinopathy.</t>
  </si>
  <si>
    <t>Purdam CR; Jonsson P; Alfredson H; Lorentzon R; Cook JL; Khan KM</t>
  </si>
  <si>
    <t>10.1136/bjsm.2003.000053</t>
  </si>
  <si>
    <t>Athletic Injuries therapy; Exercise Therapy methods; Knee Injuries therapy; Muscular Diseases therapy; Pain Management; Patella injuries; Adult; Chronic Disease; Female; Follow-Up Studies; Humans; Male; Pain etiology; Pain Measurement; Pilot Projects; Tendons; Treatment Outcome</t>
  </si>
  <si>
    <t>Objectives: This non-randomised pilot study investigated the effect of eccentric quadriceps training on 17 patients (22 tendons) with painful chronic patellar tendinopathy. Methods: Two different eccentric exercise regimens were used by subjects with a long duration of pain with activity (more than six months). (a) Nine consecutive patients (10 tendons; eight men, one woman; mean age 22 years) performed eccentric exercise with the ankle joint in a standard (foot flat) position. (b) Eight patients (12 tendons; five men, three women; mean age 28 years) performed eccentric training standing on a 25 degrees decline board, designed to increase load on the knee extensor mechanism. The eccentric training was performed twice daily, with three sets of 15 repetitions, for 12 weeks. Primary outcome measures were (a) 100 mm visual analogue scale (VAS), where the subject recorded the amount of pain during activity, and (b) return to previous activity. Follow up was at 12 weeks, with a further limited follow up at 15 months. Results: Good clinical results were obtained in the group who trained on the decline board, with six patients (nine tendons) returning to sport and showing a significantly reduced amount of pain over the 12 week period. Mean VAS scores fell from 74.2 to 28.5 (p = 0.004). At 15 months, four patients (five tendons) reported satisfactory results (mean VAS 26.2). In the standard squat group the results were poor, with only one athlete returning to previous activity. Mean VAS scores in this group were 79.0 at baseline and 72.3 at 12 weeks (p = 0.144). Conclusion: In a small group of patients with patellar tendinopathy, eccentric squats on a decline board produced encouraging results in terms of pain reduction and return to function in the short term. Eccentric exercise using standard single leg squats in a similar sized group appeared to be a less effective form of rehabilitation in reducing pain and returning subjects to previous levels of activity.</t>
  </si>
  <si>
    <t>https://search.ebscohost.com/login.aspx?direct=true&amp;db=mdc&amp;AN=15273169&amp;site=ehost-live</t>
  </si>
  <si>
    <t>A snapshot of biomechanics.</t>
  </si>
  <si>
    <t>SPHS-1031135</t>
  </si>
  <si>
    <t>BIOMECHANICS; SPORTS sciences</t>
  </si>
  <si>
    <t>Biomechanics is the study of human motion, the forces that produce that motion and the effects of those forces on and within the human body. The primary role of the Australian Institute of Sport (AIS) Biomechanics Department is to analyse the techniques of elite athletes who are on scholarship at the Institute. This is done with the aim of refining an athlete's technique to improve performance and/or prevent injury. By studying an athlete's performance, inadequacies that are limiting their performance can be diagnosed and the coach can then incorporate drills into the athlete's training to overcome the shortcomings. Technique analysis can be done in either the Biomechanics laboratory at the AIS or where the athlete competes or trains.</t>
  </si>
  <si>
    <t>https://search.ebscohost.com/login.aspx?direct=true&amp;db=s3h&amp;AN=SPHS-1031135&amp;site=ehost-live</t>
  </si>
  <si>
    <t>Accuracy of SRM and power tap power monitoring systems for bicycling.</t>
  </si>
  <si>
    <t>Gardner AS; Stephens S; Martin DT; Lawton E; Lee H; Jenkins D</t>
  </si>
  <si>
    <t>10.1249/01.mss.0000132380.21785.03</t>
  </si>
  <si>
    <t>Australia; Bicycling; Monitoring, Physiologic instrumentation; Australia; Calibration</t>
  </si>
  <si>
    <t>Purpose: : Although manufacturers of bicycle power monitoring devices SRM and Power Tap (PT) claim accuracy to within 2.5%, there are limited scientific data available in support. The purpose of this investigation was to assess the accuracy of SRM and PT under different conditions. Methods: : First, 19 SRM were calibrated, raced for 11 months, and retested using a dynamic CALRIG (50-1000 W at 100 rpm). Second, using the same procedure, five PT were repeat tested on alternate days. Third, the most accurate SRM and PT were tested for the influence of cadence (60, 80, 100, 120 rpm), temperature (8 and 21 degrees C) and time (1 h at ~300 W) on accuracy. Finally, the same SRM and PT were downloaded and compared after random cadence and gear surges using the CALRIG and on a training ride. Results: : The mean error scores for SRM and PT factory calibration over a range of 50 - 1000 W were 2.3 +/- 4.9% and -2.5 +/- 0.5%, respectively. A second set of trials provided stable results for 15 calibrated SRM after 11 months (-0.8 +/- 1.7%), and follow-up testing of all PT units confirmed these findings (-2.7 +/- 0.1%). Accuracy for SRM and PT was not largely influenced by time and cadence; however, power output readings were noticeably influenced by temperature (5.2% for SRM and 8.4% for PT). During field trials, SRM average and max power were 4.8% and 7.3% lower, respectively, compared with PT. Conclusions: : When operated according to manufacturers instructions, both SRM and PT offer the coach, athlete, and sport scientist the ability to accurately monitor power output in the lab and the field. Calibration procedures matching performance tests (duration, power, cadence, and temperature) are, however, advised as the error associated with each unit may vary.</t>
  </si>
  <si>
    <t>https://search.ebscohost.com/login.aspx?direct=true&amp;db=mdc&amp;AN=15235334&amp;site=ehost-live</t>
  </si>
  <si>
    <t>ACSM and MSSE: nutrition and metabolism perspective.</t>
  </si>
  <si>
    <t>10.1249/01.MSS.0000113469.60836.BA</t>
  </si>
  <si>
    <t>United States; Metabolism physiology; Nutritional Physiological Phenomena physiology; Periodicals as Topic trends; Sports Medicine trends; Health Promotion trends; Humans; International Cooperation; Practice Guidelines as Topic; United States</t>
  </si>
  <si>
    <t>https://search.ebscohost.com/login.aspx?direct=true&amp;db=mdc&amp;AN=14767236&amp;site=ehost-live</t>
  </si>
  <si>
    <t>Carbohydrates and fat for training and recovery.</t>
  </si>
  <si>
    <t>Burke LM; Kiens B; Ivy JL</t>
  </si>
  <si>
    <t>10.1080/0264041031000140527</t>
  </si>
  <si>
    <t>Dietary Carbohydrates administration &amp; dosage; Dietary Fats administration &amp; dosage; Energy Metabolism; Nutritional Physiological Phenomena; Sports physiology; Dietary Carbohydrates metabolism; Dietary Fats metabolism; Guidelines as Topic; Humans; Time Factors</t>
  </si>
  <si>
    <t>An important goal of the athlete's everyday diet is to provide the muscle with substrates to fuel the training programme that will achieve optimal adaptation for performance enhancements. In reviewing the scientific literature on post-exercise glycogen storage since 1991, the following guidelines for the training diet are proposed. Athletes should aim to achieve carbohydrate intakes to meet the fuel requirements of their training programme and to optimize restoration of muscle glycogen stores between workouts. General recommendations can be provided, preferably in terms of grams of carbohydrate per kilogram of the athlete's body mass, but should be fine-tuned with individual consideration of total energy needs, specific training needs and feedback from training performance. It is valuable to choose nutrient-rich carbohydrate foods and to add other foods to recovery meals and snacks to provide a good source of protein and other nutrients. These nutrients may assist in other recovery processes and, in the case of protein, may promote additional glycogen recovery when carbohydrate intake is suboptimal or when frequent snacking is not possible. When the period between exercise sessions is &lt; 8 h, the athlete should begin carbohydrate intake as soon as practical after the first workout to maximize the effective recovery time between sessions. There may be some advantages in meeting carbohydrate intake targets as a series of snacks during the early recovery phase, but during longer recovery periods (24 h) the athlete should organize the pattern and timing of carbohydrate-rich meals and snacks according to what is practical and comfortable for their individual situation. Carbohydrate-rich foods with a moderate to high glycaemic index provide a readily available source of carbohydrate for muscle glycogen synthesis, and should be the major carbohydrate choices in recovery meals. Although there is new interest in the recovery of intramuscular triglyceride stores between training sessions, there is no evidence that diets which are high in fat and restricted in carbohydrate enhance training.</t>
  </si>
  <si>
    <t>https://search.ebscohost.com/login.aspx?direct=true&amp;db=mdc&amp;AN=14971430&amp;site=ehost-live</t>
  </si>
  <si>
    <t>Current concepts in sports nutrition.</t>
  </si>
  <si>
    <t>Burke, L.; Bell, L.; Cort, M.; Cox, G.; Farthing, L.; Greenaway, B.; Minehan, M.; Petrunoff, N.; Wood, C.</t>
  </si>
  <si>
    <t>SPHS-968371</t>
  </si>
  <si>
    <t>Australian Institute of Sport</t>
  </si>
  <si>
    <t>NUTRITION; ENERGY metabolism; ENERGY expenditure; ENERGY bars (Food); SPORTS</t>
  </si>
  <si>
    <t>This booklet provides coverage of current concepts in sports nutrition. It examines the most recent research and sets out guidelines to help you apply this knowledge to the practicalities of your own sport and individual situation.</t>
  </si>
  <si>
    <t>https://search.ebscohost.com/login.aspx?direct=true&amp;db=s3h&amp;AN=SPHS-968371&amp;site=ehost-live</t>
  </si>
  <si>
    <t>Does overtraining exist? An analysis of overreaching and overtraining research.</t>
  </si>
  <si>
    <t>Halson SL; Jeukendrup AE</t>
  </si>
  <si>
    <t>10.2165/00007256-200434140-00003</t>
  </si>
  <si>
    <t>Exercise physiology; Sports physiology; Catecholamines urine; Glutamine blood; Glycogen metabolism; Heart Rate; Humans; Hydrocortisone blood; Research; Testosterone blood</t>
  </si>
  <si>
    <t>Athletes experience minor fatigue and acute reductions in performance as a consequence of the normal training process. When the balance between training stress and recovery is disproportionate, it is thought that overreaching and possibly overtraining may develop. However, the majority of research that has been conducted in this area has investigated overreached and not overtrained athletes. Overreaching occurs as a result of intensified training and is often considered a normal outcome for elite athletes due to the relatively short time needed for recovery (approximately 2 weeks) and the possibility of a supercompensatory effect. As the time needed to recover from the overtraining syndrome is considered to be much longer (months to years), it may not be appropriate to compare the two states. It is presently not possible to discern acute fatigue and decreased performance experienced from isolated training sessions, from the states of overreaching and overtraining. This is partially the result of a lack of diagnostic tools, variability of results of research studies, a lack of well controlled studies and individual responses to training.The general lack of research in the area in combination with very few well controlled investigations means that it is very difficult to gain insight into the incidence, markers and possible causes of overtraining. There is currently no evidence aside from anecdotal information to suggest that overreaching precedes overtraining and that symptoms of overtraining are more severe than overreaching. It is indeed possible that the two states show different defining characteristics and the overtraining continuum may be an oversimplification. Critical analysis of relevant research suggests that overreaching and overtraining investigations should be interpreted with caution before recommendations for markers of overreaching and overtraining can be proposed. Systematically controlled and monitored studies are needed to determine if overtraining is distinguishable from overreaching, what the best indicators of these states are and the underlying mechanisms that cause fatigue and performance decrements. The available scientific and anecdotal evidence supports the existence of the overtraining syndrome; however, more research is required to state with certainty that the syndrome exists.</t>
  </si>
  <si>
    <t>https://search.ebscohost.com/login.aspx?direct=true&amp;db=mdc&amp;AN=15571428&amp;site=ehost-live</t>
  </si>
  <si>
    <t>Effects of carbohydrate supplementation on performance and carbohydrate oxidation after intensified cycling training.</t>
  </si>
  <si>
    <t>Halson SL; Lancaster GI; Achten J; Gleeson M; Jeukendrup AE</t>
  </si>
  <si>
    <t>10.1152/japplphysiol.01368.2003</t>
  </si>
  <si>
    <t>Bicycling physiology; Dietary Carbohydrates metabolism; Exercise physiology; Physical Endurance physiology; Physical Fitness physiology; Adult; Cross-Over Studies; Dietary Supplements; Double-Blind Method; Humans; Male; Oxidation-Reduction; Physical Education and Training methods</t>
  </si>
  <si>
    <t>To study the effects of carbohydrate (CHO) supplementation on performance changes and symptoms of overreaching, six male endurance cyclists completed 1 wk of normal (N), 8 days of intensified (ITP), and 2 wk of recovery training (R) on two occasions in a randomized crossover design. Subjects completed one trial with a 6% CHO solution provided before and during training and a 20% solution in the 1 h postexercise (H-CHO trial). On the other occasion, subjects consumed a 2% CHO solution at the same time points (L-CHO). A significant decline in time to fatigue at approximately 63% maximal power output (H-CHO: 17 +/- 3%; L-CHO: 26 +/- 7%) and a significant increase in mood disturbance occurred in both trials after ITP. The decline in performance was significantly greater in the L-CHO trial. After ITP, a significant decrease in estimated muscle glycogen oxidation (H-CHO: N 49.3 +/- 2.9 kcal/30 min, ITP 32.6 +/- 3.4 kcal/30 min; L-CHO: N 49.1 +/- 30 kcal/30 min, ITP 39.0 +/- 5.6 kcal/30 min) and increase in fat oxidation (H-CHO: N 16.3 +/- 2.4 kcal/30 min, ITP 27.8 +/- 2.3 kcal/30 min; L-CHO: N 16.9 +/- 2.6 kcal/30 min, ITP: 25.4 +/- 3.5 kcal/30 min) occurred alongside significant increases in glycerol and free fatty acids and decreases in free triglycerides in both trials. An interaction effect was observed for submaximal plasma concentrations of cortisol and epinephrine, with significantly greater reductions in these stress hormones in L-CHO compared with H-CHO after ITP. These findings suggest that CHO supplementation can reduce the symptoms of overreaching but cannot prevent its development. Decreased endocrine responsiveness to exercise may be implicated in the decreased performance and increased mood disturbance characteristic of overreaching.</t>
  </si>
  <si>
    <t>https://search.ebscohost.com/login.aspx?direct=true&amp;db=mdc&amp;AN=15155717&amp;site=ehost-live</t>
  </si>
  <si>
    <t>Factors affecting running economy in trained distance runners.</t>
  </si>
  <si>
    <t>Saunders PU; Pyne DB; Telford RD; Hawley JA</t>
  </si>
  <si>
    <t>10.2165/00007256-200434070-00005</t>
  </si>
  <si>
    <t>Oxygen Consumption; Running physiology; Biomechanical Phenomena; Body Mass Index; Energy Metabolism; Exercise; Humans; Task Performance and Analysis</t>
  </si>
  <si>
    <t>Running economy (RE) is typically defined as the energy demand for a given velocity of submaximal running, and is determined by measuring the steady-state consumption of oxygen (VO2) and the respiratory exchange ratio. Taking body mass (BM) into consideration, runners with good RE use less energy and therefore less oxygen than runners with poor RE at the same velocity. There is a strong association between RE and distance running performance, with RE being a better predictor of performance than maximal oxygen uptake (VO2max) in elite runners who have a similar VO2max). RE is traditionally measured by running on a treadmill in standard laboratory conditions, and, although this is not the same as overground running, it gives a good indication of how economical a runner is and how RE changes over time. In order to determine whether changes in RE are real or not, careful standardisation of footwear, time of test and nutritional status are required to limit typical error of measurement. Under controlled conditions, RE is a stable test capable of detecting relatively small changes elicited by training or other interventions. When tracking RE between or within groups it is important to account for BM. As VO2 during submaximal exercise does not, in general, increase linearly with BM, reporting RE with respect to the 0.75 power of BM has been recommended. A number of physiological and biomechanical factors appear to influence RE in highly trained or elite runners. These include metabolic adaptations within the muscle such as increased mitochondria and oxidative enzymes, the ability of the muscles to store and release elastic energy by increasing the stiffness of the muscles, and more efficient mechanics leading to less energy wasted on braking forces and excessive vertical oscillation. Interventions to improve RE are constantly sought after by athletes, coaches and sport scientists. Two interventions that have received recent widespread attention are strength training and altitude training. Strength training allows the muscles to utilise more elastic energy and reduce the amount of energy wasted in braking forces. Altitude exposure enhances discrete metabolic aspects of skeletal muscle, which facilitate more efficient use of oxygen. The importance of RE to successful distance running is well established, and future research should focus on identifying methods to improve RE. Interventions that are easily incorporated into an athlete's training are desirable.</t>
  </si>
  <si>
    <t>https://search.ebscohost.com/login.aspx?direct=true&amp;db=mdc&amp;AN=15233599&amp;site=ehost-live</t>
  </si>
  <si>
    <t>Fuelling your sport - canoe/kayak flatwater.</t>
  </si>
  <si>
    <t>SPHS-973972</t>
  </si>
  <si>
    <t>CANOES &amp; canoeing; KAYAKING; NUTRITION; DIET; TRAINING; CONTESTS; CASE studies</t>
  </si>
  <si>
    <t>https://search.ebscohost.com/login.aspx?direct=true&amp;db=s3h&amp;AN=SPHS-973972&amp;site=ehost-live</t>
  </si>
  <si>
    <t>Fuelling your sport - diving.</t>
  </si>
  <si>
    <t>SPHS-973973</t>
  </si>
  <si>
    <t>DIVING; NUTRITION; DIET; TRAINING; CONTESTS; CASE studies</t>
  </si>
  <si>
    <t>https://search.ebscohost.com/login.aspx?direct=true&amp;db=s3h&amp;AN=SPHS-973973&amp;site=ehost-live</t>
  </si>
  <si>
    <t>Fuelling your sport - hockey.</t>
  </si>
  <si>
    <t>SPHS-973975</t>
  </si>
  <si>
    <t>FIELD hockey; NUTRITION; DIET; TRAINING; CONTESTS; CASE studies</t>
  </si>
  <si>
    <t>https://search.ebscohost.com/login.aspx?direct=true&amp;db=s3h&amp;AN=SPHS-973975&amp;site=ehost-live</t>
  </si>
  <si>
    <t>Fuelling your sport - sport climbing.</t>
  </si>
  <si>
    <t>SPHS-973976</t>
  </si>
  <si>
    <t>MOUNTAINEERING; NUTRITION; DIET; TRAINING; CONTESTS; CASE studies</t>
  </si>
  <si>
    <t>https://search.ebscohost.com/login.aspx?direct=true&amp;db=s3h&amp;AN=SPHS-973976&amp;site=ehost-live</t>
  </si>
  <si>
    <t>Fuelling your sport - surf life saving.</t>
  </si>
  <si>
    <t>SPHS-973977</t>
  </si>
  <si>
    <t>SURF lifesaving (Aquatic sports); NUTRITION; DIET; TRAINING; CONTESTS; CASE studies</t>
  </si>
  <si>
    <t>https://search.ebscohost.com/login.aspx?direct=true&amp;db=s3h&amp;AN=SPHS-973977&amp;site=ehost-live</t>
  </si>
  <si>
    <t>Fuelling your sport - V8 supercars.</t>
  </si>
  <si>
    <t>SPHS-973978</t>
  </si>
  <si>
    <t>AUTOMOBILE racing; NUTRITION; DIET; TRAINING; CONTESTS; CASE studies</t>
  </si>
  <si>
    <t>https://search.ebscohost.com/login.aspx?direct=true&amp;db=s3h&amp;AN=SPHS-973978&amp;site=ehost-live</t>
  </si>
  <si>
    <t>Get out! get active! get healthy! : helping Australian families get active.</t>
  </si>
  <si>
    <t>SPHS-1036818</t>
  </si>
  <si>
    <t>Nestle</t>
  </si>
  <si>
    <t>NUTRITION; DIET; SPORTS; PHYSICAL education &amp; training; GAMES; CHILDREN; FAMILY</t>
  </si>
  <si>
    <t>https://search.ebscohost.com/login.aspx?direct=true&amp;db=s3h&amp;AN=SPHS-1036818&amp;site=ehost-live</t>
  </si>
  <si>
    <t>Improved running economy in elite runners after 20 days of simulated moderate-altitude exposure.</t>
  </si>
  <si>
    <t>Saunders PU; Telford RD; Pyne DB; Cunningham RB; Gore CJ; Hahn AG; Hawley JA</t>
  </si>
  <si>
    <t>10.1152/japplphysiol.00725.2003</t>
  </si>
  <si>
    <t>Acclimatization physiology; Altitude; Oxygen Consumption physiology; Running physiology; Adult; Chi-Square Distribution; Heart Rate physiology; Humans; Lactic Acid blood; Linear Models; Male; Time Factors</t>
  </si>
  <si>
    <t>To investigate the effect of altitude exposure on running economy (RE), 22 elite distance runners [maximal O(2) consumption (Vo(2)) 72.8 +/- 4.4 ml x kg(-1) x min(-1); training volume 128 +/- 27 km/wk], who were homogenous for maximal Vo(2) and training, were assigned to one of three groups: live high (simulated altitude of 2,000-3,100 m)-train low (LHTL; natural altitude of 600 m), live moderate-train moderate (LMTM; natural altitude of 1,500-2,000 m), or live low-train low (LLTL; natural altitude of 600 m) for a period of 20 days. RE was assessed during three submaximal treadmill runs at 14, 16, and 18 km/h before and at the completion of each intervention. Vo(2), minute ventilation (Ve), respiratory exchange ratio, heart rate, and blood lactate concentration were determined during the final 60 s of each run, whereas hemoglobin mass (Hb(mass)) was measured on a separate occasion. All testing was performed under normoxic conditions at approximately 600 m. Vo(2) (l/min) averaged across the three submaximal running speeds was 3.3% lower (P = 0.005) after LHTL compared with either LMTM or LLTL. Ve, respiratory exchange ratio, heart rate, and Hb(mass) were not significantly different after the three interventions. There was no evidence of an increase in lactate concentration after the LHTL intervention, suggesting that the lower aerobic cost of running was not attributable to an increased anaerobic energy contribution. Furthermore, the improved RE could not be explained by a decrease in Ve or by preferential use of carbohydrate as a metabolic substrate, nor was it related to any change in Hb(mass). We conclude that 20 days of LHTL at simulated altitude improved the RE of elite distance runners.</t>
  </si>
  <si>
    <t>https://search.ebscohost.com/login.aspx?direct=true&amp;db=mdc&amp;AN=14607850&amp;site=ehost-live</t>
  </si>
  <si>
    <t>Inability to train, recurrent infection, and selective IgM deficiency.</t>
  </si>
  <si>
    <t>10.1097/00042752-200411000-00006</t>
  </si>
  <si>
    <t>Bacterial Infections diagnosis; Dysgammaglobulinemia diagnosis; Fatigue etiology; Immunoglobulin M deficiency; Adult; Dysgammaglobulinemia drug therapy; Energy Metabolism; Fatigue physiopathology; Follow-Up Studies; Humans; Immunosuppressive Agents therapeutic use; Male; Physical Education and Training; Recurrence; Risk Assessment; Sports; Treatment Outcome</t>
  </si>
  <si>
    <t>https://search.ebscohost.com/login.aspx?direct=true&amp;db=mdc&amp;AN=15523208&amp;site=ehost-live</t>
  </si>
  <si>
    <t>Miyoshi myopathy--an unusual cause of calf pain and tightness.</t>
  </si>
  <si>
    <t>Fallon KE; Collins SJ; Purdam C</t>
  </si>
  <si>
    <t>10.1097/00042752-200401000-00008</t>
  </si>
  <si>
    <t>Leg physiopathology; Muscular Dystrophies complications; Muscular Dystrophies diagnosis; Pain etiology; Adult; Athletic Injuries diagnosis; Diagnosis, Differential; Gait physiology; Humans; Male; Muscle, Skeletal pathology; Muscle, Skeletal physiopathology; Muscular Dystrophies physiopathology</t>
  </si>
  <si>
    <t>https://search.ebscohost.com/login.aspx?direct=true&amp;db=mdc&amp;AN=14712166&amp;site=ehost-live</t>
  </si>
  <si>
    <t>Patellar tendinosis as an adaptive process: a new hypothesis.</t>
  </si>
  <si>
    <t>Hamilton B; Purdam C</t>
  </si>
  <si>
    <t>10.1136/bjsm.2003.005157</t>
  </si>
  <si>
    <t>Athletic Injuries physiopathology; Knee Injuries physiopathology; Tendon Injuries physiopathology; Adaptation, Physiological; Athletic Injuries pathology; Biomechanical Phenomena; Humans; Knee Injuries pathology; Patella physiopathology; Tendon Injuries pathology</t>
  </si>
  <si>
    <t>Background: Patellar tendinosis (PT), or "jumper's knee" is a common condition in athletes participating in jumping sports, and is characterised by proximal patellar tendon pain and focal tenderness to palpation. Hypoechoic lesions observed in the proximal patellar tendon associated with the tendinosis are typically described as being a result of degenerative change or "failed healing". We propose a new model for the development of the hypoechoic lesion observed in PT, in which the aetiology is an adaptive response to differential forces within the tendon. Methods: We assessed the clinical, histopathological, and biomechanical literature surrounding the patellar tendon and integrated this with research into the response of tendons to differential forces. Results and Conclusions: We propose that the hypoechoic lesion commonly described in PT is the result of adaptation or partial adaptation of the proximal patellar tendon to a compressive load. We postulate that the biomechanics of the patellar-patellar tendon interface creates this compressive environment. Secondary failure of the surrounding tensile adapted tendon tissue may result in tissue overload and failure, with resultant stimulation of nociceptors. We believe that this "adaptive model" of patellar tendinosis is consistent with the clinical and histological findings.</t>
  </si>
  <si>
    <t>https://search.ebscohost.com/login.aspx?direct=true&amp;db=mdc&amp;AN=15562176&amp;site=ehost-live</t>
  </si>
  <si>
    <t>Progression and variability of competitive performance of Olympic swimmers.</t>
  </si>
  <si>
    <t>Pyne D; Trewin C; Hopkins W</t>
  </si>
  <si>
    <t>10.1080/02640410310001655822</t>
  </si>
  <si>
    <t>Australia; United States; Competitive Behavior physiology; Physical Endurance physiology; Psychomotor Performance; Sports physiology; Swimming physiology; Adolescent; Adult; Australia; Female; Humans; Male; Reproducibility of Results; Swimming psychology; United States</t>
  </si>
  <si>
    <t>Estimates of progression and variability of athletic performance in competitions are useful for researchers and practitioners interested in factors that affect performance. We used repeated-measures mixed modelling to analyse 676 official race times of 26 US and 25 Australian Olympic swimmers in the 12-month period leading up to the 2000 Olympic Games. Progression was expressed as percent changes in mean performance; variability was expressed as the coefficient of variation in performance of an individual swimmer between races. Within competitions, both nations showed similar improvements in mean time from heats through finals (overall 1.2%; 95% confidence limits 1.1 to 1.3%). Mean competition time also improved over 12 months by a similar amount in both nations (0.9%; 95% confidence limits 0.6 to 1.2%). The US swimmers showed a greater improvement between the finals (a difference of 0.5%; 95% confidence limits -0.2 to 1.1%), which paralleled changes in the medal haul of the two nations. The coefficient of variation in performance time for a swimmer between races was 0.60% (95% confidence limits 0.56 to 0.65%) within a competition and 0.80% (95% confidence limits 0.73 to 0.86%) between competitions. Our results show that: (a) to stay in contention for a medal, an Olympic swimmer should improve his or her performance by approximately 1% within a competition and by approximately 1% within the year leading up to the Olympics; (b) an additional enhancement of approximately 0.4% (one-half the between-competition variability) would substantially increase the swimmer's chances of a medal.</t>
  </si>
  <si>
    <t>https://search.ebscohost.com/login.aspx?direct=true&amp;db=mdc&amp;AN=15370491&amp;site=ehost-live</t>
  </si>
  <si>
    <t>Relationship between world-ranking and Olympic performance of swimmers.</t>
  </si>
  <si>
    <t>Trewin CB; Hopkins WG; Pyne DB</t>
  </si>
  <si>
    <t>10.1080/02640410310001641610</t>
  </si>
  <si>
    <t>Achievement; Swimming; Task Performance and Analysis; Adolescent; Adult; Age Factors; Awards and Prizes; Competitive Behavior; Confidence Intervals; Female; Humans; Male; Physical Fitness; Predictive Value of Tests; Retrospective Studies; Sampling Studies; Sex Factors</t>
  </si>
  <si>
    <t>Coaches believe world-ranking lists are a reliable tool for predicting international swimming performance. To examine the relationship between world-ranking and Olympic performance, we modelled world-ranking time and best time from the 2000 Olympic Games for 407 top-50 world-ranked swimmers. Analysis of log-transformed times yielded within-athlete and between-athlete coefficients of variation (CV) and percent changes in performance from world-rankings to Olympics. Variations and performance progressions were compared across sex, stroke, distance, nation and medal status. The within-athlete coefficient of variation of performance for all swimmers was 0.8% (95% confidence limits: 0.7 to 0.9%). Females were slightly less consistent, although not substantially different to males (ratio of female/male within-athlete CV: 1.1; 95% confidence limits: 1.0 to 1.2) and had a wider range of talent (ratio of female/male between-athlete CV: 1.2; 95% confidence limits: 1.1 to 1.4). Swimmers from Australia (AUS) were more consistent than those from the United States (USA) and other nations (OTHER) (ratio of within-athlete CV, USA/AUS: 1.5; 95% confidence limits: 1.0 to 2.2; OTHER/ AUS: 1.6; 95% confidence limits: 1.2 to 2.1). Most Olympic medallists (87%) had a top-10 world-ranking. Overall performance time at the Olympics was slower than world-ranking time by 0.3% (95% confidence limits: 0.2 to 0.4%), medallists improved by 0.6% (95% confidence limits: 0.4 to 0.9%) and non-medallists swam 0.6% slower (95% confidence limits: 0.5 to 0.7%). We conclude that a top-10 ranked swimmer who can improve performance time by 0.6%, equivalent to 0.13 s in the men's 50-m freestyle, will substantially increase their chance of an Olympic medal (the difference between first and fourth place).</t>
  </si>
  <si>
    <t>https://search.ebscohost.com/login.aspx?direct=true&amp;db=mdc&amp;AN=15161107&amp;site=ehost-live</t>
  </si>
  <si>
    <t>Reliability and variability of running economy in elite distance runners.</t>
  </si>
  <si>
    <t>10.1249/01.mss.0000145468.17329.9f</t>
  </si>
  <si>
    <t>Oxygen Consumption physiology; Running physiology; Sports Medicine methods; Adult; Exercise Test; Humans; Lactic Acid blood; Male; Physical Education and Training methods; Reference Values; Reproducibility of Results</t>
  </si>
  <si>
    <t>Purpose: To establish the typical error (TE) associated with equipment, testing, and biological variation of a running economy (RE) test in 11 elite male distance runners (VO2max 70.3 +/- 7.3 mL x min(-1) x kg(-1)), and measure the between-athlete variation of 70 highly trained runners (VO2max 69.7 +/- 6.0 mL x min(-1) x kg(-1)) to determine the magnitude of the smallest worthwhile change (SWC) required for RE. Methods: Runners performed three 4-min bouts of submaximal treadmill running at speeds of 14, 16, and 18 km x h(-1) (0% grade), on two separate occasions within a 7-d period to determine reliability and once over a 3-yr period to measure the SWC. During all RE tests O2 consumption (VO2), ventilation (VE), respiratory exchange ratio (RER), heart rate (HR), stride rate (SR), and concentration of blood lactate (Lac) were determined. Results: The TE for the pooled data of three running speeds (14, 16, and 18 km x h(-1)) was 2.4% for VO2, 7.3% for VE, 27% for Lac, and ranged between 1 and 4% for RER, HR, and SR. Conclusions: The results demonstrate that although the magnitude of the TE for a submaximal treadmill running protocol of three 4-min work efforts is small (2.4-7.3%) for measures associated with cardiorespiratory parameters, it is three- to fourfold higher for Lac. Given the small TE associated with RE, and a SWC of similar magnitude for this cohort of distance runners, the RE test is useful in detecting changes attributable to training interventions. Changes in RE greater than approximately 2.4% in this cohort of elite distance runners are likely to be "real" and "worthwhile," and not simply related to testing error and typical variation.</t>
  </si>
  <si>
    <t>https://search.ebscohost.com/login.aspx?direct=true&amp;db=mdc&amp;AN=15514515&amp;site=ehost-live</t>
  </si>
  <si>
    <t>Response of soluble transferrin receptor and iron-related parameters to iron supplementation in elite, iron-depleted, nonanemic female athletes.</t>
  </si>
  <si>
    <t>Pitsis GC; Fallon KE; Fallon SK; Fazakerley R</t>
  </si>
  <si>
    <t>10.1097/00042752-200409000-00009</t>
  </si>
  <si>
    <t>Dietary Supplements; Iron Deficiencies; Iron, Dietary administration &amp; dosage; Receptors, Transferrin metabolism; Sports physiology; Adolescent; Adult; Female; Ferritins blood; Hematocrit; Hemoglobins metabolism; Humans; Prospective Studies; Sensitivity and Specificity; Transferrin metabolism</t>
  </si>
  <si>
    <t>Objectives: To assess the effect of short-term iron supplementation on soluble transferrin receptor (sTfR) and the soluble transferrin receptor/log ferritin ratio in a group of elite, iron-depleted, nonanemic female athletes and to assess the relationship between soluble transferrin receptor and serum ferritin in a group of elite, iron-depleted female athletes. Design: A prospective, interventional study and an observation at 1 point in time. The primary inclusion criteria for each component of the study was serum ferritin less than 30 ng/mL and hemoglobin greater than 12 g/dL. The exclusion criteria were use of iron supplementation within 1 month of the initial assessment, acute or chronic infectious or inflammatory disease, hematological disorders, and recent musculoskeletal injury. Setting: The Department of Sports Medicine at the Australian Institute of Sport. Subjects: For the prospective study, 51, and for the observational study, 85 elite, iron-depleted (serum ferritin &lt;30 ng/mL), nonanemic (hemoglobin &lt;12 g/dL for the prospective study only) female athletes. Athletes were participants at the elite level in netball, basketball, gymnastics, rowing, volleyball, track and field, soccer, sailing, and cricket. Intervention: Ingestion of 1 iron tablet (325 mg dried ferrous sulfate, equivalent to 105 mg elemental iron) plus one 500-mg tablet of vitamin C each morning for 60 days. Results: Following supplementation, the following changes were statistically significant. Serum ferritin increased (19.7 to 37.4 ng/mL; P &lt; 0.00005), serum transferrin decreased (3.34 to 3.16 g/L; P = 0.023), sTfR decreased (3.46 to 3.16 mg/L; P = 0.006), and sTfR/log ferritin index decreased (1.34 to 1.00; P &lt; 0.00005). If it is assumed that iron stores are depleted when serum ferritin is less than 12 ng/mL and that sTfR could be expected to be elevated below that level of serum ferritin, the following figures can be calculated for the value of sTfR in relation to absent iron stores: sensitivity, 33%; specificity, 96%; positive predictive value, 50%; and negative predictive value, 92%. Conclusions: Short-term iron supplementation increases iron stores and leads to reductions in sTfR and the sTfR/log ferritin index in elite female athletes. sTfR is not an accurate predictor of serum ferritin less than 12 ng/mL in this group.</t>
  </si>
  <si>
    <t>https://search.ebscohost.com/login.aspx?direct=true&amp;db=mdc&amp;AN=15377970&amp;site=ehost-live</t>
  </si>
  <si>
    <t>Survival around the world.</t>
  </si>
  <si>
    <t>Burke, L.; Bell, L.; Cort, M.; Cox, G.; Crawford, R.; Minehan, M.; Wood, C.</t>
  </si>
  <si>
    <t>SPHS-946434</t>
  </si>
  <si>
    <t>FPC Magazine</t>
  </si>
  <si>
    <t>NUTRITION; DIET; FOOD; ATHLETES; COOKERY; TRAVEL</t>
  </si>
  <si>
    <t>Survival around the world is the third official cookbook from the Australian Institute of Sport. Developed by the sports dietitians at the AIS, with help from the athletes themselves, it is aimed not only at travelling athletes but anyone who is interested in maintaining a healthy diet - whether at home or abroad. The cookbook contains a fabulous selection of international recipes, each of which is accompanied by a nutritional analysis for high fuel and low fuel servings, plus cooking hints and travelling tips from AIS athletes. Drawing on inspiration from cuisines around the world, the recipes are designed to provide maximum energy and nutrition with minimal fuss.</t>
  </si>
  <si>
    <t>https://search.ebscohost.com/login.aspx?direct=true&amp;db=s3h&amp;AN=SPHS-946434&amp;site=ehost-live</t>
  </si>
  <si>
    <t>The effect of continuous repetition training and intra-set rest training on bench press strength and power.</t>
  </si>
  <si>
    <t>Lawton T; Cronin J; Drinkwater E; Lindsell R; Pyne D</t>
  </si>
  <si>
    <t>Muscle Contraction physiology; Muscle, Skeletal physiology; Physical Education and Training; Physical Endurance physiology; Weight Lifting physiology; Adolescent; Anaerobic Threshold; Basketball physiology; Ergometry; Humans; Male; Reproducibility of Results; Soccer physiology</t>
  </si>
  <si>
    <t>Aim: The purpose of this research was to compare the effects of continuous repetition and intra-set rest training on maximal strength and power output of the upper body. Methods: The 6 repetition maximum (6RM) and bench press throw power output against masses of 20, 30 and 40 kg of 26 elite junior male basketball and soccer players were tested on 2 separate occasions for reliability purposes. Subjects were then randomly assigned to either a continuous repetition (CR - 4 sets x 6 repetitions) or intra-set rest (ISR - 8 sets x 3 repetitions) training regime over 6-weeks. Volume (sets x repetitions x %6RM) between groups was equated and both groups completed all sets in the same time period (13 minutes and 20 seconds). The total concentric work time was determined to identify differences in training regimes. Independent sample t-tests on preintervention and postintervention percentage change scores were analysed for significant differences (p&lt;0.05). Results: The observed coefficients of variation (1.7% to 4.8%) and intraclass correlation coefficients (r=0.87 to 0.98) indicated stability of these measures across testing occasions. The CR group significantly increased 6RM strength (9.7%) compared with the ISR group (4.9%). The total concentric work time was significantly longer in CR training than ISR (36.03+/- 4.03 s and 31.74+/-4.71 s; p=0.13). Power output increases across the 20, 30 and 40 kg loads ranged from 5.8% to 10.9% for both training groups but the between-group percentage change scores were not significantly different. Conclusions: Bench press training involving 4 sets of 6 continuous repetitions elicited a greater improvement in bench press strength than 8 sets of 3 repetitions at the same percentage load of their 6RM. Both ISR and CR training were equally effective in increasing power output.</t>
  </si>
  <si>
    <t>https://search.ebscohost.com/login.aspx?direct=true&amp;db=mdc&amp;AN=15758847&amp;site=ehost-live</t>
  </si>
  <si>
    <t>Time-motion analysis of elite field hockey, with special reference to repeated-sprint activity.</t>
  </si>
  <si>
    <t>Spencer M; Lawrence S; Rechichi C; Bishop D; Dawson B; Goodman C</t>
  </si>
  <si>
    <t>10.1080/02640410410001716715</t>
  </si>
  <si>
    <t>Australia; Competitive Behavior physiology; Hockey physiology; Adult; Australia; Biomechanical Phenomena; Humans; Male; Movement physiology; Time Factors</t>
  </si>
  <si>
    <t>Limited information exists about the movement patterns of field-hockey players, especially during elite competition. Time-motion analysis was used to document the movement patterns during an international field-hockey game. In addition, the movement patterns of repeated-sprint activity were investigated, as repeated-sprint ability is considered to be an important fitness component of team-sport performance. Fourteen members of the Australian men's field-hockey team (age 26+/-3 years, body mass 76.7+/-5.6 kg, VO2max 57.9+/-3.6 ml.kg(-1).min(-1); mean+/-s) were filmed during an international game and their movement patterns were analysed. The majority of the total player game time was spent in the low-intensity motions of walking, jogging and standing (46.5+/-8.1, 40.5+/-7.0 and 7.4+/-0.9%, respectively). In comparison, the proportions of time spent in striding and sprinting were 4.1+/-1.1 and 1.5+/-0.6%, respectively. Our criteria for 'repeated-sprint' activity (defined as a minimum of three sprints, with mean recovery duration between sprints of less than 21 s) was met on 17 occasions during the game (total for all players), with a mean 4+/-1 sprints per bout. On average, 95% of the recovery during the repeated-sprint bouts was of an active nature. In summary, the results suggest that the motion activities of an elite field-hockey competition are similar to those of elite soccer, rugby and Australian Rules football. In addition, the investigation of repeated-sprint activity during competition has provided additional information about the unique physiological demands of elite field-hockey performance.</t>
  </si>
  <si>
    <t>https://search.ebscohost.com/login.aspx?direct=true&amp;db=mdc&amp;AN=15513278&amp;site=ehost-live</t>
  </si>
  <si>
    <t>Upper airway obstruction masquerading as exercise induced bronchospasm in an elite road cyclist.</t>
  </si>
  <si>
    <t>E9</t>
  </si>
  <si>
    <t>10.1136/bjsm.2003.006486</t>
  </si>
  <si>
    <t>Airway Obstruction diagnosis; Bicycling; Bronchial Spasm diagnosis; Dyspnea etiology; Laryngeal Diseases diagnosis; Adult; Airway Obstruction etiology; Airway Obstruction physiopathology; Bronchial Spasm etiology; Bronchial Spasm physiopathology; Diagnosis, Differential; Dyspnea physiopathology; Exercise physiology; Female; Forced Expiratory Volume; Humans; Laryngeal Diseases etiology; Laryngeal Diseases physiopathology; Vital Capacity; Vocal Cords</t>
  </si>
  <si>
    <t>This case concerns an elite road cyclist who complained of occasional dyspnoea and inspiratory difficulty during intense exercise. Clinical examination was normal and the final diagnosis was vocal cord dysfunction, a paradoxical closure of the vocal cords during inspiration which is highly associated with inspiratory stridor at high rates of ventilation. Awareness by the sports physician of this not uncommon condition is important to avoid misdiagnosis.</t>
  </si>
  <si>
    <t>https://search.ebscohost.com/login.aspx?direct=true&amp;db=mdc&amp;AN=15273202&amp;site=ehost-live</t>
  </si>
  <si>
    <t>Utility of hematological and iron-related screening in elite athletes.</t>
  </si>
  <si>
    <t>10.1097/00042752-200405000-00007</t>
  </si>
  <si>
    <t>Australia; Anemia, Iron-Deficiency diagnosis; Iron blood; Sports Medicine; Anemia, Iron-Deficiency blood; Australia; Cohort Studies; Female; Humans; Male; Mass Screening</t>
  </si>
  <si>
    <t>Objective: To determine the clinical and performance related utility of hematological and iron-related screening in elite athletes. Design: Prospective cohort study. Setting: The Department of Sports Medicine at the Australian Institute of Sport. Participants: Male and female elite athletes undergoing routine medical screening over a period of 2 to 3 years. Intervention: Blood testing for hematological and iron-related biochemical variables. Measures: White blood cell count, red blood cell count, hemoglobin, hematocrit, mean cell volume, mean cell hemoglobin concentration, platelet count, percent hypochromic red cells, serum iron, ferritin, transferrin, and percent transferrin saturation. Results: Eight female athletes (4.6%) had clinically relevant abnormal results, 6 with an obvious explanation on clinical history and examination and 1 who was diagnosed with hemochromatosis following genetic testing. Eighty-nine (51.1%) female athletes had abnormal results that were not associated with obvious clinical signs or symptoms. Twenty-seven female athletes had a serum ferritin less than 30 ng/mL and were placed on iron supplementation. In male athletes, 5 cases had screening abnormalities that were associated with illness or other factors identified during the clinical consultations. Nonclinically significant abnormalities in males were generally minor reductions in hemoglobin and/or hematocrit or minor alterations in red cell parameters. Five male athletes had a serum ferritin less than 30 ng/mL and were placed on iron supplementation. Conclusion: Screening for hematological and iron-related abnormalities in male athletes has a very low yield. Due to the critical nature of the effects of anemia and low serum ferritin on some aspects of performance, it is reasonable to perform a full blood count and a serum ferritin on male athletes entering an elite training program. Further testing should be performed on clinical grounds. In females, the yield is greater. Again, it is reasonable to perform a full blood count and a serum ferritin on female athletes entering an elite training program. In view of their greater risk of iron depletion and to assess the effect of increased training inherent in elite programs, this could be repeated at 6-month intervals, or an isolated measurement of serum ferritin could be performed. Further testing should be performed on clinical grounds.</t>
  </si>
  <si>
    <t>https://search.ebscohost.com/login.aspx?direct=true&amp;db=mdc&amp;AN=15166903&amp;site=ehost-live</t>
  </si>
  <si>
    <t>What's the score?: the facts on alcohol, drugs and sport.</t>
  </si>
  <si>
    <t>Dillon, P.; Cox, G.; O'Connor, M.</t>
  </si>
  <si>
    <t>SPHS-932636</t>
  </si>
  <si>
    <t>ALCOHOL; DRUGS; SMOKING; DRUG abuse -- Study &amp; teaching; ALCOHOLISM -- Study &amp; teaching</t>
  </si>
  <si>
    <t>https://search.ebscohost.com/login.aspx?direct=true&amp;db=s3h&amp;AN=SPHS-932636&amp;site=ehost-live</t>
  </si>
  <si>
    <t>Applied physiology and game analysis of rugby union.</t>
  </si>
  <si>
    <t>10.2165/00007256-200333130-00003</t>
  </si>
  <si>
    <t>Football physiology; Acceleration; Body Mass Index; Heart Rate; Humans; Lactic Acid blood; Muscle, Skeletal physiology; Task Performance and Analysis</t>
  </si>
  <si>
    <t>Increased professionalism in rugby has elicited rapid changes in the fitness profile of elite players. Recent research, focusing on the physiological and anthropometrical characteristics of rugby players, and the demands of competition are reviewed. The paucity of research on contemporary elite rugby players is highlighted, along with the need for standardised testing protocols. Recent data reinforce the pronounced differences in the anthropometric and physical characteristics of the forwards and backs. Forwards are typically heavier, taller, and have a greater proportion of body fat than backs. These characteristics are changing, with forwards developing greater total mass and higher muscularity. The forwards demonstrate superior absolute aerobic and anaerobic power, and muscular strength. Results favour the backs when body mass is taken into account. The scaling of results to body mass can be problematic and future investigations should present results using power function ratios. Recommended tests for elite players include body mass and skinfolds, vertical jump, speed, and the multi-stage shuttle run. Repeat sprint testing is a possible avenue for more specific evaluation of players. During competition, high-intensity efforts are often followed by periods of incomplete recovery. The total work over the duration of a game is lower in the backs compared with the forwards; forwards spend greater time in physical contact with the opposition while the backs spend more time in free running, allowing them to cover greater distances. The intense efforts undertaken by rugby players place considerable stress on anaerobic energy sources, while the aerobic system provides energy during repeated efforts and for recovery. Training should focus on repeated brief high-intensity efforts with short rest intervals to condition players to the demands of the game. Training for the forwards should emphasise the higher work rates of the game, while extended rest periods can be provided to the backs. Players should not only be prepared for the demands of competition, but also the stress of travel and extreme environmental conditions. The greater professionalism of rugby union has increased scientific research in the sport; however, there is scope for significant refinement of investigations on the physiological demands of the game, and sports-specific testing procedures.</t>
  </si>
  <si>
    <t>https://search.ebscohost.com/login.aspx?direct=true&amp;db=mdc&amp;AN=14606925&amp;site=ehost-live</t>
  </si>
  <si>
    <t>CPX/D underestimates VO(2) in athletes compared with an automated Douglas bag system.</t>
  </si>
  <si>
    <t>Gore CJ; Clark RJ; Shipp NJ; Van Der Ploeg GE; Withers RT</t>
  </si>
  <si>
    <t>10.1249/01.MSS.0000079045.86512.C5</t>
  </si>
  <si>
    <t>Exercise physiology; Oxygen Consumption physiology; Physiology instrumentation; Sports Medicine instrumentation; Adolescent; Adult; Carbon Dioxide analysis; Heart Rate physiology; Humans; Male; Pulmonary Gas Exchange physiology; Sensitivity and Specificity; Software; Spirometry instrumentation</t>
  </si>
  <si>
    <t>Purpose: Based on persistent reports of low oxygen consumption VO(2) from Medical Graphics CPX/D metabolic carts, we compared the CPX/D against an automated Douglas bag system. Methods: Twelve male athletes completed three, randomized 25-min bouts (5 min at 100, 150, 200, 250, and 300 W) on a cycle ergometer with intervening 30-min rests. One bout was measured on each of the CPX/D, the CPX/D with altered software (CPX/DDelta), and an automated Douglas bag system at Flinders University (FU). The CPX/DDelta software alteration was an apparent lag time correction factor of 60 ms. Results: For the CPX/D, both VO(2) and VCO(2) were significantly lower than the FU system at 100-300 W, and the relative differences ranged -10.7 to -12.0% and -7.7 to -8.2%, respectively. Altering the software approximately halved the VO(2) discrepancy between the CPX/DDelta and FU systems. When data from all five workloads were pooled, V(E) of the CPX/D (67.2 +/- 26.4 L x min-1) and CPX/DDelta (67.5 +/- 26.9 L x min-1) were significantly lower than for the FU system (70.5 +/- 27.1 L x min-1); and at 300 W, the relative differences were -4.0% and -3.4% for the CPX/D and CPX/DDelta, respectively. Altering the software changed the pooled %O(2) from 16.24 +/- 0.40% for the CPX/D to 16.04 +/- 0.39% for the CPX/DDelta, and these were significantly different than pooled data for the FU system (16.15 +/- 0.39%). Conclusions: During submaximal exercise, the CPX/D yields VO(2) values that are approximately 11% lower than the criterion system, and the source of the discrepancy does not appear to be primarily related to volume measurement. A disturbing observation is that factory defaults for the lag time use different correction factors, which vary by 60 ms and this significantly alters VO(2) and VCO(2).</t>
  </si>
  <si>
    <t>https://search.ebscohost.com/login.aspx?direct=true&amp;db=mdc&amp;AN=12900688&amp;site=ehost-live</t>
  </si>
  <si>
    <t>Cramps and stitch.</t>
  </si>
  <si>
    <t>Rugby League Coaching Manuals</t>
  </si>
  <si>
    <t>SPHS-871361</t>
  </si>
  <si>
    <t>MUSCLE rigidity; SIDE stitch; DISEASES -- Causes &amp; theories of causation; PREVENTION; THERAPEUTICS</t>
  </si>
  <si>
    <t>https://search.ebscohost.com/login.aspx?direct=true&amp;db=s3h&amp;AN=SPHS-871361&amp;site=ehost-live</t>
  </si>
  <si>
    <t>Dietary supplementation practices of Singaporean athletes.</t>
  </si>
  <si>
    <t>Slater G; Tan B; Teh KC</t>
  </si>
  <si>
    <t>10.1123/ijsnem.13.3.320</t>
  </si>
  <si>
    <t>Singapore; Dietary Supplements statistics &amp; numerical data; Sports statistics &amp; numerical data; Adolescent; Adult; Analysis of Variance; Dietary Supplements economics; Doping in Sports statistics &amp; numerical data; Female; Health Knowledge, Attitudes, Practice; Humans; Male; Prevalence; Singapore; Surveys and Questionnaires</t>
  </si>
  <si>
    <t>The supplementation practices of elite athletes in Singapore were studied using an anonymous questionnaire. Information was sought on not only the type of supplements used but also dosage, rationale for use, and other factors that might influence supplement use including selected demographic parameters and sources of information relating to supplements. Data was collected from 160 athletes across a spectrum of 30 sports. Use of supplements was widespread, with 77% of respondents acknowledging use of at least 1 product. Respondents ingested a total of 59 different supplements, with each athlete using on average 3.6 +/- 0.3 different products. Sports drinks, caffeine, vitamin C, multivitamin/mineral supplements, and essence of chicken were some of the most commonly ingested products, confirming that while vitamin/mineral supplements are popular, sports supplements and traditional/herbal preparations were also well accepted. Respondents preferred to source information pertaining to supplements from "significant others" and other readily accessible sources. A small number of respondents acknowledged the use of International Olympic Committee (IOC) banned or restricted substances, highlighting the need for athletes to consult sports medicine professionals with specialist knowledge of dietary supplements in advance of initiating any supplementation regime.</t>
  </si>
  <si>
    <t>https://search.ebscohost.com/login.aspx?direct=true&amp;db=mdc&amp;AN=14669932&amp;site=ehost-live</t>
  </si>
  <si>
    <t>Eating patterns and meal frequency of elite Australian athletes.</t>
  </si>
  <si>
    <t>Burke LM; Slater G; Broad EM; Haukka J; Modulon S; Hopkins WG</t>
  </si>
  <si>
    <t>10.1123/ijsnem.13.4.521</t>
  </si>
  <si>
    <t>Australia; Diet; Diet Surveys; Dietary Carbohydrates administration &amp; dosage; Eating physiology; Energy Intake physiology; Exercise physiology; Adult; Australia; Diet Records; Dietary Fats administration &amp; dosage; Dietary Proteins administration &amp; dosage; Eating psychology; Female; Humans; Male; Physical Education and Training; Sex Characteristics</t>
  </si>
  <si>
    <t>We undertook a dietary survey of 167 Australian Olympic team athletes (80 females and 87 males) competing in endurance sports (n = 41), team sports (n = 31), sprint- or skill-based sports (n = 67), and sports in which athletes are weight-conscious (n = 28). Analysis of their 7-day food diaries provided mean energy intakes, nutrient intakes, and eating patterns. Higher energy intakes relative to body mass were reported by male athletes compared with females, and by endurance athletes compared with other athletes. Endurance athletes reported substantially higher intakes of carbohydrate (CHO) than other athletes, and were among the athletes most likely to consume CHO during and after training sessions. Athletes undertaking weight-conscious sports reported relatively low energy intakes and were least likely to consume CHO during a training session or in the first hour of recovery. On average, athletes reported eating on approximately 5 separate occasions each day, with a moderate relationship between the number of daily eating occasions and total energy intake. Snacks, defined as food or drink consumed between main meals, provided 23% of daily energy intake and were chosen from sources higher in CHO and lower in fat and protein than foods chosen at meals. The dietary behaviors of these elite athletes were generally consistent with guidelines for sports nutrition, but intakes during and after training sessions were often sub-optimal. Although it is of interest to study the periodicity of fluid and food intake by athletes, it is difficult to compare across studies due to a lack of standardized terminology.</t>
  </si>
  <si>
    <t>https://search.ebscohost.com/login.aspx?direct=true&amp;db=mdc&amp;AN=14967874&amp;site=ehost-live</t>
  </si>
  <si>
    <t>Effect of alcohol intake on muscle glycogen storage after prolonged exercise.</t>
  </si>
  <si>
    <t>Burke LM; Collier GR; Broad EM; Davis PG; Martin DT; Sanigorski AJ; Hargreaves M</t>
  </si>
  <si>
    <t>10.1152/japplphysiol.00115.2003</t>
  </si>
  <si>
    <t>Central Nervous System Depressants pharmacology; Ethanol pharmacology; Exercise physiology; Glycogen metabolism; Muscle, Skeletal metabolism; Adult; Bicycling physiology; Blood Glucose metabolism; Central Nervous System Depressants blood; Cross-Over Studies; Diet; Dietary Carbohydrates pharmacology; Ethanol blood; Humans; Insulin blood; Male; Muscle, Skeletal drug effects; Muscle, Skeletal physiology; Triglycerides blood</t>
  </si>
  <si>
    <t>We studied the effects of alcohol intake on postexercise muscle glycogen restoration with samples from vastus lateralis being collected immediately after glycogen-depleting cycling and after a set recovery period. Six well-trained cyclists undertook a study of 8-h recovery (2 meals), and another nine cyclists undertook a separate 24-h protocol (4 meals). In each study, subjects completed three trials in crossover order: control (C) diet [meals providing carbohydrate (CHO) of 1.75 g/kg]; alcohol-displacement (A) diet (1.5 g/kg alcohol displacing CHO energy from C) and alcohol + CHO (AC) diet (C + 1.5 g/kg alcohol). Alcohol intake reduced postmeal glycemia especially in A trial and 24-h study, although insulin responses were maintained. Alcohol intake increased serum triglycerides, particularly in the 24-h study and AC trial. Glycogen storage was decreased in A diets compared with C at 8 h (24.4 +/- 7 vs. 44.6 +/- 6 mmol/kg wet wt, means +/- SE, P &lt; 0.05) and 24 h (68 +/- 5 vs. 82 +/- 5 mmol/kg wet wt, P &lt; 0.05). There was a trend to reduced glycogen storage with AC in 8 h (36.2 +/- 8 mmol/kg wet wt, P = 0.1) but no difference in 24 h (85 +/- 9 mmol/kg wet wt). We conclude that 1). the direct effect of alcohol on postexercise glycogen synthesis is unclear, and 2). the main effect of alcohol intake is indirect, by displacing CHO intake from optimal recovery nutrition practices.</t>
  </si>
  <si>
    <t>https://search.ebscohost.com/login.aspx?direct=true&amp;db=mdc&amp;AN=12740311&amp;site=ehost-live</t>
  </si>
  <si>
    <t>Fuelling your sport - sprinting.</t>
  </si>
  <si>
    <t>SPHS-894267</t>
  </si>
  <si>
    <t>SPRINTING; NUTRITION; DIET; TRAINING; CONTESTS; CASE studies</t>
  </si>
  <si>
    <t>https://search.ebscohost.com/login.aspx?direct=true&amp;db=s3h&amp;AN=SPHS-894267&amp;site=ehost-live</t>
  </si>
  <si>
    <t>Hot topics - carbohydrate loading.</t>
  </si>
  <si>
    <t>Minehan, M.</t>
  </si>
  <si>
    <t>SPHS-899429</t>
  </si>
  <si>
    <t>CARBOHYDRATES; NUTRITION; DIET; HIGH-carbohydrate diet</t>
  </si>
  <si>
    <t>https://search.ebscohost.com/login.aspx?direct=true&amp;db=s3h&amp;AN=SPHS-899429&amp;site=ehost-live</t>
  </si>
  <si>
    <t>Hot topics - cramps and stitch.</t>
  </si>
  <si>
    <t>SPHS-899430</t>
  </si>
  <si>
    <t>MUSCLE rigidity; SIDE stitch; THERAPEUTICS; DISEASES -- Causes &amp; theories of causation; PREVENTION</t>
  </si>
  <si>
    <t>https://search.ebscohost.com/login.aspx?direct=true&amp;db=s3h&amp;AN=SPHS-899430&amp;site=ehost-live</t>
  </si>
  <si>
    <t>Hot topics - gluten-free diets.</t>
  </si>
  <si>
    <t>Minehan, M.; Blackburn, J.; Cox, G.</t>
  </si>
  <si>
    <t>SPHS-899434</t>
  </si>
  <si>
    <t>NUTRITION; DIET; DISEASES; FOOD</t>
  </si>
  <si>
    <t>https://search.ebscohost.com/login.aspx?direct=true&amp;db=s3h&amp;AN=SPHS-899434&amp;site=ehost-live</t>
  </si>
  <si>
    <t>Hot topics - nutrition for travelling athletes.</t>
  </si>
  <si>
    <t>Cort, M.</t>
  </si>
  <si>
    <t>SPHS-899431</t>
  </si>
  <si>
    <t>NUTRITION; SAFETY; FOOD; ATHLETES; TRAVEL</t>
  </si>
  <si>
    <t>https://search.ebscohost.com/login.aspx?direct=true&amp;db=s3h&amp;AN=SPHS-899431&amp;site=ehost-live</t>
  </si>
  <si>
    <t>How do elite athletes develop? A look through the 'rear-view' mirror: a preliminary report from the National Athlete Development Survey (NADS).</t>
  </si>
  <si>
    <t>Oldenziel, K.; Gagne, F.; Gulbin, J.</t>
  </si>
  <si>
    <t>SPHS-905110</t>
  </si>
  <si>
    <t>AUSTRALIA; SURVEYS; RESEARCH</t>
  </si>
  <si>
    <t>This document provides a preliminary report of the results, recommendations and implications generated by the NADS work. Please note that the authors aim to further refine the document for broader publication.</t>
  </si>
  <si>
    <t>https://search.ebscohost.com/login.aspx?direct=true&amp;db=s3h&amp;AN=SPHS-905110&amp;site=ehost-live</t>
  </si>
  <si>
    <t>Neutropenia in elite male cyclists.</t>
  </si>
  <si>
    <t>Parisotto R; Pyne D; Martin D; Gore C; Fallon K; Fricker P; Hahn A</t>
  </si>
  <si>
    <t>10.1097/00042752-200309000-00005</t>
  </si>
  <si>
    <t>Australia; Bicycling statistics &amp; numerical data; Neutropenia blood; Neutropenia epidemiology; Adolescent; Adult; Australia epidemiology; Humans; Incidence; Male; Reference Values; Retrospective Studies</t>
  </si>
  <si>
    <t>https://search.ebscohost.com/login.aspx?direct=true&amp;db=mdc&amp;AN=14501313&amp;site=ehost-live</t>
  </si>
  <si>
    <t>Second-generation blood tests to detect erythropoietin abuse by athletes.</t>
  </si>
  <si>
    <t>Gore CJ; Parisotto R; Ashenden MJ; Stray-Gundersen J; Sharpe K; Hopkins W; Emslie KR; Howe C; Trout GJ; Kazlauskas R; Hahn AG</t>
  </si>
  <si>
    <t>Haematologica</t>
  </si>
  <si>
    <t>Ferrata Storti Foundation</t>
  </si>
  <si>
    <t>Doping in Sports prevention &amp; control; Erythropoietin blood; Substance Abuse Detection methods; Double-Blind Method; Female; Hemoglobins analysis; Humans; Male; Models, Statistical; Receptors, Transferrin blood; Recombinant Proteins; Reticulocyte Count; Sensitivity and Specificity</t>
  </si>
  <si>
    <t>Background and Objectives: We previously developed blood tests that were introduced at the Sydney 2000 Olympic Games to identify athletes injecting recombinant human erythropoietin (rHuEPO). The aim of this study was to re-analyse our existing database to develop models with heightened sensitivity, using wherever possible blood parameters measurable with appropriate standards of analytical performance. Design and Methods: The principal database for this study was derived from a double-blind trial in which 57 recreational athletes were administered either rHuEPO or placebo. Standard discriminant analysis was used to derive two ON models (ON-hes and ON-he) and two OFF models (OFF-hr and OFF-hre) sensitive to accelerated and decelerated erythropoiesis respectively, utilising concentrations of hemoglobin (h), erythropoietin (e) and serum transferrin receptor (s), as well as percent reticulocytes (r). The ability of our models to detect rHuEPO administration was assessed by comparing model scores of subjects in the administration trial with the model scores of 1152 elite athletes from 12 countries. Results: The ability of the new models to detect rHuEPO administration was generally higher than that of our previous models, particularly during phases when low doses of rHuEPO were used, and after injections had ceased. INTERPRETATION AND CONCLUSIONS. The increased stability of the new blood parameters facilitates transport of samples to central laboratories, and the heightened sensitivity of the new models makes them better than existing models for federations wishing to screen samples for urine testing and to identify and target suspect athletes for out-of-competition testing. However procedures should be incorporated that respect an elevated model score caused by genetic, health or environmental circumstances.</t>
  </si>
  <si>
    <t>https://search.ebscohost.com/login.aspx?direct=true&amp;db=mdc&amp;AN=12651273&amp;site=ehost-live</t>
  </si>
  <si>
    <t>Sleep quality responses to atmospheric variation: case studies of two elite female cyclists.</t>
  </si>
  <si>
    <t>Kinsman TA; Hahn AG; Gore CJ; Martin DT; Chow CM</t>
  </si>
  <si>
    <t>10.1016/s1440-2440(03)80269-4</t>
  </si>
  <si>
    <t>Altitude; Bicycling physiology; Exercise physiology; Sleep physiology; Energy Metabolism physiology; Female; Heart Rate physiology; Humans; Oxygen blood; Oxygen Inhalation Therapy; Respiration Disorders physiopathology; Respiration Disorders therapy</t>
  </si>
  <si>
    <t>Strategies applied during sleep to potentially enhance athlete performance use different atmospheric conditions. High altitude conditions are known to affect sleep adversely but the effects of mild-moderate altitude and O2 enrichment at mild altitude are uncertain. We performed case studies using two elite female road cyclists (mass and maximal aerobic power of 62 kg, 65.8 ml x kg(-1) x min(-1); 57 kg, 62.7 ml x kg(-1) x min(-1)) to examine changes in sleep for different atmospheric conditions applied throughout the preparation for, and during, an International Stage race. Conditions were: i) normoxia (600 m), ii) simulated moderate altitude (2650 m), iii) natural mild altitude (1380 m) and iv) O2 enrichment at mild altitude (30% O2@ 1300-1500 m). We measured respiratory disturbances, arousals, number of awakenings, blood oxygen saturation (SpO2), heart rate (HR), rapid eye movement sleep (REM) and deep sleep. Respiratory disturbances, SpO2 and HR responses were similar for both cyclists for all conditions. Compared with normoxia, both cyclists had somewhat reduced REM at natural mild altitude and moderate simulated altitude but differed in their REM and deep sleep responses to O2 enrichment. Compared with mild altitude, both showed increased awakenings and deep sleep with O2 enrichment. Only one cyclist clearly increased her REM sleep with O2 enrichment compared to mild altitude. Our data highlight two different sleep quality responses to atmospheric variation.</t>
  </si>
  <si>
    <t>https://search.ebscohost.com/login.aspx?direct=true&amp;db=mdc&amp;AN=14723393&amp;site=ehost-live</t>
  </si>
  <si>
    <t>Supplements in sport: why are they so tempting?</t>
  </si>
  <si>
    <t>SPHS-871362</t>
  </si>
  <si>
    <t>NUTRITION; DIETARY supplements</t>
  </si>
  <si>
    <t>https://search.ebscohost.com/login.aspx?direct=true&amp;db=s3h&amp;AN=SPHS-871362&amp;site=ehost-live</t>
  </si>
  <si>
    <t>The effect of common hematologic abnormalities on the ability of blood models to detect erythropoietin abuse by athletes.</t>
  </si>
  <si>
    <t>Parisotto R; Ashenden MJ; Gore CJ; Sharpe K; Hopkins W; Hahn AG</t>
  </si>
  <si>
    <t>Erythropoietin analysis; Hematologic Diseases epidemiology; Hematologic Diseases physiopathology; Models, Biological; Adolescent; Anemia blood; Anemia epidemiology; Anemia metabolism; Anemia physiopathology; Anemia, Iron-Deficiency blood; Anemia, Iron-Deficiency epidemiology; Anemia, Iron-Deficiency metabolism; Anemia, Iron-Deficiency physiopathology; Doping in Sports prevention &amp; control; Doping in Sports statistics &amp; numerical data; Erythrocyte Indices drug effects; Erythropoiesis drug effects; Erythropoiesis physiology; Erythropoietin administration &amp; dosage; Female; Hematologic Diseases blood; Hematologic Diseases metabolism; Hematologic Tests methods; Hematologic Tests statistics &amp; numerical data; Hemoglobinopathies blood; Hemoglobinopathies epidemiology; Hemoglobinopathies metabolism; Hemoglobinopathies physiopathology; Hemoglobins metabolism; Humans; Male; Recombinant Proteins; Reticulocyte Count statistics &amp; numerical data; Sensitivity and Specificity; Sex Characteristics; Sex Distribution; Sports physiology; Sports statistics &amp; numerical data</t>
  </si>
  <si>
    <t>Background and Objectives: Algorithms that combine scores from multiple blood parameters are demonstrably effective in highlighting recombinant human erythropoietin (rHuEPO) administration, and have been used to deter rHuEPO use by athletes. These models are sensitive to atypical levels of blood parameters encountered during altered states of red cell production. Because hematologic abnormalities can also result in unusual blood profiles, the aim of this study was to document the incidence and magnitude of such abnormalities in an elite athlete population. Design and Methods: We screened blood samples obtained from 413 female and 739 male elite athletes from 12 countries for known hematologic abnormalities, and compared the algorithm scores for these athletes with those of their healthy counterparts. We also established the magnitude of blood parameters required for model scores to exceed cut-offs associated with rHuEPO use. Results: We found that 0.7% of male and 2.4% of female athletes were iron deficient either with our without anemia. An additional 1.4% of males and 1.0% of females had hemoglobinopathies. On average these athletes' model scores were at or below the score of their healthy counterparts. The greatest influence on our models was hemoglobin concentration. Values of other parameters must exceed normal ranges by a substantial margin in order for model scores to approach levels associated with rHuEPO use. Interpretation and Conclusions: The hematologic disorders we encountered in elite athletes were not associated with model scores that exceeded the nominal cut-offs that we have previously recommended to delineate rHuEPO use. We did not find any abnormalities among elite endurance athletes that were associated with high model scores.</t>
  </si>
  <si>
    <t>https://search.ebscohost.com/login.aspx?direct=true&amp;db=mdc&amp;AN=12935982&amp;site=ehost-live</t>
  </si>
  <si>
    <t>Variability in estimation of self-reported dietary intake data from elite athletes resulting from coding by different sports dietitians.</t>
  </si>
  <si>
    <t>Braakhuis AJ; Meredith K; Cox GR; Hopkins WG; Burke LM</t>
  </si>
  <si>
    <t>10.1123/ijsnem.13.2.152</t>
  </si>
  <si>
    <t>Diet Records; Dietetics standards; Forms and Records Control standards; Sports; Dietetics instrumentation; Dietetics methods; Energy Intake; Female; Forms and Records Control methods; Humans; Male; Observer Variation; Software</t>
  </si>
  <si>
    <t>A routine activity for a sports dietitian is to estimate energy and nutrient intake from an athlete's self-reported food intake. Decisions made by the dietitian when coding a food record are a source of variability in the data. The aim of the present study was to determine the variability in estimation of the daily energy and key nutrient intakes of elite athletes, when experienced coders analyzed the same food record using the same database and software package. Seven-day food records from a dietary survey of athletes in the 1996 Australian Olympic team were randomly selected to provide 13 sets of records, each set representing the self-reported food intake of an endurance, team, weight restricted, and sprint/power athlete. Each set was coded by 3-5 members of Sports Dietitians Australia, making a total of 52 athletes, 53 dietitians, and 1456 athlete-days of data. We estimated within- and between- athlete and dietitian variances for each dietary nutrient using mixed modeling, and we combined the variances to express variability as a coefficient of variation (typical variation as a percent of the mean). Variability in the mean of 7-day estimates of a nutrient was 2- to 3-fold less than that of a single day. The variability contributed by the coder was less than the true athlete variability for a 1-day record but was of similar magnitude for a 7-day record. The most variable nutrients (e.g., vitamin C, vitamin A, cholesterol) had approximately 3-fold more variability than least variable nutrients (e.g., energy, carbohydrate, magnesium). These athlete and coder variabilities need to be taken into account in dietary assessment of athletes for counseling and research.</t>
  </si>
  <si>
    <t>https://search.ebscohost.com/login.aspx?direct=true&amp;db=mdc&amp;AN=12945826&amp;site=ehost-live</t>
  </si>
  <si>
    <t>21st birthday international coaching clinic manual 1981-2002.</t>
  </si>
  <si>
    <t>SPHS-840849</t>
  </si>
  <si>
    <t>BASKETBALL; TRAINING; COACHING (Athletics); AUSTRALIA; AUSTRALIAN Institute of Sport; PROGRAMS</t>
  </si>
  <si>
    <t>Contains photographs and team lists for the Program from 1981-2002.</t>
  </si>
  <si>
    <t>https://search.ebscohost.com/login.aspx?direct=true&amp;db=s3h&amp;AN=SPHS-840849&amp;site=ehost-live</t>
  </si>
  <si>
    <t>A winning diet [revised 2002]</t>
  </si>
  <si>
    <t>Burke, L.</t>
  </si>
  <si>
    <t>SPHS-852708</t>
  </si>
  <si>
    <t>Department of Sports Nutrition. Australian Institute of Sport</t>
  </si>
  <si>
    <t>NUTRITION; DIET; TRAINING; ATHLETES</t>
  </si>
  <si>
    <t>https://search.ebscohost.com/login.aspx?direct=true&amp;db=s3h&amp;AN=SPHS-852708&amp;site=ehost-live</t>
  </si>
  <si>
    <t>A winning diet for sport.</t>
  </si>
  <si>
    <t>Burke, L.; Eggins, M.</t>
  </si>
  <si>
    <t>SPHS-856834</t>
  </si>
  <si>
    <t>Videocassette</t>
  </si>
  <si>
    <t>NUTRITION; DIET; TRAINING; ATHLETES; SPORTS</t>
  </si>
  <si>
    <t>What you eat and drink can affect your health and sports performance. However, nutritional needs may not be the same for all athletes. Louise Burke, head of the Department of Sports Nutrition at the Australian Institute of Sport, and sports commentator Matthew Eggins talk with a number of Australia's top athletes about how to achieve a winning diet for their sport. This video is an ideal educational tool for athletes, coaches, parents and teachers. Whether at the grass roots or at the highest level, athletes and students will gain a greater insight into the importance of nutrition. Highlights of the video include: Practical tips to meet nutrition training goals; Specific nutrition issues for competition; Importance of iron and calcium in the diet; Where to go for more nutrition information; Eating to promote recovery; Meeting fluid needs; Slimming down; Bulking up; Latest news on supplements; Eating on the road and overseas.</t>
  </si>
  <si>
    <t>https://search.ebscohost.com/login.aspx?direct=true&amp;db=s3h&amp;AN=SPHS-856834&amp;site=ehost-live</t>
  </si>
  <si>
    <t>SPHS-1067565</t>
  </si>
  <si>
    <t>https://search.ebscohost.com/login.aspx?direct=true&amp;db=s3h&amp;AN=SPHS-1067565&amp;site=ehost-live</t>
  </si>
  <si>
    <t>A winning diet.</t>
  </si>
  <si>
    <t>Burke, L.; Pearce, J.</t>
  </si>
  <si>
    <t>SPHS-840974</t>
  </si>
  <si>
    <t>Millennium Institute of Sport &amp; Health</t>
  </si>
  <si>
    <t>https://search.ebscohost.com/login.aspx?direct=true&amp;db=s3h&amp;AN=SPHS-840974&amp;site=ehost-live</t>
  </si>
  <si>
    <t>Acute creatine supplementation and performance during a field test simulating match play in elite female soccer players.</t>
  </si>
  <si>
    <t>Cox G; Mujika I; Tumilty D; Burke L</t>
  </si>
  <si>
    <t>10.1123/ijsnem.12.1.33</t>
  </si>
  <si>
    <t>Body Weight drug effects; Creatine administration &amp; dosage; Muscle, Skeletal metabolism; Phosphocreatine biosynthesis; Soccer physiology; Adult; Creatine adverse effects; Dietary Supplements; Double-Blind Method; Exercise Test; Female; Heart Rate drug effects; Humans; Hydrogen-Ion Concentration drug effects; Lactic Acid blood; Muscle, Skeletal drug effects</t>
  </si>
  <si>
    <t>This study investigated the effects of acute creatine (Cr) supplementation on the performance of elite female soccer players undertaking an exercise protocol simulating match play. On two occasions, 7 days apart, 12 players performed 5 x 11-min exercise testing blocks interspersed with 1 min of rest. Each block consisted of 11 all-out 20-m running sprints, 2 agility runs, and 1 precision ball-kicking drill, separated by recovery 20-m walks,jogs, and runs. After the initial testing session, subjects were assigned to either a CREATINE (5 g of Cr, 4 times per day for 6 days) or a PLACEBO group (same dosage of a glucose polymer) using a double-blind research design. Body mass (BM) increased (61.7 +/- 8.9 to 62.5 &lt; or = 8.9 kg, p &lt; .01) in the CREATINE group; however, no change was observed in the PLACEBO group (63.4 &lt; or = 2.9 kg to 63.7 +/- 2.5 kg). No overall change in 20-m sprint times and agility run times were observed, although the CREATINE group achieved faster post-supplementation times in sprints 11, 13, 14, 16, 21, 23, 25, 32, and 39 (p &lt;.05), and agility runs 3, 5, and 8 (p &lt; .05). The accuracy of shooting was unaffected in both groups. In conclusion, acute Cr supplementation improved performance of some repeated sprint and agility tasks simulating soccer match play, despite an increase in BM.</t>
  </si>
  <si>
    <t>https://search.ebscohost.com/login.aspx?direct=true&amp;db=mdc&amp;AN=11993621&amp;site=ehost-live</t>
  </si>
  <si>
    <t>Adaptations to short-term high-fat diet persist during exercise despite high carbohydrate availability.</t>
  </si>
  <si>
    <t>Burke LM; Hawley JA; Angus DJ; Cox GR; Clark SA; Cummings NK; Desbrow B; Hargreaves M</t>
  </si>
  <si>
    <t>10.1097/00005768-200201000-00014</t>
  </si>
  <si>
    <t>Adaptation, Physiological physiology; Bicycling physiology; Dietary Carbohydrates metabolism; Dietary Fats metabolism; Exercise physiology; Adult; Blood Glucose analysis; Cross-Over Studies; Double-Blind Method; Fasting metabolism; Fatty Acids, Nonesterified blood; Glycerol blood; Humans; Insulin blood; Lactic Acid blood; Male; Oxidation-Reduction; Oxygen Consumption physiology; Physical Endurance physiology; Task Performance and Analysis</t>
  </si>
  <si>
    <t>Purpose: Five days of a high-fat diet produce metabolic adaptations that increase the rate of fat oxidation during prolonged exercise. We investigated whether enhanced rates of fat oxidation during submaximal exercise after 5 d of a high-fat diet would persist in the face of increased carbohydrate (CHO) availability before and during exercise. Methods: Eight well-trained subjects consumed either a high-CHO (9.3 g x kg(-1) x d(-1) CHO, 1.1 g x kg(-1) x d(-1) fat; HCHO) or an isoenergetic high-fat diet (2.5 g x kg(-1) x d(-1) CHO, 4.3 g x kg(-1) x d(-1) fat; FAT-adapt) for 5 d followed by a high-CHO diet and rest on day 6. On day 7, performance testing (2 h steady-state (SS) cycling at 70% peak O(2) uptake [VO(2peak)] + time trial [TT]) of 7 kJ x kg(-1)) was undertaken after a CHO breakfast (CHO 2 g x kg(-1)) and intake of CHO during cycling (0.8 g x kg(-1) x h(-1)). Results: FAT-adapt reduced respiratory exchange ratio (RER) values before and during cycling at 70% VO(2peak); RER was restored by 1 d CHO and CHO intake during cycling (0.90 +/- 0.01, 0.80 +/- 0.01, 0.91 +/- 0.01, for days 1, 6, and 7, respectively). RER values were higher with HCHO (0.90 +/- 0.01, 0.88 +/- 0.01 (HCHO &gt; FAT-adapt, P &lt; 0.05), 0.95 +/- 0.01 (HCHO &gt; FAT-adapt, P &lt; 0.05)). On day 7, fat oxidation remained elevated (73 +/- 4 g vs 45 +/- 3 g, P &lt; 0.05), whereas CHO oxidation was reduced (354 +/- 11 g vs 419 +/- 13 g, P &lt; 0.05) throughout SS in FAT-adapt versus HCHO. TT performance was similar for both trials (25.53 +/- 0.67 min vs 25.45 +/- 0.96 min, NS). Conclusion: Adaptations to a short-term high-fat diet persisted in the face of high CHO availability before and during exercise, but failed to confer a performance advantage during a TT lasting approximately 25 min undertaken after 2 h of submaximal cycling.</t>
  </si>
  <si>
    <t>https://search.ebscohost.com/login.aspx?direct=true&amp;db=mdc&amp;AN=11782652&amp;site=ehost-live</t>
  </si>
  <si>
    <t>Australian Institute of Sport 21st birthday celebrations : International Basketball Clinic, AIS Canberra, 23rd June to 28th June 2002.</t>
  </si>
  <si>
    <t>O'Hanlon, F.; Foster, J.; Mesecke, P.; Hunt, P.</t>
  </si>
  <si>
    <t>SPHS-997129</t>
  </si>
  <si>
    <t>BASKETBALL; DRILLS (Practice); ABILITY</t>
  </si>
  <si>
    <t>https://search.ebscohost.com/login.aspx?direct=true&amp;db=s3h&amp;AN=SPHS-997129&amp;site=ehost-live</t>
  </si>
  <si>
    <t>Body mass changes and voluntary fluid intakes of elite level water polo players and swimmers.</t>
  </si>
  <si>
    <t>Cox GR; Broad EM; Riley MD; Burke LM</t>
  </si>
  <si>
    <t>10.1016/s1440-2440(02)80003-2</t>
  </si>
  <si>
    <t>Drinking Behavior; Sports physiology; Sweating; Swimming physiology; Adolescent; Adult; Female; Humans; Male</t>
  </si>
  <si>
    <t>Calculated sweat rates (measured by body mass changes) and voluntary fluid intakes were monitored in elite level water polo players and swimmers during normal exercise sessions to determine fluid requirements to maintain fluid balance, and the degree of fluid replacement of these athletes. Data were collected from training and competition sessions for male water polo players (n = 23) and training sessions only for swimmers (n = 20 females; n = 21 males). The calculated average sweat rate and fluid intake rate during training sessions for male water polo players was 287 ml/h and 142 ml/h, respectively, with a rate of 786 ml/h and 380 ml/h during matches. During training sessions for male swimmers, the calculated average sweat rate and fluid intake rate per kilometre was 138 ml/km and 155 ml/km, respectively; and for female swimmers, 107 ml/km and 95 ml/km. There was a wide individual variation in fluid intake and sweat loss of both water polo players and swimmers. Dehydration experienced by athletes in this study was less than typically reported for "land-based" athletes. Errors inherent in the technique used in this study are acknowledged and may be significant in the calculation of reported sweat losses and levels of fluid balance in aquatic athletes.</t>
  </si>
  <si>
    <t>https://search.ebscohost.com/login.aspx?direct=true&amp;db=mdc&amp;AN=12413035&amp;site=ehost-live</t>
  </si>
  <si>
    <t>Changes in erythropoiesis assessed by reticulocyte parameters during ultralong distance running.</t>
  </si>
  <si>
    <t>Fallon KE; Bishop G</t>
  </si>
  <si>
    <t>10.1097/00042752-200205000-00005</t>
  </si>
  <si>
    <t>Australia; Erythropoiesis physiology; Physical Endurance physiology; Reticulocytes physiology; Running physiology; Australia; Case-Control Studies; Erythrocyte Indices; Female; Humans; Male</t>
  </si>
  <si>
    <t>Objective: To investigate the possibility of early changes in erythropoiesis during prolonged exercise being reflected in reticulocyte parameters. Design: This was a case-control field study of hematological variables in a group of ultramarathon runners competing in a 6-day track race. Setting: A 6-day ultramarathon in Colac, Australia. Participants: 7 male and 1 female experienced ultramarathon runners. Intervention: A track race of 6 days' duration. Main Outcome Measures: A wide range of red cell and reticulocyte parameters. Results: Resting red cell parameters were within normal clinical limits. However, except for the expected findings typical of hemodilution, red cell parameters were relatively unchanged during and after the event, with the exception of small but statistically significant changes in number and percentage of macrocytic, microcytic, hypochromic, and hyperchromic red cells. No reticulocytosis was found in an event that would have been expected to be associated with significant foot-strike hemolysis; however, an increase in the percentage of reticulocytes with high RNA content late in the event indicates early release from the marrow. Reduction in reticulocyte mean cell volume, which is consistent with functional iron deficiency, was demonstrated during the event. This finding is consistent with changes in some of the iron-related parameters associated with the acute phase response, but the dissociation in time between these changes makes a causal relationship unlikely. Other changes such as those in reticulocyte hemoglobin distribution width, reticulocyte distribution width, cell hemoglobin concentration mean, and lack of change in corpuscular hemoglobin are not typical of true iron deficiency, and the mechanism of these changes is currently unknown. Conclusion: The hematopoietic system demonstrates remarkable stability in the face of very significant exercise stress. No reticulocyte response was demonstrated in this study, but reticulocyte changes both consistent with and contrary to early release from the marrow were demonstrated after several days of strenuous running. The significance of several newly developed ratios of red cell and reticulocyte parameters in conditions of exercise stress requires further investigation.</t>
  </si>
  <si>
    <t>https://search.ebscohost.com/login.aspx?direct=true&amp;db=mdc&amp;AN=12011725&amp;site=ehost-live</t>
  </si>
  <si>
    <t>Effect of different protocols of caffeine intake on metabolism and endurance performance.</t>
  </si>
  <si>
    <t>Cox GR; Desbrow B; Montgomery PG; Anderson ME; Bruce CR; Macrides TA; Martin DT; Moquin A; Roberts A; Hawley JA; Burke LM</t>
  </si>
  <si>
    <t>10.1152/japplphysiol.00249.2002</t>
  </si>
  <si>
    <t>Caffeine administration &amp; dosage; Carbohydrate Metabolism; Central Nervous System Stimulants administration &amp; dosage; Physical Endurance drug effects; Adult; Beverages; Bicycling physiology; Blood metabolism; Caffeine blood; Caffeine pharmacology; Caffeine urine; Central Nervous System Stimulants blood; Central Nervous System Stimulants pharmacology; Central Nervous System Stimulants urine; Double-Blind Method; Drinking; Humans; Male; Physical Exertion; Pulmonary Gas Exchange drug effects; Respiration drug effects; Self Concept</t>
  </si>
  <si>
    <t>Competitive athletes completed two studies of 2-h steady-state (SS) cycling at 70% peak O(2) uptake followed by 7 kJ/kg time trial (TT) with carbohydrate (CHO) intake before (2 g/kg) and during (6% CHO drink) exercise. In Study A, 12 subjects received either 6 mg/kg caffeine 1 h preexercise (Precaf), 6 x 1 mg/kg caffeine every 20 min throughout SS (Durcaf), 2 x 5 ml/kg Coca-Cola between 100 and 120 min SS and during TT (Coke), or placebo. Improvements in TT were as follows: Precaf, 3.4% (0.2-6.5%, 95% confidence interval); Durcaf, 3.1% (-0.1-6.5%); and Coke, 3.1% (-0.2-6.2%). In Study B, eight subjects received 3 x 5 ml/kg of different cola drinks during the last 40 min of SS and TT: decaffeinated, 6% CHO (control); caffeinated, 6% CHO; decaffeinated, 11% CHO; and caffeinated, 11% CHO (Coke). Coke enhanced TT by 3.3% (0.8-5.9%), with all trials showing 2.2% TT enhancement (0.5-3.8%; P &lt; 0.05) due to caffeine. Overall, 1) 6 mg/kg caffeine enhanced TT performance independent of timing of intake and 2) replacing sports drink with Coca-Cola during the latter stages of exercise was equally effective in enhancing endurance performance, primarily due to low intake of caffeine (approximately 1.5 mg/kg).</t>
  </si>
  <si>
    <t>https://search.ebscohost.com/login.aspx?direct=true&amp;db=mdc&amp;AN=12183495&amp;site=ehost-live</t>
  </si>
  <si>
    <t>Effect of flavor and awareness of kilojoule content of drinks on preference and fluid balance in team sports.</t>
  </si>
  <si>
    <t>Minehan MR; Riley MD; Burke LM</t>
  </si>
  <si>
    <t>10.1123/ijsnem.12.1.81</t>
  </si>
  <si>
    <t>Dietary Carbohydrates administration &amp; dosage; Drinking physiology; Electrolytes administration &amp; dosage; Energy Intake physiology; Sports physiology; Water-Electrolyte Balance; Adolescent; Beverages; Dehydration prevention &amp; control; Dietary Carbohydrates metabolism; Drinking Behavior; Female; Food Preferences; Humans; Male; Sweating physiology; Taste physiology; Water metabolism</t>
  </si>
  <si>
    <t>A palatable flavor is known to enhance fluid intake during exercise; however, a fear of excessive kilojoule intake may deter female athletes from consuming a sports drink during training sessions. In order to examine this issue, we monitored fluid balance during 9 separate training sessions undertaken by junior elite female netball players (n = 9), female basketball players (n = 7), and male basketball players (n = 8). The beverages tested were water, a regular carbohydrate-electrolyte beverage (6.8% CHO, 18.7 mmol/L Na, 3.0 mmol/L K, 1,130 kJ/L), and an identical tasting, low kilojoule electrolyte beverage (1% CHO, 18.7 mmol/L Na, 3.0 mmoI/L K, 170 kJ/L). Each subject received each of the 3 drinks at 3 separate training sessions, in a randomized, balanced order. Subjects were aware of the beverage provided. Change in body mass over the training session was used to estimate body fluid change, while voluntary fluid intake was determined from the change in weight of drink bottles used in each session. The overall fluid balance on drinks classified as regular, low kilojoule, and water was -11.3 ml/h (95%CI -99.6 to 77.0), -29.5 ml/h (95%CI -101.4 to 42.5) and-156.4 ml/h (95%CI-215.1 to-97.6), respectively. Theresults indicate that, overall, better fluid balance was achieved using either of the flavored drinks compared to water. These data confirm that flavored drinks enhance fluid balance in a field situation, and suggest that the energy content of the drink is relatively unimportant in determining voluntary fluid intake.</t>
  </si>
  <si>
    <t>https://search.ebscohost.com/login.aspx?direct=true&amp;db=mdc&amp;AN=11993625&amp;site=ehost-live</t>
  </si>
  <si>
    <t>Effects of prolonged low doses of recombinant human erythropoietin during submaximal and maximal exercise.</t>
  </si>
  <si>
    <t>Russell G; Gore CJ; Ashenden MJ; Parisotto R; Hahn AG</t>
  </si>
  <si>
    <t>10.1007/s00421-001-0560-6</t>
  </si>
  <si>
    <t>Erythropoietin administration &amp; dosage; Exercise physiology; Exercise Test drug effects; Iron administration &amp; dosage; Administration, Oral; Adult; Analysis of Variance; Carbon Dioxide analysis; Drug Administration Schedule; Erythrocyte Count; Exercise Test methods; Female; Heart Rate physiology; Hematocrit; Humans; Hydrogen-Ion Concentration; Injections, Intravenous; Lactic Acid blood; Male; Oxygen Consumption; Placebos; Recombinant Proteins; Reticulocytes; Treatment Outcome</t>
  </si>
  <si>
    <t>The aim of this study was to characterise the effect of prolonged low doses of recombinant erythropoietin (r-HuEPO) on the responses to submaximal and maximal exercise. Volunteer recreational athletes ( n=21) were divided into three groups: r-HuEPO+intravenous iron (EPO+IV, n=7), r-HuEPO+oral iron (EPO+OR, n=9) and placebo ( n=5). During the 12 week study, r-HuEPO or saline injections were given three times a week for the first 8 weeks and for the final 4 weeks the subjects were monitored but no injections were administered. The r-HuEPO doses were 50 IU x kg(-1) body mass for 3 weeks and 20 IU x kg(-1) body mass for the next 5 weeks. An exercise test comprising three submaximal intensities and then increments to elicit maximal aerobic power (VO2max ) was conducted during weeks 0, 4, 8 and 12. During week 0, the mean intensity of the submaximal stages was 60%, 72% and 81%. Blood taken at rest was analysed twice a week for haematocrit (Hct). The relative increases in at weeks 4, 8 and 12 were 7.7%, 9.7% and 4.5%, respectively, for the EPO+IV group; 6.0%, 4.7% and 3.1% for the EPO+OR group; and -0.5%, -0.1% and -1.0% for the placebo group, where the improvements at week 12 for the EPO+IV and EPO+OR groups remained significantly above week 0 values. The Hct was significantly elevated by 0.06 and 0.07 units at week 3 in the EPO+IV and EPO+OR groups, respectively, and was stable during the 5 weeks of low-dose r-HuEPO. After 8 weeks of r-HuEPO use, plasma lactate concentration tended to be lower at exercise intensities ranging from 60% to 100%. This study confirmed the ability of low doses of r-HuEPO to maintain Hct and at elevated levels.</t>
  </si>
  <si>
    <t>https://search.ebscohost.com/login.aspx?direct=true&amp;db=mdc&amp;AN=11882931&amp;site=ehost-live</t>
  </si>
  <si>
    <t>Effects of short-term fat adaptation on metabolism and performance of prolonged exercise.</t>
  </si>
  <si>
    <t>10.1097/00005768-200209000-00015</t>
  </si>
  <si>
    <t>Adaptation, Physiological; Dietary Carbohydrates pharmacology; Dietary Fats pharmacology; Physical Endurance physiology; Dietary Carbohydrates administration &amp; dosage; Dietary Carbohydrates metabolism; Dietary Fats administration &amp; dosage; Dietary Fats metabolism; Exercise physiology; Glycogen metabolism; Humans; Oxidation-Reduction; Oxygen Consumption; Time Factors</t>
  </si>
  <si>
    <t>The concept of manipulating an individuals habitual diet before an exercise bout in an attempt to modify patterns of fuel substrate utilization and enhance subsequent exercise capacity is not new. Modern studies have focused on nutritional and training strategies aimed to optimize endogenous carbohydrate (CHO) stores while simultaneously maximizing the capacity for fat oxidation during continuous, submaximal (60-70% of maximal O(2) uptake [(.)VO(2max)] exercise. Such "nutritional periodization" typically encompasses 5-6 d of a high-fat diet (60-70% E) followed by 1-2 d of high-CHO intake (70-80% E; CHO restoration). Despite the brevity of the adaptation period, ingestion of a high-fat diet by endurance-trained athletes results in substantially higher rates of fat oxidation and concomitant muscle glycogen sparing during submaximal exercise compared with an isoenergetic high-CHO diet. Higher rates of fat oxidation during exercise persist even under conditions in which CHO availability is increased, either by having athletes consume a high-CHO meal before exercise and/or ingest glucose solutions during exercise. Yet, despite marked changes in the patterns of fuel utilization that favor fat oxidation, fat-adaptation/CHO restoration strategies do not provide clear benefits to the performance of prolonged endurance exercise.</t>
  </si>
  <si>
    <t>https://search.ebscohost.com/login.aspx?direct=true&amp;db=mdc&amp;AN=12218744&amp;site=ehost-live</t>
  </si>
  <si>
    <t>Excellence: the Australian Institute of Sport. 2nd ed.</t>
  </si>
  <si>
    <t>SPHS-856825</t>
  </si>
  <si>
    <t>SPORTS facilities; ELITE athletes; ACHIEVEMENT; EVOLUTION; SPORTS; AUSTRALIA; FACILITIES; AUSTRALIAN Institute of Sport; HISTORY; MANAGEMENT</t>
  </si>
  <si>
    <t>https://search.ebscohost.com/login.aspx?direct=true&amp;db=s3h&amp;AN=SPHS-856825&amp;site=ehost-live</t>
  </si>
  <si>
    <t>Fuelling your sport - mountain biking.</t>
  </si>
  <si>
    <t>SPHS-894261</t>
  </si>
  <si>
    <t>ALL terrain cycling; NUTRITION; DIET; TRAINING; CONTESTS; CASE studies</t>
  </si>
  <si>
    <t>https://search.ebscohost.com/login.aspx?direct=true&amp;db=s3h&amp;AN=SPHS-894261&amp;site=ehost-live</t>
  </si>
  <si>
    <t>Fuelling your sport - road cycling.</t>
  </si>
  <si>
    <t>SPHS-894263</t>
  </si>
  <si>
    <t>CYCLING; RACING; NUTRITION; DIET; TRAINING; CONTESTS; CASE studies</t>
  </si>
  <si>
    <t>https://search.ebscohost.com/login.aspx?direct=true&amp;db=s3h&amp;AN=SPHS-894263&amp;site=ehost-live</t>
  </si>
  <si>
    <t>Fuelling your sport - rugby league.</t>
  </si>
  <si>
    <t>SPHS-894265</t>
  </si>
  <si>
    <t>RUGBY League football; NUTRITION; DIET; TRAINING; CONTESTS; CASE studies</t>
  </si>
  <si>
    <t>https://search.ebscohost.com/login.aspx?direct=true&amp;db=s3h&amp;AN=SPHS-894265&amp;site=ehost-live</t>
  </si>
  <si>
    <t>Fuelling your sport - tennis.</t>
  </si>
  <si>
    <t>SPHS-894270</t>
  </si>
  <si>
    <t>TENNIS; NUTRITION; DIET; TRAINING; CONTESTS; CASE studies</t>
  </si>
  <si>
    <t>https://search.ebscohost.com/login.aspx?direct=true&amp;db=s3h&amp;AN=SPHS-894270&amp;site=ehost-live</t>
  </si>
  <si>
    <t>Fuelling your sport - triathlon.</t>
  </si>
  <si>
    <t>SPHS-894271</t>
  </si>
  <si>
    <t>TRIATHLON; NUTRITION; DIET; TRAINING; CONTESTS</t>
  </si>
  <si>
    <t>https://search.ebscohost.com/login.aspx?direct=true&amp;db=s3h&amp;AN=SPHS-894271&amp;site=ehost-live</t>
  </si>
  <si>
    <t>Fuelling your sport - volleyball.</t>
  </si>
  <si>
    <t>SPHS-894272</t>
  </si>
  <si>
    <t>VOLLEYBALL; NUTRITION; DIET; TRAINING; CONTESTS; CASE studies</t>
  </si>
  <si>
    <t>https://search.ebscohost.com/login.aspx?direct=true&amp;db=s3h&amp;AN=SPHS-894272&amp;site=ehost-live</t>
  </si>
  <si>
    <t>Get the AIS into your classroom: a personal development, health and physical education resource for upper primary.</t>
  </si>
  <si>
    <t>SPHS-871375</t>
  </si>
  <si>
    <t>PHYSICAL education &amp; training; HEALTH education; AUSTRALIA; PROGRAMS; ELEMENTARY schools; MATURATION (Psychology)</t>
  </si>
  <si>
    <t>Bringing over 20 years of Australian Institute of Sport experience to teachers and their students. A curriculum based approach to teaching upper primary students the keys to a healthy balanced lifestyle.</t>
  </si>
  <si>
    <t>https://search.ebscohost.com/login.aspx?direct=true&amp;db=s3h&amp;AN=SPHS-871375&amp;site=ehost-live</t>
  </si>
  <si>
    <t>Hot topics - eating before exercise.</t>
  </si>
  <si>
    <t>SPHS-899433</t>
  </si>
  <si>
    <t>NUTRITION; EXERCISE</t>
  </si>
  <si>
    <t>https://search.ebscohost.com/login.aspx?direct=true&amp;db=s3h&amp;AN=SPHS-899433&amp;site=ehost-live</t>
  </si>
  <si>
    <t>Hot topics - protein - are you getting enough?</t>
  </si>
  <si>
    <t>SPHS-899432</t>
  </si>
  <si>
    <t>NUTRITION; FOOD; DIET; PROTEINS</t>
  </si>
  <si>
    <t>https://search.ebscohost.com/login.aspx?direct=true&amp;db=s3h&amp;AN=SPHS-899432&amp;site=ehost-live</t>
  </si>
  <si>
    <t>Identical twins are discordant for markers of eccentric exercise-induced muscle damage.</t>
  </si>
  <si>
    <t>Gulbin JP; Gaffney PT</t>
  </si>
  <si>
    <t>10.1055/s-2002-35076</t>
  </si>
  <si>
    <t>Arm Injuries physiopathology; Muscle, Skeletal injuries; Twins, Monozygotic genetics; Adult; Analysis of Variance; Creatine Kinase blood; Elbow Joint physiology; Female; Genetic Predisposition to Disease; Humans; Male; Muscle Contraction physiology; Muscle, Skeletal physiology; Myoglobin blood; Range of Motion, Articular</t>
  </si>
  <si>
    <t>This study investigated whether the variability observed in the markers of exercise-induced muscle damage (EIMD) has a genetic etiology. Sixteen pairs of identical twins performed 24 maximal eccentric contractions (24MAX) using the elbow flexors. EIMD indicators were measured pre-24MAX and three days post-24MAX and included: post-exercise force deficit, maximal isometric force (ISO), plasma creatine kinase (CK), myoglobin (Mb), and joint range of motion. Force-time curves were recorded throughout the 24MAX. Twin siblings were alike for pre-exercise ISO (intraclass R = 0.89) and CK (R = 0.76) (p &lt; 0.001), but were discordant for post-exercise force deficit (R = 0.29), CK (R = 0.15), and Mb (R = 0.17) (p &gt; 0.05). In comparison with individuals minimally affected by the 24MAX, those who experienced the greatest force deficit 3 days post-exercise (&gt; 50 %) were characterised by the greater application of eccentric force at longer muscle lengths (23.1 % vs 17.3 %) (p &lt; 0.05). This study demonstrates that twins do not experience the same level of EIMD following identical exercise bouts. This suggests that the individual variability following high-force eccentric exercise cannot be attributed to genetic differences, refuting the idea that an inherited subclinical predisposition is responsible. From these results, a potential mechanism for the repeated bout effect is discussed.</t>
  </si>
  <si>
    <t>https://search.ebscohost.com/login.aspx?direct=true&amp;db=mdc&amp;AN=12402177&amp;site=ehost-live</t>
  </si>
  <si>
    <t>Respiratory events and periodic breathing in cyclists sleeping at 2,650-m simulated altitude.</t>
  </si>
  <si>
    <t>Kinsman TA; Hahn AG; Gore CJ; Wilsmore BR; Martin DT; Chow CM</t>
  </si>
  <si>
    <t>10.1152/japplphysiol.00737.2001</t>
  </si>
  <si>
    <t>Hypoxia physiopathology; Periodicity; Respiration; Sleep physiology; Sleep Apnea Syndromes physiopathology; Adult; Altitude; Apnea physiopathology; Atmosphere Exposure Chambers; Female; Heart Rate physiology; Humans; Hypoxia complications; Male; Oximetry; Oxygen blood; Physical Fitness; Polysomnography; Sleep Apnea Syndromes etiology; Sleep Stages</t>
  </si>
  <si>
    <t>We examined the initial effect of sleeping at a simulated moderate altitude of 2,650 m on the frequency of apneas and hypopneas, as well as on the heart rate and blood oxygen saturation from pulse oximetry (SpO2) during rapid eye movement (REM) and non-rapid eye movement (NREM) sleep of 17 trained cyclists. Pulse oximetry revealed that sleeping at simulated altitude significantly increased heart rate (3 +/- 1 beats/min; means +/- SE) and decreased SpO2 (-6 +/- 1%) compared with baseline data collected near sea level. In response to simulated altitude, 15 of the 17 subjects increased the combined frequency of apneas plus hypopneas from baseline levels. On exposure to simulated altitude, the increase in apnea was significant from baseline for both sleep states (2.0 +/- 1.3 events/h for REM, 9.9 +/- 6.2 events/h for NREM), but the difference between the two states was not significantly different. Hypopnea frequency was significantly elevated from baseline to simulated altitude exposure in both sleep states, and under hypoxic conditions it was greater in REM than in NREM sleep (7.9 +/- 1.8 vs. 4.2 +/- 1.3 events/h, respectively). Periodic breathing episodes during sleep were identified in four subjects, making this the first study to show periodic breathing in healthy adults at a level of hypoxia equivalent to 2,650-m altitude. These results indicate that simulated moderate hypoxia of a level typically chosen by coaches and elite athletes for simulated altitude programs can cause substantial respiratory events during sleep.</t>
  </si>
  <si>
    <t>https://search.ebscohost.com/login.aspx?direct=true&amp;db=mdc&amp;AN=11960964&amp;site=ehost-live</t>
  </si>
  <si>
    <t>Risk management for clinicians in sports medicine: a summary of proceedings of a seminar conducted at the Australian Institute of Sport, 6 June 2002.</t>
  </si>
  <si>
    <t>Clynes, R.; Hayward, D.; Opie, H.; Seward, H.; Fricker, P.</t>
  </si>
  <si>
    <t>SPHS-932566</t>
  </si>
  <si>
    <t>SPORTS medicine; AUSTRALIAN football; PHYSICIANS (General practice); RISK management; LAW; INSURANCE</t>
  </si>
  <si>
    <t>https://search.ebscohost.com/login.aspx?direct=true&amp;db=s3h&amp;AN=SPHS-932566&amp;site=ehost-live</t>
  </si>
  <si>
    <t>Subacute bacterial endocarditis in a footballer--not a sports injury.</t>
  </si>
  <si>
    <t>Fallon KE; Horvath PK; Hopkins A</t>
  </si>
  <si>
    <t>10.1097/00042752-200201000-00012</t>
  </si>
  <si>
    <t>Embolism etiology; Endocarditis, Subacute Bacterial diagnosis; Football injuries; Sacroiliac Joint; Streptococcal Infections diagnosis; Adult; Embolism microbiology; Endocarditis, Subacute Bacterial complications; Endocarditis, Subacute Bacterial microbiology; Humans; Male</t>
  </si>
  <si>
    <t>https://search.ebscohost.com/login.aspx?direct=true&amp;db=mdc&amp;AN=11854589&amp;site=ehost-live</t>
  </si>
  <si>
    <t>A comparison of the physiological response to simulated altitude exposure and r-HuEpo administration.</t>
  </si>
  <si>
    <t>Ashenden MJ; Hahn AG; Martin DT; Logan P; Parisotto R; Gore CJ</t>
  </si>
  <si>
    <t>10.1080/026404101753113778</t>
  </si>
  <si>
    <t>Altitude; Erythropoietin administration &amp; dosage; Erythropoietin blood; Oxygen blood; Reticulocytes metabolism; Sports; Adult; Calorimetry, Indirect; Controlled Clinical Trials as Topic; Diagnosis, Differential; Doping in Sports; False Positive Reactions; Female; Humans; Male; Oxygen Consumption; Recombinant Proteins</t>
  </si>
  <si>
    <t>Concerns have been raised about the morality of using simulated altitude facilities in an attempt to improve athletic performance. One assumption that has been influential in this debate is the belief that altitude houses simply mimic the physiological effects of illegal recombinant human erythropoietin (r-HuEpo) doping. To test the validity of this assumption, the haematological and physiological responses of 23 well-trained athletes exposed to a simulated altitude of 2650-3000 m for 11-23 nights were contrasted with those of healthy volunteers receiving a low dose (150 IU x kg(-1) per week) of r-HuEpo for 25 days. Serial blood samples were analysed for serum erythropoietin and percent reticulocytes; maximal oxygen uptake (VO2max) was assessed before and after r-HuEpo administration or simulated altitude exposure. The group mean increase in serum erythropoietin (422% for r-HuEpo vs 59% for simulated altitude), percent reticulocytes (89% vs 30%) and VO2max (6.6% vs -2.0%) indicated that simulated altitude did not induce the changes obtained with r-HuEpo administration. Based on the disparity of these responses, we conclude that simulated altitude facilities should not be considered unethical based solely on the tenet that they provide an alternative means of obtaining the benefits sought by illegal r-HuEpo doping.</t>
  </si>
  <si>
    <t>https://search.ebscohost.com/login.aspx?direct=true&amp;db=mdc&amp;AN=11695504&amp;site=ehost-live</t>
  </si>
  <si>
    <t>An evaluation of the concept of living at moderate altitude and training at sea level.</t>
  </si>
  <si>
    <t>Hahn AG; Gore CJ; Martin DT; Ashenden MJ; Roberts AD; Logan PA</t>
  </si>
  <si>
    <t>Comparative biochemistry and physiology. Part A, Molecular &amp; integrative physiology</t>
  </si>
  <si>
    <t>10.1016/s1095-6433(01)00283-5</t>
  </si>
  <si>
    <t>Adaptation, Physiological; Altitude; Exercise; Sports; Adult; Erythrocyte Count; Erythrocyte Volume; Erythropoietin blood; Exercise Tolerance; Female; Heart Rate; Hemodynamics; Humans; Hypoxia physiopathology; Male; Oxygen pharmacokinetics; Sleep physiology</t>
  </si>
  <si>
    <t>Despite equivocal findings about the benefit of altitude training, current theory dictates that the best approach is to spend several weeks living at &gt; or =2500 m but training near sea level. This paper summarizes six studies in which we used simulated altitude (normobaric hypoxia) to examine: (i) the assumption that moderate hypoxia compromises training intensity (two studies); and (ii) the nature of physiological adaptations to sleeping in moderate hypoxia (four studies). When submaximal exercise was &gt;55% of sea level maximum oxygen uptake (VO2max), 1800 m simulated altitude significantly increased heart rate, blood lactate and perceived exertion of skiers. In addition, cyclists self-selected lower workloads during high-intensity exercise in hypoxia (2100 m) than in normoxia. Consequently, our findings partially confirm the rationale for 'living high, training low'. In the remaining four studies, serum erythropoietin increased 80% in the early stages of hypoxic exposure, but the reticulocyte response did not significantly exceed that of control subjects. There was no significant increase in haemoglobin mass (Hb(mass)) and VO2max tended to decrease. Performance in exercise tasks lasting approximately 4 min showed a non-significant trend toward improvement (1.0+/-0.4% vs. 0.1+/-0.4% for a control group; P=0.13 for group x time interaction). We conclude that sleeping in moderate hypoxia (2650-3000 m) for up to 23 days may offer practical benefit to elite athletes, but that any effect is not likely due to increased Hb(mass) or VO2max.</t>
  </si>
  <si>
    <t>https://search.ebscohost.com/login.aspx?direct=true&amp;db=mdc&amp;AN=11282321&amp;site=ehost-live</t>
  </si>
  <si>
    <t>Characteristics of track cycling.</t>
  </si>
  <si>
    <t>Craig NP; Norton KI</t>
  </si>
  <si>
    <t>10.2165/00007256-200131070-00001</t>
  </si>
  <si>
    <t>Bicycling physiology; Anaerobic Threshold; Humans; Lactates blood; Oxygen Consumption</t>
  </si>
  <si>
    <t>Track cycling events range from a 200 m flying sprint (lasting 10 to 11 seconds) to the 50 km points race (lasting approximately 1 hour). Unlike road cycling competitions where most racing is undertaken at submaximal power outputs, the shorter track events require the cyclist to tax maximally both the aerobic and anaerobic (oxygen independent) metabolic pathways. Elite track cyclists possess key physical and physiological attributes which are matched to the specific requirements of their events: these cyclists must have the appropriate genetic predisposition which is then maximised through effective training interventions. With advances in technology it is now possible to accurately measure both power supply and demand variables under competitive conditions. This information provides better resolution of factors that are important for training programme design and skill development.</t>
  </si>
  <si>
    <t>https://search.ebscohost.com/login.aspx?direct=true&amp;db=mdc&amp;AN=11428683&amp;site=ehost-live</t>
  </si>
  <si>
    <t>Detection of recombinant human erythropoietin abuse in athletes utilizing markers of altered erythropoiesis.</t>
  </si>
  <si>
    <t>Parisotto R; Wu M; Ashenden MJ; Emslie KR; Gore CJ; Howe C; Kazlauskas R; Sharpe K; Trout GJ; Xie M</t>
  </si>
  <si>
    <t>Australia; China; Doping in Sports prevention &amp; control; Erythropoietin blood; Substance-Related Disorders diagnosis; Adult; Australia; Biomarkers blood; China; Double-Blind Method; Erythropoiesis drug effects; Erythropoietin administration &amp; dosage; Female; Humans; Male; Recombinant Proteins</t>
  </si>
  <si>
    <t>Background and Objectives: The detection of recombinant human erythropoietin (r-HuEPO) abuse by athletes remains problematic. The main aim of this study was to demonstrate that the five indirect markers of altered erythropoiesis identified in our earlier work were reliable evidence of current or recently discontinued r-HuEPO use. A subsidiary aim was to refine weightings of the five markers in the initial model using a much larger data set than in the pilot study. A final aim was to verify that the hematologic response to r-HuEPO did not differ between Caucasian and Asiatic subjects. Design and Methods: Recreational athletes resident in Sydney, Australia (Sydney, n = 49; 16 women, 33 men) or Beijing, China (Beijing, n=24; 12 women, 12 men) were randomly assigned to r-HuEPO or placebo groups prior to a 25 day administration phase. Injections of r-HuEPO (or saline) were administered double-blind at a dose of 50 IU/kg three times per week, with oral iron (105 mg) or placebo supplements taken daily by all subjects. Blood profiles were monitored during and for 4 weeks after drug administration for hematocrit (Hct), reticulocyte hematocrit (RetHct), percent macrocytes (%Macro), serum erythropoietin (EPO) and soluble transferrin receptor (sTfr), since we had previously shown that these five variables were indicative of r-HuEPO use. Results: The changes in Hct, RetHct, %Macro, EPO and sTfr in the Sydney trial were qualitatively very similar to the changes noted in our previous administration trial involving recreational athletes of similar genetic origin. Statistical models developed from Fisher's discriminant analysis were able to categorize the user and placebo groups correctly. The same hematologic response was demonstrated in Beijing athletes also administered r-HuEPO. Interpretation and Conclusions: This paper confirms that r-HuEPO administration causes a predictable and reproducible hematologic response. These markers are disturbed both during and for several weeks following r-HuEPO administration. This work establishes an indirect blood test which offers a useful means of detecting and deterring r-HuEPO abuse. Ethnicity did not influence the markers identified as being able to detect athletes who abuse r-HuEPO.</t>
  </si>
  <si>
    <t>https://search.ebscohost.com/login.aspx?direct=true&amp;db=mdc&amp;AN=11224480&amp;site=ehost-live</t>
  </si>
  <si>
    <t>Energy needs of athletes.</t>
  </si>
  <si>
    <t>Canadian journal of applied physiology = Revue canadienne de physiologie appliquee</t>
  </si>
  <si>
    <t>26 Suppl</t>
  </si>
  <si>
    <t>S202</t>
  </si>
  <si>
    <t>10.1139/h2001-055</t>
  </si>
  <si>
    <t>Human Kinetics Publishers, Inc</t>
  </si>
  <si>
    <t>Energy Metabolism; Exercise physiology; Sports physiology; Body Mass Index; Diet; Dietary Carbohydrates; Dietary Proteins; Humans; Leptin blood; Nutritional Physiological Phenomena; Physical Endurance physiology; Running physiology</t>
  </si>
  <si>
    <t>Each athlete has unique energy requirements, which underpin their ability to meet total nutritional goals. For everyday dietary planning and evaluation, energy requirements can be predicted via estimations of RMR and activity levels. Research methods such as indirect calorimetry and DLW allow energy requirements to be measured, and may be useful to confirm situations in which an athlete has a true energy balance anomaly. There is some evidence that individual athletes may have reduced energy requirements, although this occurs less frequently than is reported. Most self-reports of food intake substantially under-estimate energy intake, due to under-reporting or under-eating during the period of record keeping. Many athletes are over-focused on reducing body mass and body fat below levels that are consistent with long-term health and performance. Restrained eating can cause significant detrimental outcomes to body function. Leptin may be involved in modulating or mediating some of these changes. Athletes should use their energy budget to choose foods that provide macronutrient and micronutrient needs for optimal health and performance. Practical advice may help athletes to achieve energy intake challenges.</t>
  </si>
  <si>
    <t>https://search.ebscohost.com/login.aspx?direct=true&amp;db=mdc&amp;AN=11897896&amp;site=ehost-live</t>
  </si>
  <si>
    <t>Evaluation of the Accusport lactate analyser.</t>
  </si>
  <si>
    <t>Bishop D</t>
  </si>
  <si>
    <t>10.1055/s-2001-17611</t>
  </si>
  <si>
    <t>Blood Chemical Analysis instrumentation; Lactic Acid blood; Sports Medicine instrumentation; Adult; Blood Specimen Collection methods; Female; Humans; Male; Reproducibility of Results</t>
  </si>
  <si>
    <t>It has been suggested that lactate concentrations may provide a guide to an optimal training intensity. However, lactate concentrations established during incremental exercise in the laboratory are not always indicative of what is occurring during constant-load exercise at the same intensity. Ideally, lactate concentrations should be measured during a training session and immediately reported to the athlete to ensure that the athlete is working at the desired intensity. The purpose of this investigation was, therefore, to determine the reliability and validity of a compact, portable lactate analyser (ACCUSPORT; Boeringer Mannheim, Castle Hill, Australia). A total of 224 capillary blood samples were taken from athletes who took part in routine laboratory testing. Seventy-three of these capillary blood samples were analysed in duplicate with the Accusport for determination of intraclass, single-trial reliability. Day-to-day intraclass reliability of the Accusport was assessed by analyzing known concentrations of aqueous lactate solutions on seven consecutive days. The validity of the Accusport analyser was assessed by comparing the 224 capillary blood lactate concentrations determined on the Accusport with the lactate concentration obtained using a MICRO STAT LM3 (Analox Instruments Ltd., London, UK). In addition, lactate parameters derived from the lactate concentrations obtained with the two analysers were compared. The Accusport showed high single-trial intraclass reliability (R = 0.992; Standard Error of Measurement [SE(M)] = 0.3 mmol x l(-1); n = 73) and high day-to-day intraclass reliability (R = 0.993; SE(M) = 0.4 mmol x l(-1); n = 42). Despite a strong correlation between blood lactate concentrations obtained on the two analysers (r = 0.96; n = 224) the limits of agreement were + 1.9 to - 2.2 mmol x l(-1). Although the mean values for power output, HR and lactate concentration associated with the lactate parameters were not significantly different when determined on the Accusport or Micro Stat, some individuals did record large differences between analysis methods. In summary, the results of this investigation have shown that lactate concentrations can be reliably determined within a single trial and from day-to-day using the Accusport analyser. However, for some athletes, it is not valid to compare lactate concentrations or lactate parameters determined on the Accusport with those determined using the Micro Stat LM3 lactate analyser.</t>
  </si>
  <si>
    <t>https://search.ebscohost.com/login.aspx?direct=true&amp;db=mdc&amp;AN=11590480&amp;site=ehost-live</t>
  </si>
  <si>
    <t>Fuelling your sport - Australian rules football.</t>
  </si>
  <si>
    <t>SPHS-894253</t>
  </si>
  <si>
    <t>AUSTRALIAN football; NUTRITION; DIET; CONTESTS; TRAINING</t>
  </si>
  <si>
    <t>https://search.ebscohost.com/login.aspx?direct=true&amp;db=s3h&amp;AN=SPHS-894253&amp;site=ehost-live</t>
  </si>
  <si>
    <t>Fuelling your sport - basketball.</t>
  </si>
  <si>
    <t>SPHS-894254</t>
  </si>
  <si>
    <t>BASKETBALL; NUTRITION; DIET; CONTESTS; TRAINING</t>
  </si>
  <si>
    <t>https://search.ebscohost.com/login.aspx?direct=true&amp;db=s3h&amp;AN=SPHS-894254&amp;site=ehost-live</t>
  </si>
  <si>
    <t>Fuelling your sport - boxing.</t>
  </si>
  <si>
    <t>SPHS-894255</t>
  </si>
  <si>
    <t>BOXING; NUTRITION; DIET; CONTESTS; TRAINING; CASE studies</t>
  </si>
  <si>
    <t>https://search.ebscohost.com/login.aspx?direct=true&amp;db=s3h&amp;AN=SPHS-894255&amp;site=ehost-live</t>
  </si>
  <si>
    <t>Fuelling your sport - cricket.</t>
  </si>
  <si>
    <t>SPHS-894256</t>
  </si>
  <si>
    <t>CRICKET; NUTRITION; DIET; CONTESTS; TRAINING; CASE studies</t>
  </si>
  <si>
    <t>https://search.ebscohost.com/login.aspx?direct=true&amp;db=s3h&amp;AN=SPHS-894256&amp;site=ehost-live</t>
  </si>
  <si>
    <t>Fuelling your sport - distance running.</t>
  </si>
  <si>
    <t>SPHS-894257</t>
  </si>
  <si>
    <t>MARATHON running; NUTRITION; DIET; CONTESTS; TRAINING; CASE studies</t>
  </si>
  <si>
    <t>https://search.ebscohost.com/login.aspx?direct=true&amp;db=s3h&amp;AN=SPHS-894257&amp;site=ehost-live</t>
  </si>
  <si>
    <t>Fuelling your sport - golf.</t>
  </si>
  <si>
    <t>SPHS-894258</t>
  </si>
  <si>
    <t>GOLF; NUTRITION; DIET; CONTESTS; TRAINING; CASE studies</t>
  </si>
  <si>
    <t>https://search.ebscohost.com/login.aspx?direct=true&amp;db=s3h&amp;AN=SPHS-894258&amp;site=ehost-live</t>
  </si>
  <si>
    <t>Fuelling your sport - gymnastics.</t>
  </si>
  <si>
    <t>SPHS-894259</t>
  </si>
  <si>
    <t>GYMNASTICS; NUTRITION; DIET; CONTESTS; TRAINING; CASE studies</t>
  </si>
  <si>
    <t>https://search.ebscohost.com/login.aspx?direct=true&amp;db=s3h&amp;AN=SPHS-894259&amp;site=ehost-live</t>
  </si>
  <si>
    <t>Fuelling your sport - middle distance running.</t>
  </si>
  <si>
    <t>SPHS-894260</t>
  </si>
  <si>
    <t>MIDDLE distance running; NUTRITION; DIET; CONTESTS; CASE studies</t>
  </si>
  <si>
    <t>https://search.ebscohost.com/login.aspx?direct=true&amp;db=s3h&amp;AN=SPHS-894260&amp;site=ehost-live</t>
  </si>
  <si>
    <t>Fuelling your sport - netball.</t>
  </si>
  <si>
    <t>SPHS-894262</t>
  </si>
  <si>
    <t>NETBALL; NUTRITION; DIET; TRAINING; CONTESTS</t>
  </si>
  <si>
    <t>https://search.ebscohost.com/login.aspx?direct=true&amp;db=s3h&amp;AN=SPHS-894262&amp;site=ehost-live</t>
  </si>
  <si>
    <t>Fuelling your sport - rowing.</t>
  </si>
  <si>
    <t>SPHS-894264</t>
  </si>
  <si>
    <t>ROWING; NUTRITION; DIET; TRAINING; CONTESTS; CASE studies</t>
  </si>
  <si>
    <t>https://search.ebscohost.com/login.aspx?direct=true&amp;db=s3h&amp;AN=SPHS-894264&amp;site=ehost-live</t>
  </si>
  <si>
    <t>Fuelling your sport - soccer.</t>
  </si>
  <si>
    <t>SPHS-894266</t>
  </si>
  <si>
    <t>SOCCER; NUTRITION; DIET; TRAINING; CONTESTS; CASE studies</t>
  </si>
  <si>
    <t>https://search.ebscohost.com/login.aspx?direct=true&amp;db=s3h&amp;AN=SPHS-894266&amp;site=ehost-live</t>
  </si>
  <si>
    <t>Fuelling your sport - swimming.</t>
  </si>
  <si>
    <t>SPHS-894268</t>
  </si>
  <si>
    <t>SWIMMING; NUTRITION; DIET; TRAINING; CONTESTS; CASE studies</t>
  </si>
  <si>
    <t>https://search.ebscohost.com/login.aspx?direct=true&amp;db=s3h&amp;AN=SPHS-894268&amp;site=ehost-live</t>
  </si>
  <si>
    <t>Fuelling your sport - taekwondo.</t>
  </si>
  <si>
    <t>SPHS-894269</t>
  </si>
  <si>
    <t>TAE kwon do; NUTRITION; DIET; TRAINING; CONTESTS; CASE studies</t>
  </si>
  <si>
    <t>https://search.ebscohost.com/login.aspx?direct=true&amp;db=s3h&amp;AN=SPHS-894269&amp;site=ehost-live</t>
  </si>
  <si>
    <t>Gender verification.</t>
  </si>
  <si>
    <t xml:space="preserve"> </t>
  </si>
  <si>
    <t>SPHS-888167</t>
  </si>
  <si>
    <t>SPORTS; CONTESTS; SEX determination, Diagnostic; TESTING</t>
  </si>
  <si>
    <t>https://search.ebscohost.com/login.aspx?direct=true&amp;db=s3h&amp;AN=SPHS-888167&amp;site=ehost-live</t>
  </si>
  <si>
    <t>Guidelines for daily carbohydrate intake: do athletes achieve them?</t>
  </si>
  <si>
    <t>Burke LM; Cox GR; Culmmings NK; Desbrow B</t>
  </si>
  <si>
    <t>10.2165/00007256-200131040-00003</t>
  </si>
  <si>
    <t>Dietary Carbohydrates administration &amp; dosage; Guidelines as Topic; Nutrition Assessment; Sports physiology; Female; Humans; Male; Research</t>
  </si>
  <si>
    <t>Official dietary guidelines for athletes are unanimous in their recommendation of high carbohydrate (CHO) intakes in routine or training diets. These guidelines have been criticised on the basis of a lack of scientific support for superior training adaptations and performance, and the apparent failure of successful athletes to achieve such dietary practices. Part of the problem rests with the expression of CHO intake guidelines in terms of percentage of dietary energy. It is preferable to provide recommendations for routine CHO intake in grams (relative to the body mass of the athlete) and allow flexibility for the athlete to meet these targets within the context of their energy needs and other dietary goals. CHO intake ranges of 5 to 7 g/kg/day for general training needs and 7 to 10 g/kg/day for the increased needs of endurance athletes are suggested. The limitations of dietary survey techniques should be recognised when assessing the adequacy of the dietary practices of athletes. In particular, the errors caused by under-reporting or undereating during the period of the dietary survey must be taken into account. A review of the current dietary survey literature of athletes shows that a typical male athlete achieves CHO intake within the recommended range (on a g/kg basis). Individual athletes may need nutritional education or dietary counselling to fine-tune their eating habits to meet specific CHO intake targets. Female athletes, particularly endurance athletes, are less likely to achieve these CHO intake guidelines. This is due to chronic or periodic restriction of total energy intake in order to achieve or maintain low levels of body fat. With professional counselling, female athletes may be helped to find a balance between bodyweight control issues and fuel intake goals. Although we look to the top athletes as role models, it is understandable that many do not achieve optimal nutrition practices. The real or apparent failure of these athletes to achieve the daily CHO intakes recommended by sports nutritionists does not necessarily invalidate the benefits of meeting such guidelines. Further longitudinal studies of training adaptation and performance are needed to determine differences in the outcomes of high versus moderate CHO intakes. In the meantime, the recommendations of sports nutritionists are based on plentiful evidence that increased CHO availability enhances endurance and performance during single exercise sessions.</t>
  </si>
  <si>
    <t>https://search.ebscohost.com/login.aspx?direct=true&amp;db=mdc&amp;AN=11310548&amp;site=ehost-live</t>
  </si>
  <si>
    <t>Hot topics - are lollies at the cutting edge?</t>
  </si>
  <si>
    <t>SPHS-899441</t>
  </si>
  <si>
    <t>NUTRITION; CARBOHYDRATES; SPORTS; FOOD</t>
  </si>
  <si>
    <t>https://search.ebscohost.com/login.aspx?direct=true&amp;db=s3h&amp;AN=SPHS-899441&amp;site=ehost-live</t>
  </si>
  <si>
    <t>Hot topics - carbohydrate: are you getting enough?</t>
  </si>
  <si>
    <t>SPHS-899440</t>
  </si>
  <si>
    <t>https://search.ebscohost.com/login.aspx?direct=true&amp;db=s3h&amp;AN=SPHS-899440&amp;site=ehost-live</t>
  </si>
  <si>
    <t>Hot topics - fluid: who needs it?</t>
  </si>
  <si>
    <t>SPHS-899448</t>
  </si>
  <si>
    <t>NUTRITION; COACHING (Athletics); LIQUIDS; HYDRATION</t>
  </si>
  <si>
    <t>https://search.ebscohost.com/login.aspx?direct=true&amp;db=s3h&amp;AN=SPHS-899448&amp;site=ehost-live</t>
  </si>
  <si>
    <t>Hot topics - how much do athletes sweat?</t>
  </si>
  <si>
    <t>SPHS-899445</t>
  </si>
  <si>
    <t>PERSPIRATION; SPORTS; ATHLETES</t>
  </si>
  <si>
    <t>https://search.ebscohost.com/login.aspx?direct=true&amp;db=s3h&amp;AN=SPHS-899445&amp;site=ehost-live</t>
  </si>
  <si>
    <t>Hot topics - how to grow muscles.</t>
  </si>
  <si>
    <t>SPHS-899442</t>
  </si>
  <si>
    <t>MUSCLE strength; NUTRITION; MUSCLE metabolism</t>
  </si>
  <si>
    <t>https://search.ebscohost.com/login.aspx?direct=true&amp;db=s3h&amp;AN=SPHS-899442&amp;site=ehost-live</t>
  </si>
  <si>
    <t>Hot topics - sports bars.</t>
  </si>
  <si>
    <t>Desbrow, B.</t>
  </si>
  <si>
    <t>SPHS-899446</t>
  </si>
  <si>
    <t>NUTRITION; FOOD; CARBOHYDRATES; DIETARY supplements</t>
  </si>
  <si>
    <t>https://search.ebscohost.com/login.aspx?direct=true&amp;db=s3h&amp;AN=SPHS-899446&amp;site=ehost-live</t>
  </si>
  <si>
    <t>Hot topics - supplements in sport: nutritional ergogenic aids.</t>
  </si>
  <si>
    <t>SPHS-899436</t>
  </si>
  <si>
    <t>NUTRITION; ERGOGENIC aids; DIETARY supplements</t>
  </si>
  <si>
    <t>https://search.ebscohost.com/login.aspx?direct=true&amp;db=s3h&amp;AN=SPHS-899436&amp;site=ehost-live</t>
  </si>
  <si>
    <t>Hot topics - supplements in sport: why are they so tempting?</t>
  </si>
  <si>
    <t>SPHS-899437</t>
  </si>
  <si>
    <t>SPORTS; NUTRITION; ERGOGENIC aids; DIETARY supplements</t>
  </si>
  <si>
    <t>https://search.ebscohost.com/login.aspx?direct=true&amp;db=s3h&amp;AN=SPHS-899437&amp;site=ehost-live</t>
  </si>
  <si>
    <t>Hot topics - supplements: can they cause an athlete to test positive?</t>
  </si>
  <si>
    <t>SPHS-899438</t>
  </si>
  <si>
    <t>SPORTS; NUTRITION; ERGOGENIC aids; DIETARY supplements; DOPING in sports; ATHLETES; TESTING</t>
  </si>
  <si>
    <t>https://search.ebscohost.com/login.aspx?direct=true&amp;db=s3h&amp;AN=SPHS-899438&amp;site=ehost-live</t>
  </si>
  <si>
    <t>Hot topics - the zone diet.</t>
  </si>
  <si>
    <t>SPHS-899443</t>
  </si>
  <si>
    <t>NUTRITION; REDUCING diets</t>
  </si>
  <si>
    <t>https://search.ebscohost.com/login.aspx?direct=true&amp;db=s3h&amp;AN=SPHS-899443&amp;site=ehost-live</t>
  </si>
  <si>
    <t>Hot topics - vegetarian eating.</t>
  </si>
  <si>
    <t>Cox, G.</t>
  </si>
  <si>
    <t>SPHS-899435</t>
  </si>
  <si>
    <t>NUTRITION; VEGETARIANISM</t>
  </si>
  <si>
    <t>https://search.ebscohost.com/login.aspx?direct=true&amp;db=s3h&amp;AN=SPHS-899435&amp;site=ehost-live</t>
  </si>
  <si>
    <t>Hot topics - weight loss.</t>
  </si>
  <si>
    <t>Braakhuis, A.</t>
  </si>
  <si>
    <t>SPHS-899447</t>
  </si>
  <si>
    <t>NUTRITION; WEIGHT loss</t>
  </si>
  <si>
    <t>https://search.ebscohost.com/login.aspx?direct=true&amp;db=s3h&amp;AN=SPHS-899447&amp;site=ehost-live</t>
  </si>
  <si>
    <t>Live high:train low increases muscle buffer capacity and submaximal cycling efficiency.</t>
  </si>
  <si>
    <t>Gore CJ; Hahn AG; Aughey RJ; Martin DT; Ashenden MJ; Clark SA; Garnham AP; Roberts AD; Slater GJ; McKenna MJ</t>
  </si>
  <si>
    <t>Acta physiologica Scandinavica</t>
  </si>
  <si>
    <t>10.1046/j.1365-201X.2001.00906.x</t>
  </si>
  <si>
    <t>Blackwell Scientific Publications</t>
  </si>
  <si>
    <t>Adaptation, Physiological physiology; Altitude; Hypoxia physiopathology; Muscle, Skeletal metabolism; Adenosine Triphosphate metabolism; Adult; Atmosphere Exposure Chambers; Bicycling physiology; Creatine metabolism; Exercise Test; Glycogen metabolism; Heart Rate physiology; Humans; Hydrogen-Ion Concentration; Lactic Acid metabolism; Male; Oxygen Consumption physiology; Phosphocreatine metabolism</t>
  </si>
  <si>
    <t>This study investigated whether hypoxic exposure increased muscle buffer capacity (beta(m)) and mechanical efficiency during exercise in male athletes. A control (CON, n=7) and a live high:train low group (LHTL, n=6) trained at near sea level (600 m), with the LHTL group sleeping for 23 nights in simulated moderate altitude (3000 m). Whole body oxygen consumption (VO2) was measured under normoxia before, during and after 23 nights of sleeping in hypoxia, during cycle ergometry comprising 4 x 4-min submaximal stages, 2-min at 5.6 +/- 0.4 W kg(-1), and 2-min 'all-out' to determine total work and VO(2peak). A vastus lateralis muscle biopsy was taken at rest and after a standardized 2-min 5.6 +/- 0.4 W kg(-1) bout, before and after LHTL, and analysed for beta(m) and metabolites. After LHTL, beta(m) was increased (18%, P &lt; 0.05). Although work was maintained, VO(2peak) fell after LHTL (7%, P &lt; 0.05). Submaximal VO2 was reduced (4.4%, P &lt; 0.05) and efficiency improved (0.8%, P &lt; 0.05) after LHTL probably because of a shift in fuel utilization. This is the first study to show that hypoxic exposure, per se, increases muscle buffer capacity. Further, reduced VO2 during normoxic exercise after LHTL suggests that improved exercise efficiency is a fundamental adaptation to LHTL.</t>
  </si>
  <si>
    <t>https://search.ebscohost.com/login.aspx?direct=true&amp;db=mdc&amp;AN=11736690&amp;site=ehost-live</t>
  </si>
  <si>
    <t>Monitoring the lactate threshold in world-ranked swimmers.</t>
  </si>
  <si>
    <t>Pyne DB; Lee H; Swanwick KM</t>
  </si>
  <si>
    <t>10.1097/00005768-200102000-00019</t>
  </si>
  <si>
    <t>Lactic Acid blood; Physical Endurance; Swimming physiology; Adult; Biomarkers analysis; Humans; Male; Seasons; Task Performance and Analysis</t>
  </si>
  <si>
    <t>Purpose: To determine whether lactate profiling could detect changes in discrete aspects of endurance fitness in world-ranked swimmers during a season. Methods: Eight male and four female Australian National Team swimmers aged 20--27 yr undertook a 7 x 200-m incremental swimming step test on four occasions over an 8-month period before the 1998 Commonwealth Games (CG): January (10 d before the World Championships), May (early-season camp), July (midseason), and August (16 d before the CG). The lactate threshold (LT) was determined by a mathematical formula that calculated the threshold as a function of the slope and y-intercept of the lactate-velocity curve. Results: Maximal 200-m test time declined initially from 127.7 +/- 4.2 s (January 1998) to 130.2 +/- 4.5 s (May 1998) and 129.1 +/- 4.3 s (July 1998) before improving to 126.8 +/- 4.2 s (August 1998) (P &lt; 0.005). The swimming velocity at LT (s.100 m(-)1) also declined midseason before improving before the CG (P &lt; 0.02) (January 1998: 70.5 +/- 2.1; May 1998: 72.0 +/- 2.2; July 1998: 72.2 +/- 2.2; and August 1998: 70.8 +/- 2.1). The blood lactate concentration at the LT decreased (P &lt; 0.02) from 3.6 +/- 0.2 mM to 3.2 +/- 0.1 mM and 2.9 +/- 0.2 mM before returning to 3.4 +/- 0.2 mM for January, May, July, and August, respectively. The lactate tolerance rating (LT(5--10)), defined as the differential velocity between lactate concentrations of 5.0 and 10.0 mM, declined midway through the season (P &lt; 0.015): 6.6 +/- 0.5 s.100 m(-1), 7.7 +/- 0.5 s.100 m(-1), 8.5 +/- 0.5 s.100 m(-1), and 6.9 +/- 0.4 s.100 m(-1), for January, May, July, and August, respectively. Despite these improvements in indicators of fitness, there was no significant improvement in competition performance across the season. Conclusions: Maximal effort 200-m time, lactate tolerance rating, and swimming velocity at LT (s.100 m(-1)) all improved in world-ranked swimmers with training, but these changes were not directly associated with competition performance.</t>
  </si>
  <si>
    <t>https://search.ebscohost.com/login.aspx?direct=true&amp;db=mdc&amp;AN=11224820&amp;site=ehost-live</t>
  </si>
  <si>
    <t>Mucosal immunity, respiratory illness, and competitive performance in elite swimmers.</t>
  </si>
  <si>
    <t>Pyne DB; McDonald WA; Gleeson M; Flanagan A; Clancy RL; Fricker PA</t>
  </si>
  <si>
    <t>10.1097/00005768-200103000-00002</t>
  </si>
  <si>
    <t>Antibody Formation immunology; Physical Fitness; Respiratory Tract Diseases complications; Swimming physiology; Adolescent; Adult; Female; Health Status; Humans; Immunoglobulin G analysis; Male; Respiratory Tract Diseases etiology; Respiratory Tract Diseases immunology; Saliva immunology; Task Performance and Analysis</t>
  </si>
  <si>
    <t>Purpose: Exercise and training are known to elicit changes in mucosal humoral immunity, but whether these alterations have any impact on competitive performance remains unclear. This investigation examined relationships between salivary immunoglobulin (Ig) concentration, the incidence of respiratory tract illness (RTI), and competitive performance in elite swimmers. Methods: Forty-one members of the Australian Swimming Team (21 males and 20 females) aged 15-27 yr were monitored during preparations for the 1998 Commonwealth Games. Twenty-five coaches and staff (19 males and 6 females) aged 32-65 yr, serving as "environmental controls," were also monitored. Salivary IgA, IgM, and IgG and albumin concentration (mg.L-1) were measured in both groups in May 1998 and again in August 1998, 17 d before competition. Subjects were categorized as "ill" (at least one RTI) or "healthy". Results: There were no significant changes in salivary IgA, IgM, or IgG concentration in the swimmers between May and August, nor were there any differences between healthy (N = 23) and ill (N = 18) swimmers. There was a significant positive relationship between IgM and performance in the male swimmers (r = 0.85, P &lt; 0.001) but not for any other parameter. There was no significant difference in performance between ill and healthy swimmers (P = 0.11). Gold medal winners (N = 9) had higher IgM levels than other swimmers (N = 32) in May (P = 0.02) and higher IgG in August (P = 0.02). Conclusion: These data indicate that a season of training by elite swimmers did not alter salivary immunoglobulin concentrations, and the presence of RTI had no significant impact on competitive performance.</t>
  </si>
  <si>
    <t>https://search.ebscohost.com/login.aspx?direct=true&amp;db=mdc&amp;AN=11252057&amp;site=ehost-live</t>
  </si>
  <si>
    <t>Nutritional needs for exercise in the heat.</t>
  </si>
  <si>
    <t>10.1016/s1095-6433(01)00279-3</t>
  </si>
  <si>
    <t>Drinking; Exercise; Hot Temperature; Nutritional Physiological Phenomena; Body Water; Carbohydrates pharmacokinetics; Dehydration; Glycogen metabolism; Humans; Muscle, Skeletal metabolism; Nutrition Policy; Sports</t>
  </si>
  <si>
    <t>Although hot conditions are not typically conducive to optimal sports performance, nutritional strategies play an important role in assisting an athlete to perform as well as possible in a hot environment. A key issue is the prevention of hypohydration during an exercise session. Fluid intake strategies should be undertaken in a cyclical sequence: hydrate well prior to the workout, drink as much as is comfortable and practical during the session, and rehydrate aggressively afterwards in preparation for future exercise bouts. There is some interest in hyperhydration strategies, such as hyperhydration with glycerol, to prepare the athlete for a situation where there is little opportunity for fluid intake to match large sweat losses. Recovery of significant fluid losses after exercise is assisted by the simultaneous replacement of electrolyte losses. Carbohydrate (CHO) requirements for exercise are increased in the heat, due to a shift in substrate utilization towards CHO oxidation. Daily food patterns should focus on replacing glycogen stores after exercise, and competition strategies should include activities to enhance CHO availability, such as CHO loading for endurance events, pre-event CHO intake, and intake of sports drinks in events lasting longer than 60 min. Although CHO ingestion may not enhance the performance of all events undertaken in hot weather, there are no disadvantages to the consumption of beverages containing 4-8% CHO and electrolytes. In fact, the palatability of these drinks may enhance the voluntary intake of fluid. Although there is some evidence of increased protein catabolism and cellular damage due to production of oxygen radicals during exercise in the heat, there is insufficient evidence to make specific dietary recommendations to account for these issues.</t>
  </si>
  <si>
    <t>https://search.ebscohost.com/login.aspx?direct=true&amp;db=mdc&amp;AN=11282317&amp;site=ehost-live</t>
  </si>
  <si>
    <t>Nutritional practices of male and female endurance cyclists.</t>
  </si>
  <si>
    <t>10.2165/00007256-200131070-00007</t>
  </si>
  <si>
    <t>Bicycling; Dietary Carbohydrates administration &amp; dosage; Eating; Nutritional Physiological Phenomena; Physical Endurance; Dietary Proteins administration &amp; dosage; Energy Metabolism; Female; Humans; Male; Nutritional Requirements</t>
  </si>
  <si>
    <t>The nutritional requirements of the training and competition programmes of elite endurance cyclists are challenging. Notwithstanding the limitations of dietary survey techniques, studies of high-level male road cyclists provide important information about nutrient intake and food practices during training and major stage races. Typically, male cyclists undertaking intensive training programmes report a high energy intake (&gt; or = 250 kJ/kg/day) and carbohydrate (CHO) intakes of 8 to 11 g/kg/day. Intakes of protein and micronutrients are likely to meet Recommended Dietary Intake levels, because of high energy intakes. Data on female cyclists are scarce. Stage racing poses an increased requirement for energy and CHO, with daily energy expenditure often exceeding 25 MJ. This must be achieved in the face of practical constraints on the time available for eating, and the suppression of appetite after exhausting exercise. However, studies show that male cyclists riding for professional teams appear to meet these challenges, with the assistance of their medical/scientific support crews. Current dietary practices during cycle tours appear to favour greater reliance on pre-stage intake and post-stage recovery meals to achieve nutritional goals. Recent reports suggest that current riding tactics interfere with previous practices of consuming substantial amounts of fluid and CHO while cycling. Further study is needed to confirm these practices, and to investigate whether these or other dietary strategies produce optimal cycling performance. Other issues that should receive attention include dietary practices of female cyclists, beliefs and practices regarding bodyweight control among cyclists, and the use of supplements and sports foods.</t>
  </si>
  <si>
    <t>https://search.ebscohost.com/login.aspx?direct=true&amp;db=mdc&amp;AN=11428689&amp;site=ehost-live</t>
  </si>
  <si>
    <t>Physiological characteristics of nationally competitive female road cyclists and demands of competition.</t>
  </si>
  <si>
    <t>Martin DT; McLean B; Trewin C; Lee H; Victor J; Hahn AG</t>
  </si>
  <si>
    <t>10.2165/00007256-200131070-00002</t>
  </si>
  <si>
    <t>Bicycling physiology; Adult; Anthropometry; Body Composition; Female; Humans; Oxygen Consumption; Physical Fitness</t>
  </si>
  <si>
    <t>There are few published data describing female cyclists and the studies available are difficult to interpret because of the classification of athletes. In this review, cyclists are referred to as either internationally competitive (International Cycling Union world rankings provided when available) or nationally competitive. Based on the limited data available it appears that the age, height, body mass (BM) and body composition of women cyclists who have been selected to the US and Australian National Road Cycling Teams from 1980 to 2000 are fairly similar. Female cyclists who have become internationally competitive are generally between 21 to 28 years of age, 162 to 174 cm, 55.4 to 58.8 kg and 38 to 51 mm (sum of 7 skinfolds) corresponding to 7 to 12% body fat. The lower BM and percentage body fat are traits unique to the most competitive women. Internationally competitive women cyclists also possess a slightly superior ability to produce a high absolute power output for a fixed time period and a noticeably greater ability to produce power output relative to BM. In Women's World Cup races, successful women (top 20 places) spend more time &gt;7.5 W/kg (11 +/- 2 vs 7 +/- 2%, p &lt; 0.01) and less time &lt;0.75 W/kg (24 +/- 4 vs 29 +/- 3%, p = 0.05) compared with non-top 20 placed riders. Additionally, cyclists in the top 20 produced higher average power (3.6 +/- 0.4 vs 3.1 +/- 0.1 W/kg, p = 0.01). Unlike professional men's road cycling, the physiological characteristics of internationally competitive female road cyclists and the demands of women's cycling competition are poorly understood.</t>
  </si>
  <si>
    <t>https://search.ebscohost.com/login.aspx?direct=true&amp;db=mdc&amp;AN=11428684&amp;site=ehost-live</t>
  </si>
  <si>
    <t>Stress fracture of the clavicle in a young female gymnast.</t>
  </si>
  <si>
    <t>Fallon KE; Fricker PA</t>
  </si>
  <si>
    <t>10.1136/bjsm.35.6.448</t>
  </si>
  <si>
    <t>Athletic Injuries diagnosis; Clavicle diagnostic imaging; Clavicle injuries; Fractures, Stress diagnosis; Gymnastics injuries; Athletic Injuries therapy; Child; Diagnosis, Differential; Female; Fractures, Spontaneous diagnosis; Fractures, Stress therapy; Humans; Magnetic Resonance Imaging; Tomography, X-Ray Computed</t>
  </si>
  <si>
    <t>Stress fractures of the clavicle are rare. This is the report of one such fracture in a 10 year old female gymnast, who presented with a six week history of medial clavicular pain. Radiographs and a computed tomography scan showed an undisplaced fracture through the medial third of the clavicle extending inferiorly to the rhomboid fossa in the inferior aspect of the clavicle. Pathological fracture was excluded by magnetic resonance imaging. The patient was treated conservatively and was able to return to full training eight weeks later.</t>
  </si>
  <si>
    <t>https://search.ebscohost.com/login.aspx?direct=true&amp;db=mdc&amp;AN=11726488&amp;site=ehost-live</t>
  </si>
  <si>
    <t>Survival from the fittest.</t>
  </si>
  <si>
    <t>Burke, L.; Cox, G.; Minehan, M.; Brakkhus, A.; Crawford, R.</t>
  </si>
  <si>
    <t>SPHS-799334</t>
  </si>
  <si>
    <t>Murdoch Magazines</t>
  </si>
  <si>
    <t>NUTRITION; DIET; FOOD; ATHLETES; COOKERY</t>
  </si>
  <si>
    <t>"Survival from the fittest" is the second official cookbook from the Australian Institute of Sport, developed by the team of sports dieticians at the AIS, and the athletes themselves, it is not only aimed at athletes, but at anyone who is interested in maintaining a healthy diet in a busy lifestyle. Recipes are accompanied by a nutritional analysis, cooking hints and a selection of tips from AIS athletes. Quick, delicious and foolproof, the recipes are designed to provide maximum energy and nutrition with minimal time and effort.</t>
  </si>
  <si>
    <t>https://search.ebscohost.com/login.aspx?direct=true&amp;db=s3h&amp;AN=SPHS-799334&amp;site=ehost-live</t>
  </si>
  <si>
    <t>The acute phase response and exercise: court and field sports.</t>
  </si>
  <si>
    <t>Fallon KE; Fallon SK; Boston T</t>
  </si>
  <si>
    <t>10.1136/bjsm.35.3.170</t>
  </si>
  <si>
    <t>Acute-Phase Reaction etiology; Exercise physiology; Sports physiology; Adolescent; Adult; Female; Humans; Prospective Studies; Soccer physiology; Surveys and Questionnaires</t>
  </si>
  <si>
    <t>Objective: To determine the presence or absence of an acute phase response after training for court and field sports. Participants: All members of the Australian women's soccer team (n = 18) and all members of the Australian Institute of Sport netball team (n = 14). Methods: Twelve acute phase reactants (white blood cell count, neutrophil count, platelet count, serum iron, ferritin, and transferrin, percentage transferrin saturation, alpha(1) antitrypsin, caeruloplasmin, alpha(2) acid glycoprotein, C reactive protein, and erythrocyte sedimentation rate) were measured during a rest period and after moderate and heavy training weeks in members of elite netball and women's soccer teams. Results: Responses consistent with an acute phase response were found in five of 24 tests in the soccer players, and in three of 24 tests in the netball players. Responses in the opposite direction were found in seven of 24 tests in the soccer players and two of 24 tests in the netballers. The most sensitive reactant measured, C reactive protein, did not respond in a manner typical of an acute phase response. Conclusion: An acute phase response does not seem to occur as a consequence of the levels of training typical of elite female netball and soccer teams. This has implications for the interpretation of biochemical variables in these groups.</t>
  </si>
  <si>
    <t>https://search.ebscohost.com/login.aspx?direct=true&amp;db=mdc&amp;AN=11375875&amp;site=ehost-live</t>
  </si>
  <si>
    <t>The acute phase response and exercise: the ultramarathon as prototype exercise.</t>
  </si>
  <si>
    <t>10.1097/00042752-200101000-00007</t>
  </si>
  <si>
    <t>Acute-Phase Reaction physiopathology; Running physiology; Acute-Phase Proteins analysis; Adult; Cytokines blood; Female; Humans; Inflammation physiopathology; Iron blood; Male; Middle Aged</t>
  </si>
  <si>
    <t>Objective: Controversy exists in relation to the nature of the acute phase response, which is known to occur following endurance exercise. This study was conducted to demonstrate the similarities between this response and the response consequent to general medical and surgical conditions. Design: This is a case series field study of serum levels of acute phase reactants in a group of ultramarathon runners competing in a 6-day track race. Participants: Seven male and one female experienced ultramarathon runners. Intervention: A track race of 6 days duration. Main Outcome Measures: Serum iron, ferritin, transferrin, albumin, haptoglobin, alpha-1 antitrypsin, complement components 3 and 4, C-reactive protein, and erythrocyte sedimentation rate, total iron binding capacity, and transferrin saturation. Results: Of the 11 acute phase reactants measured, 6 (serum iron, ferritin, percent transferrin saturation, C-reactive protein, erythrocyte sedimentation rate, and haptoglobin) responded as if an acute phase response was present; 5 (tranferrin, albumin, alpha-1 antitrypsin, and complement components 3 and 4) did not respond in such a fashion. Conclusion: This study provides further evidence that the acute phase response consequent to exercise is analogous to that which occurs in general medical and surgical conditions. The previous demonstration of the presence of the appropriate cytokines following exercise, the findings of others in relation to acute phase reactants not the subjects of this study, the possibility that a training effect leading to attenuation of the response and the realization that the acute phase response is not identical across a range of medical conditions lends weight to the above conclusion.</t>
  </si>
  <si>
    <t>https://search.ebscohost.com/login.aspx?direct=true&amp;db=mdc&amp;AN=11176144&amp;site=ehost-live</t>
  </si>
  <si>
    <t>The effect of altitude on cycling performance: a challenge to traditional concepts.</t>
  </si>
  <si>
    <t>Hahn AG; Gore CJ</t>
  </si>
  <si>
    <t>10.2165/00007256-200131070-00008</t>
  </si>
  <si>
    <t>Altitude; Bicycling physiology; Muscle, Skeletal physiology; Task Performance and Analysis; 2,3-Diphosphoglycerate blood; Cardiac Output; Epoetin Alfa; Erythrocyte Volume; Erythropoietin blood; Glycolysis; Hemoglobinometry; Humans; Hypoxia physiopathology; Muscle, Skeletal metabolism; Receptors, Transferrin blood; Recombinant Proteins; Reticulocytes</t>
  </si>
  <si>
    <t>Acute exposure to moderate altitude is likely to enhance cycling performance on flat terrain because the benefit of reduced aerodynamic drag outweighs the decrease in maximum aerobic power [maximal oxygen uptake (VO2max)]. In contrast, when the course is mountainous, cycling performance will be reduced at moderate altitude. Living and training at altitude, or living in an hypoxic environment (approximately 2500 m) but training near sea level, are popular practices among elite cyclists seeking enhanced performance at sea level. In an attempt to confirm or refute the efficacy of these practices, we reviewed studies conducted on highly-trained athletes and, where possible, on elite cyclists. To ensure relevance of the information to the conditions likely to be encountered by cyclists, we concentrated our literature survey on studies that have used 2- to 4-week exposures to moderate altitude (1500 to 3000 m). With acclimatisation there is strong evidence of decreased production or increased clearance of lactate in the muscle, moderate evidence of enhanced muscle buffering capacity (beta m) and tenuous evidence of improved mechanical efficiency (ME) of cycling. Our analysis of the relevant literature indicates that, in contrast to the existing paradigm, adaptation to natural or simulated moderate altitude does not stimulate red cell production sufficiently to increase red cell volume (RCV) and haemoglobin mass (Hb(mass)). Hypoxia does increase serum erthyropoietin levels but the next step in the erythropoietic cascade is not clearly established; there is only weak evidence of an increase in young red blood cells (reticulocytes). Moreover, the collective evidence from studies of highly-trained athletes indicates that adaptation to hypoxia is unlikely to enhance sea level VO2max. Such enhancement would be expected if RCV and Hb(mass) were elevated. The accumulated results of 5 different research groups that have used controlled study designs indicate that continuous living and training at moderate altitude does not improve sea level performance of high level athletes. However, recent studies from 3 independent laboratories have consistently shown small improvements after living in hypoxia and training near sea level. While other research groups have attributed the improved performance to increased RCV and VO2max, we cite evidence that changes at the muscle level (beta m and ME) could be the fundamental mechanism. While living at altitude but training near sea level may be optimal for enhancing the performance of competitive cyclists, much further research is required to confirm its benefit. If this benefit does exist, it probably varies between individuals and averages little more than 1%.</t>
  </si>
  <si>
    <t>https://search.ebscohost.com/login.aspx?direct=true&amp;db=mdc&amp;AN=11428690&amp;site=ehost-live</t>
  </si>
  <si>
    <t>A novel method utilising markers of altered erythropoiesis for the detection of recombinant human erythropoietin abuse in athletes.</t>
  </si>
  <si>
    <t>Parisotto R; Gore CJ; Emslie KR; Ashenden MJ; Brugnara C; Howe C; Martin DT; Trout GJ; Hahn AG</t>
  </si>
  <si>
    <t>Doping in Sports prevention &amp; control; Erythropoietin blood; Substance-Related Disorders diagnosis; Adult; Analysis of Variance; Biomarkers blood; Blood Gas Analysis; Diagnosis, Computer-Assisted methods; Double-Blind Method; Erythrocytes cytology; Erythropoietin administration &amp; dosage; False Positive Reactions; Female; Ferritins blood; Hematocrit; Hemoglobins metabolism; Humans; Iron administration &amp; dosage; Male; Receptors, Transferrin blood; Recombinant Proteins blood; Reticulocytes cytology</t>
  </si>
  <si>
    <t>Background and Objective: The use of recombinant human erythropoietin (r-HuEPO) to enhance athletic performance is prohibited. Existing tests cannot readily differentiate between exogenous and endogenous EPO. Therefore the aim of our study was to investigate possible indirect detection of r-HuEPO use via blood markers of altered erythropoiesis. Design and Methods: Twenty-seven recreational athletes were assigned to three groups prior to a 25 day drug administration phase, with the following protocols: EPO+IM group (n = 10), 50 Ukg(-1) r-HuEPO at a frequency of 3wk(-1), 100 mg intramuscular (IM) iron 1wk(-1) and a sham iron tablet daily; EPO+OR group (n = 8), 50 U.kg(-1) r-HuEPO 3wk(-1), sham iron injection 1wk(-1) and 105 mg of oral elemental iron daily; placebo group (n = 9), sham r-HuEPO injections 3wk(-1), sham iron injections 1wk(-1) and sham iron tablets daily. Each group was monitored during and for 4 weeks after drug administration. Results: Models incorporating combinations of the variables reticulocyte hematocrit (RetHct), serum EPO, soluble transferrin receptor, hematocrit (Hct) and % macrocytes were analyzed by logistic regression. One model (ON-model) repeatedly identified 94-100% of r-HuEPO group members during the final 2 wk of the r-HuEPO administration phase. One false positive was recorded from a possible 189. Another model (OFF-model) incorporating RetHct, EPO and Hct was applied during the wash-out phase and, during the period of 12-21 days after the last r-HuEPO injection, it repeatedly identified 67-72% of recent users with no false positives. Interpretation and Conclusions: Multiple indirect hematologic and biochemical markers used simultaneously are potentially effective for identifying current or recent users of r-HuEPO.</t>
  </si>
  <si>
    <t>https://search.ebscohost.com/login.aspx?direct=true&amp;db=mdc&amp;AN=10870111&amp;site=ehost-live</t>
  </si>
  <si>
    <t>Beta-hydroxy beta-methylbutyrate (HMB) supplementation does not influence the urinary testosterone: epitestosterone ratio in healthy males.</t>
  </si>
  <si>
    <t>Slater GJ; Logan PA; Boston T; Gore CJ; Stenhouse A; Hahn AG</t>
  </si>
  <si>
    <t>10.1016/s1440-2440(00)80050-x</t>
  </si>
  <si>
    <t>Doping in Sports; Epitestosterone urine; Testosterone urine; Valerates administration &amp; dosage; Adult; Dietary Supplements; Humans; International Agencies; Male</t>
  </si>
  <si>
    <t>Six healthy, recreationally active, males undertook two weeks supplementation with beta-Hydroxy beta-Methylbutyrate (HMB). Supplementation was in capsule form with 3 g consumed each day in three even doses of 1 g at main meals. Mid stream urine samples were collected prior to, as well as, after one and two weeks of supplementation and subsequently analysed for testosterone and epitestosterone. The testosterone: epitestosterone ratio was not affected by 2 weeks of HMB supplementation (mean +/- SD baseline 1.02 +/- 0.68; week one 0.98 +/- 0.61; week two 0.92 +/- 0.62). Our results support the claim that supplementation with HMB at the doses recommended will not influence the urinary testosterone: epitestosterone ratio and thus not breach doping policies of the International Olympic Committee for exogenous testosterone or precursor administration.</t>
  </si>
  <si>
    <t>https://search.ebscohost.com/login.aspx?direct=true&amp;db=mdc&amp;AN=10839231&amp;site=ehost-live</t>
  </si>
  <si>
    <t>Beta-hydroxy-beta-methylbutyrate (HMB) supplementation and the promotion of muscle growth and strength.</t>
  </si>
  <si>
    <t>Slater GJ; Jenkins D</t>
  </si>
  <si>
    <t>10.2165/00007256-200030020-00004</t>
  </si>
  <si>
    <t>Athletic Injuries prevention &amp; control; Muscle, Skeletal drug effects; Physical Endurance drug effects; Valerates pharmacology; Animals; Chickens; Dietary Supplements; Humans; Muscle Development; Muscle, Skeletal growth &amp; development; Muscle, Skeletal injuries; Oxidation-Reduction; Peptide Hydrolases metabolism; Sheep; Swine; Weight-Bearing</t>
  </si>
  <si>
    <t>Beta-hydroxy beta-methylbutyrate (HMB), a metabolite of the essential amino acid leucine, is one of the latest dietary supplements promoted to enhance gains in strength and lean body mass associated with resistance training. Unlike anabolic hormones that induce muscle hypertrophy by increasing muscle protein synthesis, HMB is claimed to influence strength and lean body mass by acting as an anticatabolic agent, minimising protein breakdown and damage to cells that may occur with intense exercise. Research on HMB has recently tested this hypothesis, under the assumption that it may be the active compound associated with the anticatabolic effects of leucine and its metabolites. While much of the available literature is preliminary in nature and not without methodological concern, there is support for the claims made regarding HMB supplementation, at least in young, previously untrained individuals. A mechanism by which this may occur is unknown, but research undertaken to date suggests there may be a reduction in skeletal muscle damage, although this has not been assessed directly. The response of resistance trained and older individuals to HMB administration is less clear. While the results of research conducted to date appear encouraging, caution must be taken when interpreting outcomes as most manuscripts are presented in abstract form only, not having to withstand the rigors of peer review. Of the literature reviewed relating to HMB administration during resistance training, only 2 papers are full manuscripts appearing in peer reviewed journals. The remaining 8 papers are published as abstracts only, making it difficult to critically review the research. There is clearly a need for more tightly controlled, longer duration studies to verify if HMB enhances strength and muscular hypertrophy development associated with resistance training across a range of groups, including resistance trained individuals.</t>
  </si>
  <si>
    <t>https://search.ebscohost.com/login.aspx?direct=true&amp;db=mdc&amp;AN=10966150&amp;site=ehost-live</t>
  </si>
  <si>
    <t>Carbohydrate loading failed to improve 100-km cycling performance in a placebo-controlled trial.</t>
  </si>
  <si>
    <t>Burke LM; Hawley JA; Schabort EJ; St Clair Gibson A; Mujika I; Noakes TD</t>
  </si>
  <si>
    <t>10.1152/jappl.2000.88.4.1284</t>
  </si>
  <si>
    <t>Bicycling physiology; Dietary Carbohydrates; Glycogen metabolism; Muscle, Skeletal physiology; Adult; Body Weight; Humans; Liver Glycogen metabolism; Male; Oxygen Consumption; Placebos</t>
  </si>
  <si>
    <t>We evaluated the effect of carbohydrate (CHO) loading on cycling performance that was designed to be similar to the demands of competitive road racing. Seven well-trained cyclists performed two 100-km time trials (TTs) on separate occasions, 3 days after either a CHO-loading (9 g CHO. kg body mass(-1). day(-1)) or placebo-controlled moderate-CHO diet (6 g CHO. kg body mass(-1). day(-1)). A CHO breakfast (2 g CHO/kg body mass) was consumed 2 h before each TT, and a CHO drink (1 g CHO. kg(.)body mass(-1). h(-1)) was consumed during the TTs to optimize CHO availability. The 100-km TT was interspersed with four 4-km and five 1-km sprints. CHO loading significantly increased muscle glycogen concentrations (572 +/- 107 vs. 485 +/- 128 mmol/kg dry wt for CHO loading and placebo, respectively; P &lt; 0.05). Total muscle glycogen utilization did not differ between trials, nor did time to complete the TTs (147.5 +/- 10.0 and 149.1 +/- 11.0 min; P = 0.4) or the mean power output during the TTs (259 +/- 40 and 253 +/- 40 W, P = 0.4). This placebo-controlled study shows that CHO loading did not improve performance of a 100-km cycling TT during which CHO was consumed. By preventing any fall in blood glucose concentration, CHO ingestion during exercise may offset any detrimental effects on performance of lower preexercise muscle and liver glycogen concentrations. Alternatively, part of the reported benefit of CHO loading on subsequent athletic performance could have resulted from a placebo effect.</t>
  </si>
  <si>
    <t>https://search.ebscohost.com/login.aspx?direct=true&amp;db=mdc&amp;AN=10749820&amp;site=ehost-live</t>
  </si>
  <si>
    <t>Coarctation of the abdominal aorta as a presentation of the fatigued athlete.</t>
  </si>
  <si>
    <t>Annett P; Hardman D; Fricker P</t>
  </si>
  <si>
    <t>10.1097/00042752-200007000-00009</t>
  </si>
  <si>
    <t>Aorta, Abdominal pathology; Aortic Coarctation pathology; Fatigue pathology; Sports physiology; Adolescent; Angiography; Aortic Coarctation surgery; Humans; Male; Tomography, X-Ray Computed</t>
  </si>
  <si>
    <t>https://search.ebscohost.com/login.aspx?direct=true&amp;db=mdc&amp;AN=10959931&amp;site=ehost-live</t>
  </si>
  <si>
    <t>East African running dominance: what is behind it?</t>
  </si>
  <si>
    <t>Hamilton B</t>
  </si>
  <si>
    <t>10.1136/bjsm.34.5.391</t>
  </si>
  <si>
    <t>Africa, Eastern; Blacks; Exercise Tolerance genetics; Running physiology; Adaptation, Physiological genetics; Africa, Eastern; Humans; Running psychology; Socioeconomic Factors</t>
  </si>
  <si>
    <t>https://search.ebscohost.com/login.aspx?direct=true&amp;db=mdc&amp;AN=11049152&amp;site=ehost-live</t>
  </si>
  <si>
    <t>Effect of fat adaptation and carbohydrate restoration on metabolism and performance during prolonged cycling.</t>
  </si>
  <si>
    <t>Burke LM; Angus DJ; Cox GR; Cummings NK; Febbraio MA; Gawthorn K; Hawley JA; Minehan M; Martin DT; Hargreaves M</t>
  </si>
  <si>
    <t>10.1152/jappl.2000.89.6.2413</t>
  </si>
  <si>
    <t>Adaptation, Physiological; Bicycling physiology; Dietary Carbohydrates pharmacology; Dietary Fats pharmacology; Adult; Dietary Carbohydrates administration &amp; dosage; Dietary Carbohydrates metabolism; Dietary Fats administration &amp; dosage; Dietary Fats metabolism; Glycogen metabolism; Humans; Male; Metabolism drug effects; Muscle, Skeletal metabolism; Oxidation-Reduction; Oxygen Consumption; Pulmonary Gas Exchange drug effects; Random Allocation; Time Factors</t>
  </si>
  <si>
    <t>For 5 days, eight well-trained cyclists consumed a random order of a high-carbohydrate (CHO) diet (9.6 g. kg(-1). day(-1) CHO, 0.7 g. kg(-1). day(-1) fat; HCHO) or an isoenergetic high-fat diet (2.4 g. kg(-1). day(-1) CHO, 4 g. kg(-1). day(-1) fat; Fat-adapt) while undertaking supervised training. On day 6, subjects ingested high CHO and rested before performance testing on day 7 [2 h cycling at 70% maximal O(2) consumption (SS) + 7 kJ/kg time trial (TT)]. With Fat-adapt, 5 days of high-fat diet reduced respiratory exchange ratio (RER) during cycling at 70% maximal O(2) consumption; this was partially restored by 1 day of high CHO [0.90 +/- 0.01 vs. 0.82 +/- 0.01 (P &lt; 0.05) vs. 0.87 +/- 0.01 (P &lt; 0.05), for day 1, day 6, and day 7, respectively]. Corresponding RER values on HCHO trial were [0. 91 +/- 0.01 vs. 0.88 +/- 0.01 (P &lt; 0.05) vs. 0.93 +/- 0.01 (P &lt; 0.05)]. During SS, estimated fat oxidation increased [94 +/- 6 vs. 61 +/- 5 g (P &lt; 0.05)], whereas CHO oxidation decreased [271 +/- 16 vs. 342 +/- 14 g (P &lt; 0.05)] for Fat-adapt compared with HCHO. Tracer-derived estimates of plasma glucose uptake revealed no differences between treatments, suggesting muscle glycogen sparing accounted for reduced CHO oxidation. Direct assessment of muscle glycogen utilization showed a similar order of sparing (260 +/- 26 vs. 360 +/- 43 mmol/kg dry wt; P = 0.06). TT performance was 30.73 +/- 1.12 vs. 34.17 +/- 2.48 min for Fat-adapt and HCHO (P = 0.21). These data show significant metabolic adaptations with a brief period of high-fat intake, which persist even after restoration of CHO availability. However, there was no evidence of a clear benefit of fat adaptation to cycling performance.</t>
  </si>
  <si>
    <t>https://search.ebscohost.com/login.aspx?direct=true&amp;db=mdc&amp;AN=11090597&amp;site=ehost-live</t>
  </si>
  <si>
    <t>Evaluation of the Lactate Pro blood lactate analyser.</t>
  </si>
  <si>
    <t>Pyne DB; Boston T; Martin DT; Logan A</t>
  </si>
  <si>
    <t>10.1007/s004210050659</t>
  </si>
  <si>
    <t>Chemistry Techniques, Analytical instrumentation; Lactic Acid blood; Sports; Adolescent; Adult; Capillaries; Female; Humans; Male; Reproducibility of Results; Sensitivity and Specificity</t>
  </si>
  <si>
    <t>An evaluation of the hand-held portable Lactate Pro Analyser (KDK) was undertaken to assess its accuracy, reliability and versatility. Capillary blood samples were drawn from elite athletes in both laboratory and field settings and analysed in parallel. Accuracy was determined in relation to three other lactate analysers: (1) the ABL 700 Series Acid-Base analyser (n = 172 cases), (2) the Accusport Lactate Meter (n = 118 cases), and (3) the YSI 2300 Stat lactate analyser (n = 22 cases). The level of agreement was determined over the range of 1-18 mM. The repeatability of results between two different Lactate Pro analysers was also determined over the same range. Versatility was assessed in the field, where the Lactate Pro was used with elite athletes under a range of outdoor and indoor testing conditions. The correlations between the Lactate Pro and the ABL 700 Series Acid-Base analyser, YSI 2300 and Accusport were r = 0.98, r = 0.99, r = 0.97. The correlation between the two Lactate Pro analysers on the same sample (n = 96 cases) was r = 0.99. The level of agreement between the Lactate Pro and other analysers was generally less than +/- 2.0 mM over the physiological range of 1.0-18.0 mM (range of mean difference: -0.06 mM to 0.52 mM). The Lactate Pro was easy to operate and successfully completed the sample analysis in 100% of the tests performed. In summary, the Lactate Pro is accurate, reliable and exhibits a high degree of agreement with other lactate analysers.</t>
  </si>
  <si>
    <t>https://search.ebscohost.com/login.aspx?direct=true&amp;db=mdc&amp;AN=10879451&amp;site=ehost-live</t>
  </si>
  <si>
    <t>Exercise, mobility and aging.</t>
  </si>
  <si>
    <t>Daley MJ; Spinks WL</t>
  </si>
  <si>
    <t>10.2165/00007256-200029010-00001</t>
  </si>
  <si>
    <t>Aging physiology; Exercise physiology; Movement physiology; Accidental Falls prevention &amp; control; Aged; Biomechanical Phenomena; Gait; Humans; Postural Balance; Risk Factors</t>
  </si>
  <si>
    <t>The elderly population is growing both in size and in proportion of the total population. The costs to the community of the elderly being in poor health are also growing proportionately. The beneficial effects of exercise on various physiological and psychological parameters in the elderly have been well established. The effects of exercise on the mobility and independence of the elderly are also of primary concern, their maintenance being an important exercise goal. Impaired balance and gait are the 2 most significant risk factors for limited mobility and falls in the elderly. It is important to understand the effects of aging and exercise on these risk factors.</t>
  </si>
  <si>
    <t>https://search.ebscohost.com/login.aspx?direct=true&amp;db=mdc&amp;AN=10688279&amp;site=ehost-live</t>
  </si>
  <si>
    <t>Heart rate-perceived exertion relationship during training and taper.</t>
  </si>
  <si>
    <t>Martin DT; Andersen MB</t>
  </si>
  <si>
    <t>Bicycling physiology; Heart Rate physiology; Perception physiology; Physical Exertion physiology; Adult; Analysis of Variance; Attitude; Bicycling education; Ergometry; Exercise Test; Fatigue physiopathology; Fatigue psychology; Follow-Up Studies; Forecasting; Humans; Physical Fitness physiology; Prospective Studies; Regression Analysis; Time Factors</t>
  </si>
  <si>
    <t>Background: Examine the heart rate-perceived exertion (HR-RPE) relationship under conditions of high-intensity training and taper. Methods: Experimental design and participants: prospective with collegiate cyclists (n=11) completed six weeks of high-intensity interval training, followed by a one-week taper. Interventions: participants completed a high-intensity training regimen along with graded exercise tests (GXT) throughout the training and the taper. Measures: heart rates (HR) and ratings of perceived exertion (RPE) were recorded following each stage of the GXTs. Scores on GXTs were also recorded. Results: . The HR-RPE relationship during GXTs changed over the course of the training with greater RPEs for a given HR at the end of the training compared to the beginning. The most powerful predictors of the performance response to the taper were training induced changes in the HR-RPE relationship and decreases in HR for a given power output. Those individuals who reported higher RPEs for lower HRs were more likely to have better performance responses to taper (r=0.72) as were those who had larger changes in the HR-power output relationship (r=0.76). Conclusions: These results indicate that changes in the HR-RPE relationship during high-intensity training may be used to monitor the magnitude of overreaching that is necessary for a positive response to a taper. For coaches and athletes, the HR-RPE ratio may be a practical measure for monitoring an aspect of fatigue associated with high-intensity training.</t>
  </si>
  <si>
    <t>https://search.ebscohost.com/login.aspx?direct=true&amp;db=mdc&amp;AN=11125762&amp;site=ehost-live</t>
  </si>
  <si>
    <t>Inhibition of interferon, cytokine, and lymphocyte proliferative responses in elite swimmers with altitude exposure.</t>
  </si>
  <si>
    <t>Pyne DV; McDonald WA; Morton DS; Swigget JP; Foster M; Sonnenfeld G; Smith JA</t>
  </si>
  <si>
    <t>Journal of interferon &amp; cytokine research : the official journal of the International Society for Interferon and Cytokine Research</t>
  </si>
  <si>
    <t>10.1089/107999000312351</t>
  </si>
  <si>
    <t>Mary Ann Liebert</t>
  </si>
  <si>
    <t>Altitude; Cytokines antagonists &amp; inhibitors; Interferons antagonists &amp; inhibitors; Lymphocyte Activation immunology; Lymphocytes immunology; Swimming; Adaptation, Physiological immunology; Adult; Antigens, Surface biosynthesis; Cell Division immunology; Cytokines biosynthesis; Cytokines physiology; Female; Humans; Incidence; Infections epidemiology; Infections immunology; Interferons physiology; Leukocyte Count; Leukocytes cytology; Leukocytes immunology; Leukocytes metabolism; Lymphocytes cytology; Male; Sex Factors</t>
  </si>
  <si>
    <t>To determine the immunologic consequences of athletic training at altitude, blood samples were taken at rest from 10 swimmers and 8 control nontraining but altitude-exposed members of the 1996 Australian Olympic Swimming Team, near the start and completion of a 21-day training camp at 2102 m. Blood leukocyte numbers dropped in both groups (p &lt; 0.05), with the decrease greater in the swimmers (-38% swimmers, -3% controls). Concanavalin A (ConA)-induced blastogenesis decreased in both groups (p &lt; 0.01), but the drop was greater in the control group (-32% swimmers, -56% controls, p &lt; 0.05). Lipopolysaccharide (LPS)-induced blastogenesis more than doubled in both groups (281% swimmers, 249% controls, p &lt; 0.01). Increases in mitogen-induced interleukin-1beta (IL-1beta), IL-4, and interferon-gamma (IFN-gamma) production and a decrease in IL-2 levels were observed in both groups after altitude exposure (all p &lt; 0.05). The percentage of cells expressing HLA-DR fell (-33% swimmers, -20% controls, p &lt; 0.01), whereas those expressing CD-4 expression increased (16% swimmers only, p &lt; 0.01). Although training at medium-level altitude alters some immunologic parameters, the training-induced changes may be secondary to those induced by altitude alone.</t>
  </si>
  <si>
    <t>https://search.ebscohost.com/login.aspx?direct=true&amp;db=mdc&amp;AN=10805376&amp;site=ehost-live</t>
  </si>
  <si>
    <t>Neutrophil oxidative activity is differentially affected by exercise intensity and type.</t>
  </si>
  <si>
    <t>Pyne DB; Smith JA; Baker MS; Telford RD; Weidemann MJ</t>
  </si>
  <si>
    <t>10.1016/s1440-2440(00)80047-x</t>
  </si>
  <si>
    <t>Exercise physiology; Neutrophil Activation physiology; Running physiology; Adult; Catecholamines blood; Cytochrome c Group blood; Humans; Luminescent Measurements; Male; Oxygen Consumption; Pancreatic Elastase blood; Physical Endurance physiology; Reactive Oxygen Species metabolism; Respiratory Burst physiology; Superoxides blood</t>
  </si>
  <si>
    <t>The differential effects of exercise intensity and type on neutrophil activation were assessed in eight well-trained male runners. Each subject undertook, on different days, three separate 40 min interval (8 x 5 min) treadmill bouts: an intense uphill run (90% VO2 max), a moderate-intensity near-level run and an eccentrically-biased downhill run (both at 52% VO2 max). Blood granulocyte count increased (p&lt; 0.05) after all three treadmill bouts (range 25-108%). Chemiluminescence activity of isolated neutrophils decreased (p&lt; 0.05) immediately after (-58%) and 1-h after (-72%) uphill running, but became significantly elevated (p&lt; 0.05) at 6-h after the near-level (+71%) and downhill (+84%) runs. The ability of neutrophils to release the superoxide anion radical was reduced (p&lt; 0.05) immediately after near-level (-29%) and uphill (-21%) running in cells stimulated with opsonized zymosan. Epinephrine concentration increased by 430% (p=0.01) after uphill but not with near-level or downhill running. The plasma concentration of elastase increased (p&lt; 0.05) immediately after uphill and near-level running, and one hour after uphill running. These results suggest that a population of neutrophils mobilised into the circulation became directly activated in response to exercise, and that neutrophil oxidative activity is affected differentially by both the intensity and type of exercise undertaken.</t>
  </si>
  <si>
    <t>https://search.ebscohost.com/login.aspx?direct=true&amp;db=mdc&amp;AN=10839228&amp;site=ehost-live</t>
  </si>
  <si>
    <t>Perspectives on East African middle and long distance running.</t>
  </si>
  <si>
    <t>Hamilton B; Weston A</t>
  </si>
  <si>
    <t>vi</t>
  </si>
  <si>
    <t>Africa; Exercise Tolerance physiology; Physical Exertion physiology; Running physiology; Africa; Female; Humans; Male; Musculoskeletal Physiological Phenomena</t>
  </si>
  <si>
    <t>https://search.ebscohost.com/login.aspx?direct=true&amp;db=mdc&amp;AN=11235014&amp;site=ehost-live</t>
  </si>
  <si>
    <t>Physiological tests for elite athletes.</t>
  </si>
  <si>
    <t>Gore, C.J.</t>
  </si>
  <si>
    <t>SPH361010</t>
  </si>
  <si>
    <t>PHYSIOLOGY; ELITE athletes; ANTHROPOMETRY; JOINTS -- Range of motion; PHYSICAL fitness; EXERCISE; TESTING; LABORATORIES; TECHNICAL manuals; BLOOD</t>
  </si>
  <si>
    <t>https://search.ebscohost.com/login.aspx?direct=true&amp;db=s3h&amp;AN=SPH361010&amp;site=ehost-live</t>
  </si>
  <si>
    <t>Predicting success in junior elite basketball players--the contribution of anthropometic and physiological attributes.</t>
  </si>
  <si>
    <t>Hoare DG</t>
  </si>
  <si>
    <t>10.1016/s1440-2440(00)80006-7</t>
  </si>
  <si>
    <t>Anthropometry; Basketball physiology; Exercise physiology; Physical Fitness physiology; Adolescent; Analysis of Variance; Female; Humans; Male; Predictive Value of Tests; Regression Analysis; Sampling Studies; Sensitivity and Specificity; Sex Factors</t>
  </si>
  <si>
    <t>Talent identification programs have traditionally focused on individual sports with discrete physical and physiological characteristics. Limited attention has been directed toward predicting performance in team sports. This study measured anthropometric and physiological attributes of 125 male and 123 female junior basketball players competing at the Australian Under 16 championships in 1998. In addition, experienced coaches rated the performance of players during the championships. Performance profiles were compared across playing positions and by playing performance ('Best versus Rest'). Differences in anthropometric characteristics were present across some playing positions for both males and females. Speed and agility differences between some playing positions were also present. Best players differed to Rest players on a number of anthropometric and physiological variables for both males and females. Regression analyses indicated the test variables accounted for a significant proportion of variance in playing performance for both females (41.3%) and males (38.3%). A Z score analysis indicated good alignment between the test and coach ranking of the Best player in four out of five positions for females and two out of five positions for males. Anthropometric and physiological profiling can contribute to selection procedures in junior basketball, however determinants of success are multi-factorial.</t>
  </si>
  <si>
    <t>https://search.ebscohost.com/login.aspx?direct=true&amp;db=mdc&amp;AN=11235005&amp;site=ehost-live</t>
  </si>
  <si>
    <t>Reticulocyte parameters as potential discriminators of recombinant human erythropoietin abuse in elite athletes.</t>
  </si>
  <si>
    <t>Parisotto R; Gore CJ; Hahn AG; Ashenden MJ; Olds TS; Martin DT; Pyne DB; Gawthorn K; Brugnara C</t>
  </si>
  <si>
    <t>10.1055/s-2000-7421</t>
  </si>
  <si>
    <t>Doping in Sports; Erythropoietin; Reticulocytes cytology; Substance-Related Disorders diagnosis; Bicycling; Boxing; Erythrocyte Count; False Positive Reactions; Hemoglobins analysis; Humans; Male; Recombinant Proteins; Reticulocytes chemistry; Swimming; Track and Field</t>
  </si>
  <si>
    <t>This study investigated using reticulocyte (retic) parameters as indirect markers of human recombinant erythropoietin (r-HuEPO) abuse in elite athletes. Absolute reticulocyte count (# retic), the per cell haemoglobin content of reticulocytes (CHr), reticulocyte haemoglobin mass per litre of blood (RetHb) and red blood cell:reticulocyte haemoglobin (RBCHb:RetHb) ratio were assessed using flow cytometry. Venous blood was drawn from 155 elite athletes from six sports during regular training to establish reference ranges (95% confidence interval) for these parameters. The reference ranges were compared with those of a non-athletic population (n = 23), four groups of athletes (n = 24) before and after exposure to simulated altitudes (2,500-3,000 m for 11-23 nights), two groups of elite cyclists (n = 13) before and after four weeks of training at natural altitude (1,780 and 2,690 m), and with those of non-athletic subjects from a separate study (n =24) before and 1-2 days after they were injected with 1,200 U x kg(-1) r-HuEPO over a 9-10 day period. Generally the changes induced by r-HuEPO injection exceeded by approximately 100% the magnitude of the changes associated with natural altitude exposure. Simulated altitude exposure did not significantly alter the reticulocyte parameters. From the sample of 155 non-users and 24 r-HuEPO users, the population mean and variance, as well as the 95% confidence limits for the population mean and population variance, were estimated. Relative to arbitrarily chosen cut-off levels, the confidence limits for the rate of true positives and rate of true negatives were also calculated. Based on the lowest rate of false positives and highest rate of true positives, the best discriminator between r-HuEPO users and non-users was # retic, marginally superior to RBCHb: RetHb ratio and RetHb. At a cut-off for # retic of 221 x 10(9)x L(-1) we could be 95% sure that we would find no more than 7 false positives in every 100,000 tests. We would expect to pick up 51.8% of users, and could be 95% sure of picking up at least 38% of current or recent users. This result highlights the potential power of retic parameters for detecting r-HuEPO abuse among athletes. However, the efficacy of these cut-offs for detecting r-HuEPO abuse is unknown if an athlete is a chronic user or stops using r-HuEPO several weeks before being tested.</t>
  </si>
  <si>
    <t>https://search.ebscohost.com/login.aspx?direct=true&amp;db=mdc&amp;AN=11071048&amp;site=ehost-live</t>
  </si>
  <si>
    <t>Simulated moderate altitude elevates serum erythropoietin but does not increase reticulocyte production in well-trained runners.</t>
  </si>
  <si>
    <t>Ashenden MJ; Gore CJ; Dobson GP; Boston TT; Parisotto R; Emslie KR; Trout GJ; Hahn AG</t>
  </si>
  <si>
    <t>10.1007/s004210050064</t>
  </si>
  <si>
    <t>Altitude; Erythropoietin blood; Physical Fitness physiology; Reticulocytes metabolism; Running physiology; Adult; Heart Rate physiology; Humans; Hypoxia physiopathology; Male; Oxygen blood; Oxygen Consumption physiology</t>
  </si>
  <si>
    <t>The purpose of this study was to investigate whether the modest increases in serum erythropoietin (sEpo) experienced after brief sojourns at simulated altitude are sufficient to stimulate reticulocyte production. Six well-trained middle-distance runners (HIGH, mean maximum oxygen uptake, VO2max = 70.2 ml x kg(-1) x min(-1) spent 8-11 h per night for 5 nights in a nitrogen house that simulated an altitude of 2650 m. Five squad members (CONTROL, mean VO2max= 68.9 ml x kg(-1) x min(-1) undertook the same training, which was conducted under near-sea-level conditions (600 m altitude), and slept in dormitory-style accommodation also at 600 m altitude. For both groups, this 5-night protocol was undertaken on three occasions, with a 3-night interim between successive exposures. Venous blood samples were measured for sEpo after 1 and 5 nights of hypoxia on each occasion. The percentage of reticulocytes was measured, along with a range of reticulocyte parameters that are sensitive to changes in erythropoiesis. Mean serum erythropoietin levels increased significantly (P &lt; 0.01) above baseline values [mean (SD) 7.9 (2.4) mU x ml(-1)] in the HIGH group after the 1st night [11.8 (1.9) mU x ml(-1), 57%], and were also higher on the 5th night [10.7 (2.2) mU x ml(-1), 42%] compared with the CONTROL group, whose erythropoietin levels did not change. After athletes spent 3 nights at near sea level, the change in sEpo during subsequent hypoxic exposures was markedly attenuated (13% and -4% change during the second exposure; 26% and 14% change during the third exposure; 1st and 5th nights of each block, respectively). The increase in sEpo was insufficient to stimulate reticulocyte production at any time point. We conclude that when daily training loads are controlled, the modest increases in sEpo known to occur following brief exposure to a simulated altitude of 2650 m are insufficient to stimulate reticulocyte production.</t>
  </si>
  <si>
    <t>https://search.ebscohost.com/login.aspx?direct=true&amp;db=mdc&amp;AN=10751105&amp;site=ehost-live</t>
  </si>
  <si>
    <t>Skinfold thickness varies directly with spring coefficient and inversely with jaw pressure.</t>
  </si>
  <si>
    <t>Gore CJ; Carlyon RG; Franks SW; Woolford SM</t>
  </si>
  <si>
    <t>10.1097/00005768-200002000-00042</t>
  </si>
  <si>
    <t>Equipment Failure; Skinfold Thickness; Calibration; Equipment Design; Humans; Pressure</t>
  </si>
  <si>
    <t>Purpose: The main aims of this study were to: 1) determine whether heavy use of Harpenden calipers caused deterioration of the spring coefficient (force per unit length), 2) to quantify the change in skinfold thickness per unit change in jaw closing (downscale) pressure, and 3) to develop a calibration range for these calipers. Methods: Part a) The change in spring force per unit length after at least 100,000 cycles of opening and closing five different springs was measured on a load cell. Part b) The dynamic downscale jaw pressure exerted by six pairs of Harpenden springs was measured on one caliper. Two were new pairs of springs (N1 and N2), two were 25-yr-old springs (O1 and O2), and two pairs (S1 and S2) had been used for less 1 yr. The six spring pairs were used to measure skinfold thicknesses at nine sites, in triplicate, on 20 subjects with the order of springs randomized and counterbalanced. Part c) The downscale jaw pressure of 78 Harpenden calipers was measured at eight jaw gaps. Results: Part a) The springs did not change their characteristics after &gt;100,000 cycles. Part b) At each skinfold site, the lowest thickness was recorded for S2 which exerted the highest jaw pressure (9.04 g x mm(-2)) and conversely the highest thickness was for N1 which exerted the lowest jaw pressure (8.02 g x mm(-2)). Increasing the downscale jaw closing pressure from 8.0 to 9.0 g x mm(-2) reduced a skinfold thickness by approximately 10%. Part c) The mean downscale jaw pressure was 7.82 +/- 0.25 g x mm(-2). Conclusions: In summary, it is suggested that if accurate skinfold measures between different Harpenden calipers are required, the downscale jaw pressure should be in the range of 7.40-7.82 and 7.85-8.21 g x mm(-2), at jaw gaps of 5 and 40 mm, respectively. These jaw pressures can be achieved by servicing the caliper pivot and indicator gauge to minimize frictional losses, adjusting the caliper jaw alignment, and by selecting springs that have a spring coefficient in the range 1.10-1.15 N x mm(-1).</t>
  </si>
  <si>
    <t>https://search.ebscohost.com/login.aspx?direct=true&amp;db=mdc&amp;AN=10694144&amp;site=ehost-live</t>
  </si>
  <si>
    <t>Sydney Olympic Games September 2000 : biomechanical analysis Australian format.</t>
  </si>
  <si>
    <t>SPHS-526647</t>
  </si>
  <si>
    <t>OLYMPIC Games (27th : 2000 : Sydney, N.S.W.); CONTESTS; SWIMMING; EVALUATION; STATISTICS</t>
  </si>
  <si>
    <t>https://search.ebscohost.com/login.aspx?direct=true&amp;db=s3h&amp;AN=SPHS-526647&amp;site=ehost-live</t>
  </si>
  <si>
    <t>Talent identification and women's soccer: an Australian experience.</t>
  </si>
  <si>
    <t>Hoare DG; Warr CR</t>
  </si>
  <si>
    <t>10.1080/02640410050120122</t>
  </si>
  <si>
    <t>Queensland; Motor Skills physiology; Physical Education and Training organization &amp; administration; Soccer education; Soccer physiology; Adolescent; Adult; Anthropometry; Female; Humans; Program Development; Queensland</t>
  </si>
  <si>
    <t>This study used a quasi-applied research model to identify and develop potentially talented female soccer players. Athletes aged 15-19 years with a background in team ball sports or athletics were targeted for recruitment using advertisements and promotions through various media. Interested athletes attended a 2-day programme of testing, which included assessment of anthropometric, physiological and skill attributes. A combination of factors was used in the final selection of 17 athletes to take part in a 12-month talent development programme. A pre-season programme of five training sessions per week was conducted for 2 months. This programme focused on enabling the players to acquire the necessary ball and game skills to perform competitively in a short time. The squad competed as a team in the reserve grade competition of an Australian state league. At the conclusion of the 25-game season, 10 players were selected for zone teams with two players progressing to state team selection within 6 months. The project demonstrates that it is possible to select potential female soccer players based on anthropometric, physiological and skill attributes. Selection procedures could be enhanced through the development of objective assessment tools that measure tactical and technical competence. Programmes such as this can offer an additional avenue of player recruitment in support of existing procedures.</t>
  </si>
  <si>
    <t>https://search.ebscohost.com/login.aspx?direct=true&amp;db=mdc&amp;AN=11043900&amp;site=ehost-live</t>
  </si>
  <si>
    <t>Training strategies to maintain immunocompetence in athletes.</t>
  </si>
  <si>
    <t>Pyne DB; Gleeson M; McDonald WA; Clancy RL; Perry C Jr; Fricker PA</t>
  </si>
  <si>
    <t>21 Suppl 1</t>
  </si>
  <si>
    <t>S51</t>
  </si>
  <si>
    <t>10.1055/s-2000-1452</t>
  </si>
  <si>
    <t>Australia; Health Behavior; Immunocompetence physiology; Physical Education and Training methods; Sports; Australia; Environmental Exposure prevention &amp; control; Humans; Stress, Psychological prevention &amp; control; Swimming</t>
  </si>
  <si>
    <t>Clinical experience and empirical evidence have led to the modeling of exercise and training as a form of stress on the immune system. Coaches, athletes, and medical personnel are seeking guidelines on ways to reduce the risk of illness that compromises training or competitive performance. The immune system is influenced by a wide range of physical, environmental, psychological, and behavioural factors which, combined with clinical assessment, collectively form the basis of the following intervention strategies: 1) training: careful management of training volume and intensity, variety to overcome training monotony and strain, a periodised approach to increasing loads, and provision of adequate rest and recovery periods; 2) environmental: limiting initial exposure when training or competing in adverse environmental conditions (heat, humidity, altitude, air pollution) and acclimatising where appropriate; 3) psychological: teaching athletes self-management and coping skills and monitoring of athletes' responses to the psychological and psychosocial stresses of high-level training and competition; 4) behavioural: adopting a well-balanced diet with adequate intake of macro- and micro-nutrients, limiting transmission of contagious illnesses by reducing exposure to common infections, airborne pathogens, and physical contact with infected individuals; and 5) clinical considerations: medical screening, pathology testing, immunization and prophylaxis, and routine management of illness-prone athletes. Future experimental studies are required to develop and enhance the effectiveness of these strategies in reducing illness in athletes.</t>
  </si>
  <si>
    <t>https://search.ebscohost.com/login.aspx?direct=true&amp;db=mdc&amp;AN=10893025&amp;site=ehost-live</t>
  </si>
  <si>
    <t>10.1016/j.jsams.2023.01.004</t>
  </si>
  <si>
    <t>10.1016/j.jsams.2023.08.005</t>
  </si>
  <si>
    <t>10.1123/ijsnem.2022-0214</t>
  </si>
  <si>
    <t>10.1080/02640414.2023.2288435</t>
  </si>
  <si>
    <t>10.1249/MSS.0000000000003056</t>
  </si>
  <si>
    <t>10.1007/s40279-023-01855-8</t>
  </si>
  <si>
    <t>10.1249/MSS.0000000000003028</t>
  </si>
  <si>
    <t>10.2519/jospt.2023.11858</t>
  </si>
  <si>
    <t>10.1007/s00421-022-05075-2</t>
  </si>
  <si>
    <t>10.1016/j.ptsp.2022.11.008</t>
  </si>
  <si>
    <t>10.1123/ijsnem.2023-0009</t>
  </si>
  <si>
    <t>10.1519/JSC.0000000000004428</t>
  </si>
  <si>
    <t>10.1016/j.ptsp.2023.10.001</t>
  </si>
  <si>
    <t>10.1016/j.jsams.2022.12.002</t>
  </si>
  <si>
    <t>10.1080/17461391.2023.2193953</t>
  </si>
  <si>
    <t>10.1007/s40279-022-01774-0</t>
  </si>
  <si>
    <t>10.1177/17479541221086793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</si>
</sst>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scheme val="minor"/>
    </font>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sz val="11"/>
      <color rgb="FF000000"/>
      <name val="Calibri"/>
      <family val="2"/>
    </font>
    <font>
      <sz val="11"/>
      <name val="Calibri"/>
      <family val="2"/>
      <scheme val="minor"/>
    </font>
    <font>
      <sz val="11"/>
      <color rgb="FF00B050"/>
      <name val="Calibri"/>
      <family val="2"/>
      <scheme val="minor"/>
    </font>
    <font>
      <sz val="11"/>
      <color theme="5" tint="-0.249977111117893"/>
      <name val="Calibri"/>
      <family val="2"/>
      <scheme val="minor"/>
    </font>
    <font>
      <sz val="11"/>
      <color rgb="FF000000"/>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D9E1F2"/>
        <bgColor rgb="FFD9E1F2"/>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4"/>
        <bgColor theme="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4472C4"/>
      </left>
      <right style="thin">
        <color rgb="FF4472C4"/>
      </right>
      <top style="thin">
        <color rgb="FF4472C4"/>
      </top>
      <bottom style="thin">
        <color rgb="FF4472C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3">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applyNumberFormat="0" applyFill="0" applyBorder="0" applyAlignment="0" applyProtection="0"/>
  </cellStyleXfs>
  <cellXfs count="35">
    <xf numFmtId="0" fontId="0" fillId="0" borderId="0" xfId="0"/>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left" vertical="top"/>
    </xf>
    <xf numFmtId="0" fontId="19" fillId="0" borderId="0" xfId="42" applyAlignment="1">
      <alignment vertical="top"/>
    </xf>
    <xf numFmtId="0" fontId="19" fillId="0" borderId="0" xfId="42" applyAlignment="1">
      <alignment horizontal="left" vertical="top"/>
    </xf>
    <xf numFmtId="16" fontId="0" fillId="0" borderId="0" xfId="0" applyNumberFormat="1" applyAlignment="1">
      <alignment horizontal="center" vertical="top"/>
    </xf>
    <xf numFmtId="0" fontId="19" fillId="0" borderId="0" xfId="42" applyFill="1" applyAlignment="1">
      <alignment vertical="top"/>
    </xf>
    <xf numFmtId="16" fontId="0" fillId="0" borderId="0" xfId="0" applyNumberFormat="1" applyAlignment="1">
      <alignment vertical="top"/>
    </xf>
    <xf numFmtId="0" fontId="20" fillId="33" borderId="10" xfId="0" applyFont="1" applyFill="1" applyBorder="1" applyAlignment="1">
      <alignment horizontal="left" vertical="top" wrapText="1"/>
    </xf>
    <xf numFmtId="0" fontId="20" fillId="33" borderId="10" xfId="0" applyFont="1" applyFill="1" applyBorder="1" applyAlignment="1">
      <alignment horizontal="left" vertical="top"/>
    </xf>
    <xf numFmtId="0" fontId="19" fillId="33" borderId="10" xfId="42" applyFill="1" applyBorder="1" applyAlignment="1">
      <alignment horizontal="left" vertical="top"/>
    </xf>
    <xf numFmtId="0" fontId="20" fillId="0" borderId="10" xfId="0" applyFont="1" applyBorder="1" applyAlignment="1">
      <alignment horizontal="left" vertical="top" wrapText="1"/>
    </xf>
    <xf numFmtId="0" fontId="20" fillId="0" borderId="10" xfId="0" applyFont="1" applyBorder="1" applyAlignment="1">
      <alignment horizontal="left" vertical="top"/>
    </xf>
    <xf numFmtId="0" fontId="19" fillId="0" borderId="10" xfId="42" applyFill="1" applyBorder="1" applyAlignment="1">
      <alignment horizontal="left" vertical="top"/>
    </xf>
    <xf numFmtId="0" fontId="20" fillId="0" borderId="0" xfId="0" applyFont="1" applyAlignment="1">
      <alignment horizontal="left" vertical="top"/>
    </xf>
    <xf numFmtId="0" fontId="20" fillId="33" borderId="0" xfId="0" applyFont="1" applyFill="1" applyAlignment="1">
      <alignment horizontal="left" vertical="top"/>
    </xf>
    <xf numFmtId="0" fontId="0" fillId="35" borderId="11" xfId="0" applyFill="1" applyBorder="1" applyAlignment="1">
      <alignment horizontal="left" vertical="top" wrapText="1"/>
    </xf>
    <xf numFmtId="0" fontId="0" fillId="35" borderId="12" xfId="0" applyFill="1" applyBorder="1" applyAlignment="1">
      <alignment horizontal="left" vertical="top" wrapText="1"/>
    </xf>
    <xf numFmtId="0" fontId="0" fillId="35" borderId="12" xfId="0" applyFill="1" applyBorder="1" applyAlignment="1">
      <alignment horizontal="left" vertical="top"/>
    </xf>
    <xf numFmtId="0" fontId="19" fillId="35" borderId="13" xfId="42" applyFill="1" applyBorder="1" applyAlignment="1">
      <alignment horizontal="left" vertical="top"/>
    </xf>
    <xf numFmtId="0" fontId="0" fillId="0" borderId="11" xfId="0" applyBorder="1" applyAlignment="1">
      <alignment horizontal="left" vertical="top" wrapText="1"/>
    </xf>
    <xf numFmtId="0" fontId="0" fillId="0" borderId="12" xfId="0" applyBorder="1" applyAlignment="1">
      <alignment horizontal="left" vertical="top" wrapText="1"/>
    </xf>
    <xf numFmtId="0" fontId="0" fillId="0" borderId="12" xfId="0" applyBorder="1" applyAlignment="1">
      <alignment horizontal="left" vertical="top"/>
    </xf>
    <xf numFmtId="0" fontId="19" fillId="0" borderId="13" xfId="42" applyBorder="1" applyAlignment="1">
      <alignment horizontal="left" vertical="top"/>
    </xf>
    <xf numFmtId="0" fontId="14" fillId="36" borderId="12" xfId="0" applyFont="1" applyFill="1" applyBorder="1" applyAlignment="1">
      <alignment horizontal="left" vertical="top" wrapText="1"/>
    </xf>
    <xf numFmtId="0" fontId="14" fillId="36" borderId="12" xfId="0" applyFont="1" applyFill="1" applyBorder="1" applyAlignment="1">
      <alignment horizontal="left" vertical="top"/>
    </xf>
    <xf numFmtId="0" fontId="14" fillId="36" borderId="13" xfId="0" applyFont="1" applyFill="1" applyBorder="1" applyAlignment="1">
      <alignment horizontal="left" vertical="top"/>
    </xf>
    <xf numFmtId="0" fontId="14" fillId="36" borderId="11" xfId="0" applyFont="1" applyFill="1" applyBorder="1" applyAlignment="1">
      <alignment horizontal="left" vertical="top" wrapText="1"/>
    </xf>
    <xf numFmtId="0" fontId="21" fillId="0" borderId="12" xfId="0" applyFont="1" applyBorder="1" applyAlignment="1">
      <alignment horizontal="left" vertical="top" wrapText="1"/>
    </xf>
    <xf numFmtId="0" fontId="1" fillId="35" borderId="12" xfId="0" applyFont="1" applyFill="1" applyBorder="1" applyAlignment="1">
      <alignment horizontal="left" vertical="top" wrapText="1"/>
    </xf>
    <xf numFmtId="0" fontId="1" fillId="0" borderId="12" xfId="0" applyFont="1" applyBorder="1" applyAlignment="1">
      <alignment horizontal="left" vertical="top" wrapText="1"/>
    </xf>
    <xf numFmtId="0" fontId="17" fillId="34" borderId="0" xfId="0" applyFont="1"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56">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indent="0" justifyLastLine="0" shrinkToFit="0" readingOrder="0"/>
    </dxf>
    <dxf>
      <alignment horizontal="general"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horizontal="center"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ill>
        <patternFill patternType="none">
          <fgColor indexed="64"/>
          <bgColor indexed="65"/>
        </patternFill>
      </fil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top" textRotation="0" wrapText="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wrapText="1"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 Id="rId30"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C22C011D-E2E3-426E-A98A-E1A3173DC773}" name="Table124" displayName="Table124" ref="A1:P47" totalsRowShown="0" headerRowDxfId="455" dataDxfId="454">
  <autoFilter ref="A1:P47" xr:uid="{C22C011D-E2E3-426E-A98A-E1A3173DC773}"/>
  <tableColumns count="16">
    <tableColumn id="1" xr3:uid="{0FC10B32-0EA3-4B9A-BCCC-FCDF0E4764CA}" name="Article Title" dataDxfId="453"/>
    <tableColumn id="2" xr3:uid="{6D1B2BC5-4F17-4DC6-A15E-A0C5F756AB11}" name="Author" dataDxfId="452"/>
    <tableColumn id="3" xr3:uid="{F92A353F-E640-4162-AFEA-FC7B5C8CF583}" name="Journal Title" dataDxfId="451"/>
    <tableColumn id="4" xr3:uid="{0E0DFB35-E3EE-4C37-883F-D6B4354BE856}" name="ISSN" dataDxfId="450"/>
    <tableColumn id="5" xr3:uid="{F15D86B9-DA3F-47A1-AEF2-8EE902BD1252}" name="Publication Date" dataDxfId="449"/>
    <tableColumn id="6" xr3:uid="{D31A2E04-440F-49B6-81E7-F0935C940218}" name="Volume" dataDxfId="448"/>
    <tableColumn id="7" xr3:uid="{922F5D18-9E71-4BFF-87F4-57CCB202CBEB}" name="Issue" dataDxfId="447"/>
    <tableColumn id="8" xr3:uid="{A85882D9-1114-4B19-A610-B919F3C5D46A}" name="First Page" dataDxfId="446"/>
    <tableColumn id="9" xr3:uid="{68A117F7-67A0-4B77-90D6-72619F249E34}" name="Page Count" dataDxfId="445"/>
    <tableColumn id="10" xr3:uid="{27769541-0337-4F06-8724-B8B2067E2E79}" name="Accession Number" dataDxfId="444"/>
    <tableColumn id="11" xr3:uid="{7AD42BA4-F8A3-4A68-9404-A993167BF45E}" name="DOI" dataDxfId="443"/>
    <tableColumn id="12" xr3:uid="{6CB512EF-EF95-43DD-A30D-68FCD7CB2807}" name="Publisher" dataDxfId="442"/>
    <tableColumn id="13" xr3:uid="{84B88C05-A6AE-4E07-92FB-0B638BFD4504}" name="Doctype" dataDxfId="441"/>
    <tableColumn id="14" xr3:uid="{7C303089-E5CE-4F47-994C-BB08ED93583B}" name="Subjects" dataDxfId="440"/>
    <tableColumn id="16" xr3:uid="{D35497A9-4386-4018-8C62-7B836F4FD49A}" name="Abstract" dataDxfId="439"/>
    <tableColumn id="17" xr3:uid="{A5A2E51C-4B16-432A-9DBB-898E2DAC7B2E}" name="PLink" dataDxfId="43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F5EA8C42-6053-4C86-AFC2-DD2A506DF4B3}" name="Table223" displayName="Table223" ref="A1:Q49" totalsRowShown="0" headerRowDxfId="437" dataDxfId="436">
  <autoFilter ref="A1:Q49" xr:uid="{F5EA8C42-6053-4C86-AFC2-DD2A506DF4B3}"/>
  <tableColumns count="17">
    <tableColumn id="1" xr3:uid="{BE4FA7FD-D9E1-46C1-B56F-127569CF0E74}" name="Article Title" dataDxfId="435"/>
    <tableColumn id="2" xr3:uid="{11B11787-A28D-452A-B7AD-A0700D74C573}" name="Author" dataDxfId="434"/>
    <tableColumn id="3" xr3:uid="{0B951496-37C0-46CB-A09A-9D4B8E5704E2}" name="Journal Title" dataDxfId="433"/>
    <tableColumn id="4" xr3:uid="{5541F2F6-2249-46BC-907A-8D8CF7020E11}" name="ISSN" dataDxfId="432"/>
    <tableColumn id="5" xr3:uid="{A6C01707-7AA9-45C6-8592-5E963A1C91FF}" name="Publication Date" dataDxfId="431"/>
    <tableColumn id="6" xr3:uid="{FE31E031-D774-4450-8799-DACCE79F44CD}" name="Volume" dataDxfId="430"/>
    <tableColumn id="7" xr3:uid="{0D8C757E-01EA-45A4-90F1-288783FE4783}" name="Issue" dataDxfId="429"/>
    <tableColumn id="8" xr3:uid="{3DE1CF5F-4533-461A-97E6-09D546F391D9}" name="First Page" dataDxfId="428"/>
    <tableColumn id="9" xr3:uid="{1671142A-7E0E-4268-98E0-51CDCC9A9152}" name="Page Count" dataDxfId="427"/>
    <tableColumn id="10" xr3:uid="{04E864A4-7474-48AF-8336-A8D2D074AD42}" name="Accession Number" dataDxfId="426"/>
    <tableColumn id="11" xr3:uid="{420619A8-B114-413C-B621-EE1D0C756D95}" name="DOI" dataDxfId="425"/>
    <tableColumn id="12" xr3:uid="{8027138B-9E06-4AE6-93C3-A06B1D6271C6}" name="Publisher" dataDxfId="424"/>
    <tableColumn id="13" xr3:uid="{2C76F93A-319B-407F-9E03-592B656EF9B9}" name="Doctype" dataDxfId="423"/>
    <tableColumn id="14" xr3:uid="{9D6381BC-53CB-4ABE-B623-A0CEA97361E1}" name="Subjects" dataDxfId="422"/>
    <tableColumn id="15" xr3:uid="{E17DC768-6EC9-4964-99CE-DF171428F68B}" name="Keywords" dataDxfId="421"/>
    <tableColumn id="16" xr3:uid="{FA7140AC-87A0-4A43-A98A-1CF5E77676B2}" name="Abstract" dataDxfId="420"/>
    <tableColumn id="17" xr3:uid="{E30E36B5-D934-4AA4-B56E-870FDB927F10}" name="PLink" dataDxfId="419"/>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3C7359E-CF91-4DCD-B71B-A2B44690A298}" name="Table322" displayName="Table322" ref="A1:Q71" totalsRowShown="0" headerRowDxfId="418" dataDxfId="417">
  <autoFilter ref="A1:Q71" xr:uid="{63C7359E-CF91-4DCD-B71B-A2B44690A298}"/>
  <tableColumns count="17">
    <tableColumn id="1" xr3:uid="{47DD1280-DB9E-4E0E-91A1-865286B7CDD4}" name="Article Title" dataDxfId="416"/>
    <tableColumn id="2" xr3:uid="{AC26B6B7-6276-4CC4-A9A5-3E669EAA7E1A}" name="Author" dataDxfId="415"/>
    <tableColumn id="3" xr3:uid="{1017E223-A966-4590-A05D-249CF8CBD446}" name="Journal Title" dataDxfId="414"/>
    <tableColumn id="4" xr3:uid="{67173AA7-E566-47DE-8B3E-BB9765A37790}" name="ISSN" dataDxfId="413"/>
    <tableColumn id="5" xr3:uid="{0248559C-7537-46B2-A921-AB60ABE36DE5}" name="Publication Date" dataDxfId="412"/>
    <tableColumn id="6" xr3:uid="{65865620-C083-44B3-8FF5-34C368EF6AD3}" name="Volume" dataDxfId="411"/>
    <tableColumn id="7" xr3:uid="{867C3D21-5F97-4B67-B18A-761AF46FB342}" name="Issue" dataDxfId="410"/>
    <tableColumn id="8" xr3:uid="{374A750D-0CDA-4142-8B47-3A883EC596B8}" name="First Page" dataDxfId="409"/>
    <tableColumn id="9" xr3:uid="{D466BBD7-4C35-44E5-8D22-5EBC7CBE03F0}" name="Page Count" dataDxfId="408"/>
    <tableColumn id="10" xr3:uid="{9D7FFEFB-0F2B-4A74-B17A-F543EC9FC1AE}" name="Accession Number" dataDxfId="407"/>
    <tableColumn id="11" xr3:uid="{FDDF2207-9790-4D53-827A-D5A5E046C277}" name="DOI" dataDxfId="406"/>
    <tableColumn id="12" xr3:uid="{68757DF4-9CCE-4712-9DFC-48BD137777BF}" name="Publisher" dataDxfId="405"/>
    <tableColumn id="13" xr3:uid="{C7F225E1-16F4-42B9-B331-76605A8B94B3}" name="Doctype" dataDxfId="404"/>
    <tableColumn id="14" xr3:uid="{B07B1623-00D4-4272-BB2F-12611012FBA6}" name="Subjects" dataDxfId="403"/>
    <tableColumn id="15" xr3:uid="{56FE78CC-C6E0-424E-8AB3-C93AF828624F}" name="Keywords" dataDxfId="402"/>
    <tableColumn id="16" xr3:uid="{B50E1203-D0C9-4FD7-BA81-00B07558F0D0}" name="Abstract" dataDxfId="401"/>
    <tableColumn id="17" xr3:uid="{9B4561E8-5316-44FF-9A76-B64D4C54CA1A}" name="PLink" dataDxfId="40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R86" totalsRowShown="0" headerRowDxfId="399" dataDxfId="398">
  <autoFilter ref="A1:R86" xr:uid="{00000000-0009-0000-0100-000001000000}"/>
  <tableColumns count="18">
    <tableColumn id="1" xr3:uid="{00000000-0010-0000-0000-000001000000}" name="Article Title" dataDxfId="397"/>
    <tableColumn id="2" xr3:uid="{00000000-0010-0000-0000-000002000000}" name="Author" dataDxfId="396"/>
    <tableColumn id="3" xr3:uid="{00000000-0010-0000-0000-000003000000}" name="Journal Title" dataDxfId="395"/>
    <tableColumn id="4" xr3:uid="{00000000-0010-0000-0000-000004000000}" name="ISSN" dataDxfId="394"/>
    <tableColumn id="5" xr3:uid="{00000000-0010-0000-0000-000005000000}" name="ISBN" dataDxfId="393"/>
    <tableColumn id="6" xr3:uid="{00000000-0010-0000-0000-000006000000}" name="Publication Date" dataDxfId="392"/>
    <tableColumn id="7" xr3:uid="{00000000-0010-0000-0000-000007000000}" name="Volume" dataDxfId="391"/>
    <tableColumn id="8" xr3:uid="{00000000-0010-0000-0000-000008000000}" name="Issue" dataDxfId="390"/>
    <tableColumn id="9" xr3:uid="{00000000-0010-0000-0000-000009000000}" name="First Page" dataDxfId="389"/>
    <tableColumn id="10" xr3:uid="{00000000-0010-0000-0000-00000A000000}" name="Page Count" dataDxfId="388"/>
    <tableColumn id="11" xr3:uid="{00000000-0010-0000-0000-00000B000000}" name="Accession Number" dataDxfId="387"/>
    <tableColumn id="12" xr3:uid="{00000000-0010-0000-0000-00000C000000}" name="DOI" dataDxfId="386"/>
    <tableColumn id="13" xr3:uid="{00000000-0010-0000-0000-00000D000000}" name="Publisher" dataDxfId="385"/>
    <tableColumn id="14" xr3:uid="{00000000-0010-0000-0000-00000E000000}" name="Doctype" dataDxfId="384"/>
    <tableColumn id="15" xr3:uid="{00000000-0010-0000-0000-00000F000000}" name="Subjects" dataDxfId="383"/>
    <tableColumn id="16" xr3:uid="{00000000-0010-0000-0000-000010000000}" name="Keywords" dataDxfId="382"/>
    <tableColumn id="17" xr3:uid="{00000000-0010-0000-0000-000011000000}" name="Abstract" dataDxfId="381"/>
    <tableColumn id="18" xr3:uid="{00000000-0010-0000-0000-000012000000}" name="PLink" dataDxfId="380"/>
  </tableColumns>
  <tableStyleInfo name="TableStyleMedium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R114" totalsRowShown="0" headerRowDxfId="379" dataDxfId="378">
  <autoFilter ref="A1:R114" xr:uid="{00000000-0009-0000-0100-000002000000}"/>
  <tableColumns count="18">
    <tableColumn id="1" xr3:uid="{00000000-0010-0000-0100-000001000000}" name="Article Title" dataDxfId="377"/>
    <tableColumn id="2" xr3:uid="{00000000-0010-0000-0100-000002000000}" name="Author" dataDxfId="376"/>
    <tableColumn id="3" xr3:uid="{00000000-0010-0000-0100-000003000000}" name="Journal Title" dataDxfId="375"/>
    <tableColumn id="4" xr3:uid="{00000000-0010-0000-0100-000004000000}" name="ISSN" dataDxfId="374"/>
    <tableColumn id="5" xr3:uid="{00000000-0010-0000-0100-000005000000}" name="ISBN" dataDxfId="373"/>
    <tableColumn id="6" xr3:uid="{00000000-0010-0000-0100-000006000000}" name="Publication Date" dataDxfId="372"/>
    <tableColumn id="7" xr3:uid="{00000000-0010-0000-0100-000007000000}" name="Volume" dataDxfId="371"/>
    <tableColumn id="8" xr3:uid="{00000000-0010-0000-0100-000008000000}" name="Issue" dataDxfId="370"/>
    <tableColumn id="9" xr3:uid="{00000000-0010-0000-0100-000009000000}" name="First Page" dataDxfId="369"/>
    <tableColumn id="10" xr3:uid="{00000000-0010-0000-0100-00000A000000}" name="Page Count" dataDxfId="368"/>
    <tableColumn id="11" xr3:uid="{00000000-0010-0000-0100-00000B000000}" name="Accession Number" dataDxfId="367"/>
    <tableColumn id="12" xr3:uid="{00000000-0010-0000-0100-00000C000000}" name="DOI" dataDxfId="366"/>
    <tableColumn id="13" xr3:uid="{00000000-0010-0000-0100-00000D000000}" name="Publisher" dataDxfId="365"/>
    <tableColumn id="14" xr3:uid="{00000000-0010-0000-0100-00000E000000}" name="Doctype" dataDxfId="364"/>
    <tableColumn id="15" xr3:uid="{00000000-0010-0000-0100-00000F000000}" name="Subjects" dataDxfId="363"/>
    <tableColumn id="16" xr3:uid="{00000000-0010-0000-0100-000010000000}" name="Keywords" dataDxfId="362"/>
    <tableColumn id="17" xr3:uid="{00000000-0010-0000-0100-000011000000}" name="Abstract" dataDxfId="361"/>
    <tableColumn id="18" xr3:uid="{00000000-0010-0000-0100-000012000000}" name="PLink" dataDxfId="360"/>
  </tableColumns>
  <tableStyleInfo name="TableStyleMedium6"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2000000}" name="Table4" displayName="Table4" ref="A1:R85" totalsRowShown="0" headerRowDxfId="359" dataDxfId="358">
  <autoFilter ref="A1:R85" xr:uid="{00000000-0009-0000-0100-000004000000}"/>
  <tableColumns count="18">
    <tableColumn id="1" xr3:uid="{00000000-0010-0000-0200-000001000000}" name="Article Title" dataDxfId="357"/>
    <tableColumn id="2" xr3:uid="{00000000-0010-0000-0200-000002000000}" name="Author" dataDxfId="356"/>
    <tableColumn id="3" xr3:uid="{00000000-0010-0000-0200-000003000000}" name="Journal Title" dataDxfId="355"/>
    <tableColumn id="4" xr3:uid="{00000000-0010-0000-0200-000004000000}" name="ISSN" dataDxfId="354"/>
    <tableColumn id="5" xr3:uid="{00000000-0010-0000-0200-000005000000}" name="ISBN" dataDxfId="353"/>
    <tableColumn id="6" xr3:uid="{00000000-0010-0000-0200-000006000000}" name="Publication Date" dataDxfId="352"/>
    <tableColumn id="7" xr3:uid="{00000000-0010-0000-0200-000007000000}" name="Volume" dataDxfId="351"/>
    <tableColumn id="8" xr3:uid="{00000000-0010-0000-0200-000008000000}" name="Issue" dataDxfId="350"/>
    <tableColumn id="9" xr3:uid="{00000000-0010-0000-0200-000009000000}" name="First Page" dataDxfId="349"/>
    <tableColumn id="10" xr3:uid="{00000000-0010-0000-0200-00000A000000}" name="Page Count" dataDxfId="348"/>
    <tableColumn id="11" xr3:uid="{00000000-0010-0000-0200-00000B000000}" name="Accession Number" dataDxfId="347"/>
    <tableColumn id="12" xr3:uid="{00000000-0010-0000-0200-00000C000000}" name="DOI" dataDxfId="346"/>
    <tableColumn id="13" xr3:uid="{00000000-0010-0000-0200-00000D000000}" name="Publisher" dataDxfId="345"/>
    <tableColumn id="14" xr3:uid="{00000000-0010-0000-0200-00000E000000}" name="Doctype" dataDxfId="344"/>
    <tableColumn id="15" xr3:uid="{00000000-0010-0000-0200-00000F000000}" name="Subjects" dataDxfId="343"/>
    <tableColumn id="16" xr3:uid="{00000000-0010-0000-0200-000010000000}" name="Keywords" dataDxfId="342"/>
    <tableColumn id="17" xr3:uid="{00000000-0010-0000-0200-000011000000}" name="Abstract" dataDxfId="341"/>
    <tableColumn id="18" xr3:uid="{00000000-0010-0000-0200-000012000000}" name="PLink" dataDxfId="340"/>
  </tableColumns>
  <tableStyleInfo name="TableStyleMedium6"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Table3" displayName="Table3" ref="A1:R82" totalsRowShown="0" headerRowDxfId="339" dataDxfId="338">
  <autoFilter ref="A1:R82" xr:uid="{00000000-0009-0000-0100-000003000000}"/>
  <tableColumns count="18">
    <tableColumn id="1" xr3:uid="{00000000-0010-0000-0300-000001000000}" name="Article Title" dataDxfId="337"/>
    <tableColumn id="2" xr3:uid="{00000000-0010-0000-0300-000002000000}" name="Author" dataDxfId="336"/>
    <tableColumn id="3" xr3:uid="{00000000-0010-0000-0300-000003000000}" name="Journal Title" dataDxfId="335"/>
    <tableColumn id="4" xr3:uid="{00000000-0010-0000-0300-000004000000}" name="ISSN" dataDxfId="334"/>
    <tableColumn id="5" xr3:uid="{00000000-0010-0000-0300-000005000000}" name="ISBN" dataDxfId="333"/>
    <tableColumn id="6" xr3:uid="{00000000-0010-0000-0300-000006000000}" name="Publication Date" dataDxfId="332"/>
    <tableColumn id="7" xr3:uid="{00000000-0010-0000-0300-000007000000}" name="Volume" dataDxfId="331"/>
    <tableColumn id="8" xr3:uid="{00000000-0010-0000-0300-000008000000}" name="Issue" dataDxfId="330"/>
    <tableColumn id="9" xr3:uid="{00000000-0010-0000-0300-000009000000}" name="First Page" dataDxfId="329"/>
    <tableColumn id="10" xr3:uid="{00000000-0010-0000-0300-00000A000000}" name="Page Count" dataDxfId="328"/>
    <tableColumn id="11" xr3:uid="{00000000-0010-0000-0300-00000B000000}" name="Accession Number" dataDxfId="327"/>
    <tableColumn id="12" xr3:uid="{00000000-0010-0000-0300-00000C000000}" name="DOI" dataDxfId="326"/>
    <tableColumn id="13" xr3:uid="{00000000-0010-0000-0300-00000D000000}" name="Publisher" dataDxfId="325"/>
    <tableColumn id="14" xr3:uid="{00000000-0010-0000-0300-00000E000000}" name="Doctype" dataDxfId="324"/>
    <tableColumn id="15" xr3:uid="{00000000-0010-0000-0300-00000F000000}" name="Subjects" dataDxfId="323"/>
    <tableColumn id="16" xr3:uid="{00000000-0010-0000-0300-000010000000}" name="Keywords" dataDxfId="322"/>
    <tableColumn id="17" xr3:uid="{00000000-0010-0000-0300-000011000000}" name="Abstract" dataDxfId="321"/>
    <tableColumn id="18" xr3:uid="{00000000-0010-0000-0300-000012000000}" name="PLink" dataDxfId="320"/>
  </tableColumns>
  <tableStyleInfo name="TableStyleMedium6"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R67" totalsRowShown="0" headerRowDxfId="319" dataDxfId="318">
  <autoFilter ref="A1:R67" xr:uid="{00000000-0009-0000-0100-000005000000}"/>
  <tableColumns count="18">
    <tableColumn id="1" xr3:uid="{00000000-0010-0000-0400-000001000000}" name="Article Title" dataDxfId="317"/>
    <tableColumn id="2" xr3:uid="{00000000-0010-0000-0400-000002000000}" name="Author" dataDxfId="316"/>
    <tableColumn id="3" xr3:uid="{00000000-0010-0000-0400-000003000000}" name="Journal Title" dataDxfId="315"/>
    <tableColumn id="4" xr3:uid="{00000000-0010-0000-0400-000004000000}" name="ISSN" dataDxfId="314"/>
    <tableColumn id="5" xr3:uid="{00000000-0010-0000-0400-000005000000}" name="ISBN" dataDxfId="313"/>
    <tableColumn id="6" xr3:uid="{00000000-0010-0000-0400-000006000000}" name="Publication Date" dataDxfId="312"/>
    <tableColumn id="7" xr3:uid="{00000000-0010-0000-0400-000007000000}" name="Volume" dataDxfId="311"/>
    <tableColumn id="8" xr3:uid="{00000000-0010-0000-0400-000008000000}" name="Issue" dataDxfId="310"/>
    <tableColumn id="9" xr3:uid="{00000000-0010-0000-0400-000009000000}" name="First Page" dataDxfId="309"/>
    <tableColumn id="10" xr3:uid="{00000000-0010-0000-0400-00000A000000}" name="Page Count" dataDxfId="308"/>
    <tableColumn id="11" xr3:uid="{00000000-0010-0000-0400-00000B000000}" name="Accession Number" dataDxfId="307"/>
    <tableColumn id="12" xr3:uid="{00000000-0010-0000-0400-00000C000000}" name="DOI" dataDxfId="306"/>
    <tableColumn id="13" xr3:uid="{00000000-0010-0000-0400-00000D000000}" name="Publisher" dataDxfId="305"/>
    <tableColumn id="14" xr3:uid="{00000000-0010-0000-0400-00000E000000}" name="Doctype" dataDxfId="304"/>
    <tableColumn id="15" xr3:uid="{00000000-0010-0000-0400-00000F000000}" name="Subjects" dataDxfId="303"/>
    <tableColumn id="16" xr3:uid="{00000000-0010-0000-0400-000010000000}" name="Keywords" dataDxfId="302"/>
    <tableColumn id="17" xr3:uid="{00000000-0010-0000-0400-000011000000}" name="Abstract" dataDxfId="301"/>
    <tableColumn id="18" xr3:uid="{00000000-0010-0000-0400-000012000000}" name="PLink" dataDxfId="300"/>
  </tableColumns>
  <tableStyleInfo name="TableStyleMedium6"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7419C0C-BD1C-4A47-B0EC-B84BB4E5D9C8}" name="Table6" displayName="Table6" ref="A1:R50" totalsRowShown="0" headerRowDxfId="299" dataDxfId="298">
  <autoFilter ref="A1:R50" xr:uid="{E7419C0C-BD1C-4A47-B0EC-B84BB4E5D9C8}"/>
  <tableColumns count="18">
    <tableColumn id="1" xr3:uid="{1D468461-0C2E-49CF-804B-7E31DF563DD6}" name="Article Title" dataDxfId="297"/>
    <tableColumn id="2" xr3:uid="{982E4128-2D3D-4D79-AB41-1178AD0AE5C7}" name="Author" dataDxfId="296"/>
    <tableColumn id="3" xr3:uid="{C6367D00-FB21-43AD-88B9-46E75C937C8A}" name="Journal Title" dataDxfId="295"/>
    <tableColumn id="4" xr3:uid="{B9CB9244-B605-4144-9DF3-7A76C9168D48}" name="ISSN" dataDxfId="294"/>
    <tableColumn id="5" xr3:uid="{4DA4C9F2-DE8F-4C4D-AE60-0298E9D3EE73}" name="ISBN" dataDxfId="293"/>
    <tableColumn id="6" xr3:uid="{60AB5BE4-4A19-4666-A14C-79214805D475}" name="Publication Date" dataDxfId="292"/>
    <tableColumn id="7" xr3:uid="{D9C14196-9B08-49B1-9E0E-48046106F14E}" name="Volume" dataDxfId="291"/>
    <tableColumn id="8" xr3:uid="{B3EA52C1-F1FD-4E72-957C-11B76EBC2E2C}" name="Issue" dataDxfId="290"/>
    <tableColumn id="9" xr3:uid="{0D9C6920-DA8C-49FA-81D2-D0A7D27921F0}" name="First Page" dataDxfId="289"/>
    <tableColumn id="10" xr3:uid="{306290DE-FE84-4035-BEA3-A8E37B8FE966}" name="Page Count" dataDxfId="288"/>
    <tableColumn id="11" xr3:uid="{D21DFCDB-9113-455C-BAC8-9EBCBE12A631}" name="Accession Number" dataDxfId="287"/>
    <tableColumn id="12" xr3:uid="{B480CE28-462F-468A-A7A6-F1A002D1A497}" name="DOI" dataDxfId="286"/>
    <tableColumn id="13" xr3:uid="{EBE25DE6-636E-43E3-9E23-BB7BE9A7D2A0}" name="Publisher" dataDxfId="285"/>
    <tableColumn id="14" xr3:uid="{663C8069-B202-47E2-9B94-BCD940768F5D}" name="Doctype" dataDxfId="284"/>
    <tableColumn id="15" xr3:uid="{416B804B-1C05-49E8-908A-1FC655F51DD7}" name="Subjects" dataDxfId="283"/>
    <tableColumn id="16" xr3:uid="{B6352535-4687-4580-B4B3-9ED64BE3826C}" name="Keywords" dataDxfId="282"/>
    <tableColumn id="17" xr3:uid="{EB03179D-C4C7-45BF-A441-82F57D2CD56B}" name="Abstract" dataDxfId="281"/>
    <tableColumn id="18" xr3:uid="{34FEADC6-1C4F-4756-9A50-400CCB76A172}" name="PLink" dataDxfId="280"/>
  </tableColumns>
  <tableStyleInfo name="TableStyleMedium6"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D951FA80-1640-4A54-979E-8820A99920C5}" name="Table7" displayName="Table7" ref="A1:R31" totalsRowShown="0" headerRowDxfId="279" dataDxfId="278">
  <autoFilter ref="A1:R31" xr:uid="{D951FA80-1640-4A54-979E-8820A99920C5}"/>
  <tableColumns count="18">
    <tableColumn id="1" xr3:uid="{49313A1D-FABA-46CA-A835-AD57F47B8BE0}" name="Article Title" dataDxfId="277"/>
    <tableColumn id="2" xr3:uid="{AC15BF89-CE52-41D8-A5FD-86EE0D6C1D32}" name="Author" dataDxfId="276"/>
    <tableColumn id="3" xr3:uid="{9836E413-303B-4606-82D7-DA90434FC50A}" name="Journal Title" dataDxfId="275"/>
    <tableColumn id="4" xr3:uid="{0CB855AF-9956-4FF5-ABFE-7190D8D8AD7D}" name="ISSN" dataDxfId="274"/>
    <tableColumn id="5" xr3:uid="{89D35E06-35FE-437C-8D3D-962085F281E3}" name="ISBN" dataDxfId="273"/>
    <tableColumn id="6" xr3:uid="{FC2D4F59-E468-49F4-A796-19E1EA1D2F5A}" name="Publication Date" dataDxfId="272"/>
    <tableColumn id="7" xr3:uid="{DB6E4E86-4B68-4B75-91CD-F8DD1855EB99}" name="Volume" dataDxfId="271"/>
    <tableColumn id="8" xr3:uid="{D5980CA9-30A3-4921-B674-DE29B20A2CB2}" name="Issue" dataDxfId="270"/>
    <tableColumn id="9" xr3:uid="{05E4BD09-7C49-4918-A744-AB250D47F898}" name="First Page" dataDxfId="269"/>
    <tableColumn id="10" xr3:uid="{8376E05D-835B-4CF2-9F65-8B7924449466}" name="Page Count" dataDxfId="268"/>
    <tableColumn id="11" xr3:uid="{5B445137-4D30-4652-8BA7-687C767912A7}" name="Accession Number" dataDxfId="267"/>
    <tableColumn id="12" xr3:uid="{B9BAA902-F5F1-4191-9A6A-CB2D0541C7A3}" name="DOI" dataDxfId="266"/>
    <tableColumn id="13" xr3:uid="{5A1B44AA-9F91-4C7D-913B-335A16120775}" name="Publisher" dataDxfId="265"/>
    <tableColumn id="14" xr3:uid="{7E750AE4-3C8D-4E74-9190-6F65F1153B74}" name="Doctype" dataDxfId="264"/>
    <tableColumn id="15" xr3:uid="{96699865-6183-4957-86B5-6828EDE0760B}" name="Subjects" dataDxfId="263"/>
    <tableColumn id="16" xr3:uid="{25237DE4-FD02-4C19-B76D-D063AF8C5391}" name="Keywords" dataDxfId="262"/>
    <tableColumn id="17" xr3:uid="{5E556DD5-ED45-4AD6-A59E-1F16866662BC}" name="Abstract" dataDxfId="261"/>
    <tableColumn id="18" xr3:uid="{767EB6B1-5F80-4099-B5F9-441B232A7CF7}" name="PLink" dataDxfId="260"/>
  </tableColumns>
  <tableStyleInfo name="TableStyleMedium6"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DF99623-7534-40A6-81EC-E6CF40103FEB}" name="Table8" displayName="Table8" ref="A1:R25" totalsRowShown="0" headerRowDxfId="259" dataDxfId="258">
  <autoFilter ref="A1:R25" xr:uid="{DDF99623-7534-40A6-81EC-E6CF40103FEB}"/>
  <tableColumns count="18">
    <tableColumn id="1" xr3:uid="{2A37DD95-4AD8-45B1-BA7E-C6D743E56D14}" name="Article Title" dataDxfId="257"/>
    <tableColumn id="2" xr3:uid="{697737EB-BA1F-4061-BC74-A46C165C9B7A}" name="Author" dataDxfId="256"/>
    <tableColumn id="3" xr3:uid="{485FDEA2-2255-4BD4-A9F1-04BD1BC5D92A}" name="Journal Title" dataDxfId="255"/>
    <tableColumn id="4" xr3:uid="{181E9EF6-CBAA-4652-AB12-5C4393987D71}" name="ISSN" dataDxfId="254"/>
    <tableColumn id="5" xr3:uid="{0D7C7C5F-0DEA-4EDC-84A7-BDE9516F1632}" name="ISBN" dataDxfId="253"/>
    <tableColumn id="6" xr3:uid="{5AA8FB9B-ADED-4001-9D0F-BAA279C34427}" name="Publication Date" dataDxfId="252"/>
    <tableColumn id="7" xr3:uid="{D6FEF69D-0032-4306-8597-2F084A82A479}" name="Volume" dataDxfId="251"/>
    <tableColumn id="8" xr3:uid="{D92D96E8-1C71-4D18-85B1-556D86B2444C}" name="Issue" dataDxfId="250"/>
    <tableColumn id="9" xr3:uid="{A92C2344-DC73-472B-A485-31EC52842A63}" name="First Page" dataDxfId="249"/>
    <tableColumn id="10" xr3:uid="{F15619A6-2AFA-4577-AE22-DFB7A74EFF8E}" name="Page Count" dataDxfId="248"/>
    <tableColumn id="11" xr3:uid="{05CEA60D-8A9F-4C27-9EDE-1D9D89B4B5DB}" name="Accession Number" dataDxfId="247"/>
    <tableColumn id="12" xr3:uid="{E56217A3-4AAD-4353-8129-61549542D7D3}" name="DOI" dataDxfId="246"/>
    <tableColumn id="13" xr3:uid="{9C56F06E-7A3A-4FCD-B477-6561D96D8C45}" name="Publisher" dataDxfId="245"/>
    <tableColumn id="14" xr3:uid="{D63DEA41-8CAD-4761-BF17-00C6080B862D}" name="Doctype" dataDxfId="244"/>
    <tableColumn id="15" xr3:uid="{94014E19-A7F0-43C2-811C-A57B6B164777}" name="Subjects" dataDxfId="243"/>
    <tableColumn id="16" xr3:uid="{35A3463D-18B7-461A-9017-481EFF460584}" name="Keywords" dataDxfId="242"/>
    <tableColumn id="17" xr3:uid="{C0876E0B-6DC0-4330-8680-35F25C26DC70}" name="Abstract" dataDxfId="241"/>
    <tableColumn id="18" xr3:uid="{B8FAD70F-8097-4EB7-9E61-BF4984ACD879}" name="PLink" dataDxfId="240"/>
  </tableColumns>
  <tableStyleInfo name="TableStyleMedium6"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2F4D7D77-27A7-4D7A-9933-005B1C23FCCD}" name="Table10" displayName="Table10" ref="A1:R22" totalsRowShown="0" headerRowDxfId="239" dataDxfId="238">
  <autoFilter ref="A1:R22" xr:uid="{2F4D7D77-27A7-4D7A-9933-005B1C23FCCD}"/>
  <tableColumns count="18">
    <tableColumn id="1" xr3:uid="{43862816-4925-48DB-AD5D-4EC8CF131EFC}" name="Article Title" dataDxfId="237"/>
    <tableColumn id="2" xr3:uid="{ADA22D54-60E3-455C-9B94-A5F4F9F5DC4C}" name="Author" dataDxfId="236"/>
    <tableColumn id="3" xr3:uid="{00EB0347-40BE-4126-A78F-567D91392A5F}" name="Journal Title" dataDxfId="235"/>
    <tableColumn id="4" xr3:uid="{6AC38365-2347-4383-8739-88655B8C1615}" name="ISSN" dataDxfId="234"/>
    <tableColumn id="5" xr3:uid="{AA6C0D90-CDC9-4725-9195-6C834B36EEE3}" name="ISBN" dataDxfId="233"/>
    <tableColumn id="6" xr3:uid="{81B29DD9-8B49-41DE-8AE7-88E84B1464DD}" name="Publication Date" dataDxfId="232"/>
    <tableColumn id="7" xr3:uid="{76ADCB44-3A60-4047-AEFD-94CEFA666FA1}" name="Volume" dataDxfId="231"/>
    <tableColumn id="8" xr3:uid="{86FB224C-ED50-4CDE-8412-889E12CDA142}" name="Issue" dataDxfId="230"/>
    <tableColumn id="9" xr3:uid="{6973D661-A0AE-42DD-B2A2-9DCF238A0E78}" name="First Page" dataDxfId="229"/>
    <tableColumn id="10" xr3:uid="{35A4C867-4A2D-409A-9EF2-E93755CCEFA8}" name="Page Count" dataDxfId="228"/>
    <tableColumn id="11" xr3:uid="{8CEF4AA1-96C6-456A-92C4-D864EE44261C}" name="Accession Number" dataDxfId="227"/>
    <tableColumn id="12" xr3:uid="{4D8755A8-DCBB-4927-B559-EB767A7EA7A2}" name="DOI" dataDxfId="226"/>
    <tableColumn id="13" xr3:uid="{300D2BE8-B100-4EEE-8E2B-971EE95A0063}" name="Publisher" dataDxfId="225"/>
    <tableColumn id="14" xr3:uid="{86DD7C53-D9A5-4937-8589-EC11AE3E3179}" name="Doctype" dataDxfId="224"/>
    <tableColumn id="15" xr3:uid="{312CA302-02F3-4D03-8D96-B3E96077ED1F}" name="Subjects" dataDxfId="223"/>
    <tableColumn id="16" xr3:uid="{19469EE1-1AF9-4459-BDBA-4A4D1929FE0A}" name="Keywords" dataDxfId="222"/>
    <tableColumn id="17" xr3:uid="{857A80FF-6775-4CBD-A39E-35F0433C50C9}" name="Abstract" dataDxfId="221"/>
    <tableColumn id="18" xr3:uid="{2F621373-C68E-4E2C-A327-7379BF614E0C}" name="PLink" dataDxfId="220"/>
  </tableColumns>
  <tableStyleInfo name="TableStyleMedium6"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5BDBB32-03C1-4628-97A4-9E3BFCA70C21}" name="Table9" displayName="Table9" ref="A1:R33" totalsRowShown="0" headerRowDxfId="219" dataDxfId="218">
  <autoFilter ref="A1:R33" xr:uid="{95BDBB32-03C1-4628-97A4-9E3BFCA70C21}"/>
  <tableColumns count="18">
    <tableColumn id="1" xr3:uid="{A86A1321-0238-4453-96C0-3AD86BFED0E4}" name="Article Title" dataDxfId="217"/>
    <tableColumn id="2" xr3:uid="{D93D355C-3121-4AA0-B26A-12E56E7FF1AB}" name="Author" dataDxfId="216"/>
    <tableColumn id="3" xr3:uid="{048FF12A-3DBA-4E3A-9847-F44D55EAB15B}" name="Journal Title" dataDxfId="215"/>
    <tableColumn id="4" xr3:uid="{F8F55DC4-CB17-4931-BBA2-D5B458F68438}" name="ISSN" dataDxfId="214"/>
    <tableColumn id="5" xr3:uid="{E8FCD53A-FCAA-40E5-A5F6-E1208B5C09AE}" name="ISBN" dataDxfId="213"/>
    <tableColumn id="6" xr3:uid="{307F51BB-DC3B-4FA8-A60A-B774CE363B91}" name="Publication Date" dataDxfId="212"/>
    <tableColumn id="7" xr3:uid="{C05BDB3F-EAD8-475F-BB0B-5C7191A9B049}" name="Volume" dataDxfId="211"/>
    <tableColumn id="8" xr3:uid="{A12553A3-E39D-4382-9F81-BD436BE5C1C5}" name="Issue" dataDxfId="210"/>
    <tableColumn id="9" xr3:uid="{E8A1D8C2-1BF5-4254-ABB7-85B7287CAC35}" name="First Page" dataDxfId="209"/>
    <tableColumn id="10" xr3:uid="{562CACEC-6B37-4920-931D-F671BCD1772E}" name="Page Count" dataDxfId="208"/>
    <tableColumn id="11" xr3:uid="{7A889990-E416-4D3B-8803-4DFAD3F91268}" name="Accession Number" dataDxfId="207"/>
    <tableColumn id="12" xr3:uid="{FF4C158A-4943-4378-8D13-FE988B9246D4}" name="DOI" dataDxfId="206"/>
    <tableColumn id="13" xr3:uid="{D4E6F4D1-F6C0-4085-851B-AD84668E119F}" name="Publisher" dataDxfId="205"/>
    <tableColumn id="14" xr3:uid="{6D5C04D4-0DCB-45FC-A09A-5C86EEC0971D}" name="Doctype" dataDxfId="204"/>
    <tableColumn id="15" xr3:uid="{CF30392F-AD67-476A-9A1E-957F2AFEDDF0}" name="Subjects" dataDxfId="203"/>
    <tableColumn id="16" xr3:uid="{6FF8E98A-2509-4093-81A6-DF29D1643204}" name="Keywords" dataDxfId="202"/>
    <tableColumn id="17" xr3:uid="{25C4C658-6828-4A50-8F15-3BE705F6519A}" name="Abstract" dataDxfId="201"/>
    <tableColumn id="18" xr3:uid="{0B167011-9D39-4323-A699-95455E7B12E2}" name="PLink" dataDxfId="200"/>
  </tableColumns>
  <tableStyleInfo name="TableStyleMedium6"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179EB0A2-E088-40C9-B652-E876616AE321}" name="Table15" displayName="Table15" ref="A1:R25" totalsRowShown="0" headerRowDxfId="199" dataDxfId="198">
  <autoFilter ref="A1:R25" xr:uid="{179EB0A2-E088-40C9-B652-E876616AE321}"/>
  <tableColumns count="18">
    <tableColumn id="1" xr3:uid="{79A0E926-860A-4986-8804-11DAD92E049C}" name="Article Title" dataDxfId="197"/>
    <tableColumn id="2" xr3:uid="{51FBCD43-4577-4A7F-BEED-92559689B3EA}" name="Author" dataDxfId="196"/>
    <tableColumn id="3" xr3:uid="{B658FC96-8429-4A6F-A39A-B163B454E68D}" name="Journal Title" dataDxfId="195"/>
    <tableColumn id="4" xr3:uid="{BBCAB85B-7177-46BE-9E40-0EAF7616440C}" name="ISSN" dataDxfId="194"/>
    <tableColumn id="5" xr3:uid="{024AC5D6-8597-4E5B-ABE8-286525377F89}" name="ISBN" dataDxfId="193"/>
    <tableColumn id="6" xr3:uid="{BB42046D-29F6-48EE-9384-172F299D262B}" name="Publication Date" dataDxfId="192"/>
    <tableColumn id="7" xr3:uid="{283A82A2-6DED-4FC0-9099-1FA887875B08}" name="Volume" dataDxfId="191"/>
    <tableColumn id="8" xr3:uid="{DB5FC12F-98B2-4E0D-A05B-8F1281D9FA82}" name="Issue" dataDxfId="190"/>
    <tableColumn id="9" xr3:uid="{F7C60E30-029E-4032-9CEA-3ACA6C279EF6}" name="First Page" dataDxfId="189"/>
    <tableColumn id="10" xr3:uid="{EBC34CF1-247B-4840-9B4D-E1FF85F4EE3B}" name="Page Count" dataDxfId="188"/>
    <tableColumn id="11" xr3:uid="{D7B4B02F-3876-427B-A0AC-2F494862F29E}" name="Accession Number" dataDxfId="187"/>
    <tableColumn id="12" xr3:uid="{CC5194FA-479B-459D-936C-99D384F6D2E2}" name="DOI" dataDxfId="186"/>
    <tableColumn id="13" xr3:uid="{08C089DF-CC5D-4578-B63D-01650D72712A}" name="Publisher" dataDxfId="185"/>
    <tableColumn id="14" xr3:uid="{68828904-9BD8-419E-92D2-349BFF5BB1A0}" name="Doctype" dataDxfId="184"/>
    <tableColumn id="15" xr3:uid="{DDF7C91B-9874-4316-B004-9DCAF2120641}" name="Subjects" dataDxfId="183"/>
    <tableColumn id="16" xr3:uid="{20EF1EDC-CD00-4C05-9ED1-C6F98F7EF258}" name="Keywords" dataDxfId="182"/>
    <tableColumn id="17" xr3:uid="{D5164AD4-BE46-470C-9E98-BC16247DC161}" name="Abstract" dataDxfId="181"/>
    <tableColumn id="18" xr3:uid="{AF0DF807-1A41-46FE-8BA4-ACA82DA313A1}" name="PLink" dataDxfId="180"/>
  </tableColumns>
  <tableStyleInfo name="TableStyleMedium6"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7A7DBE39-23BD-404C-A08D-0B938D4218E5}" name="Table16" displayName="Table16" ref="A1:R32" totalsRowShown="0" headerRowDxfId="179" dataDxfId="178">
  <autoFilter ref="A1:R32" xr:uid="{7A7DBE39-23BD-404C-A08D-0B938D4218E5}"/>
  <tableColumns count="18">
    <tableColumn id="1" xr3:uid="{8C4E782E-265E-4AB9-9646-C7BAA341F931}" name="Article Title" dataDxfId="177"/>
    <tableColumn id="2" xr3:uid="{1D6A80B8-AEC4-43F0-A78D-189B54206C28}" name="Author" dataDxfId="176"/>
    <tableColumn id="3" xr3:uid="{689800E6-2CDC-4EF1-A8D8-44FD5CD14519}" name="Journal Title" dataDxfId="175"/>
    <tableColumn id="4" xr3:uid="{5AB29044-D153-467F-AE02-F7BF3D604545}" name="ISSN" dataDxfId="174"/>
    <tableColumn id="5" xr3:uid="{77BD98D9-9DD2-4552-8321-AAEB41CB9BEE}" name="ISBN" dataDxfId="173"/>
    <tableColumn id="6" xr3:uid="{05F734D5-0412-418D-9FF5-A74A006C363C}" name="Publication Date" dataDxfId="172"/>
    <tableColumn id="7" xr3:uid="{ECE8D54B-B03B-433C-B460-182EC83F44E9}" name="Volume" dataDxfId="171"/>
    <tableColumn id="8" xr3:uid="{5561D6C7-C6E8-4B9B-A6F2-D34B41C26876}" name="Issue" dataDxfId="170"/>
    <tableColumn id="9" xr3:uid="{A03CEDBA-7290-4E16-AB04-2AC08D18CF8F}" name="First Page" dataDxfId="169"/>
    <tableColumn id="10" xr3:uid="{B4574745-1BE0-488B-B8AC-4BF5088550A3}" name="Page Count" dataDxfId="168"/>
    <tableColumn id="11" xr3:uid="{4995236E-D8F5-432F-9F57-1E8E59922B77}" name="Accession Number" dataDxfId="167"/>
    <tableColumn id="12" xr3:uid="{3330AABC-3195-4112-AEA0-74E16674130D}" name="DOI" dataDxfId="166"/>
    <tableColumn id="13" xr3:uid="{90CE211E-87E8-469B-8132-71BB9B0C94F4}" name="Publisher" dataDxfId="165"/>
    <tableColumn id="14" xr3:uid="{2A11FC72-133F-4EAF-A8CA-5360DF8D733E}" name="Doctype" dataDxfId="164"/>
    <tableColumn id="15" xr3:uid="{042332D9-8DDD-4BE9-824B-D47A227993B5}" name="Subjects" dataDxfId="163"/>
    <tableColumn id="16" xr3:uid="{11477C60-C5F9-4815-A3C7-E9AF95C1E714}" name="Keywords" dataDxfId="162"/>
    <tableColumn id="17" xr3:uid="{AF7E2A4A-811A-4EC2-B4D4-BA17B9F04CAE}" name="Abstract" dataDxfId="161"/>
    <tableColumn id="18" xr3:uid="{D8F107BF-A3B1-4653-B820-0809D37C3156}" name="PLink" dataDxfId="160"/>
  </tableColumns>
  <tableStyleInfo name="TableStyleMedium6"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C0C82F6F-6117-480F-A83F-9EE93B682FE1}" name="Table17" displayName="Table17" ref="A1:R27" totalsRowShown="0" headerRowDxfId="159" dataDxfId="158">
  <autoFilter ref="A1:R27" xr:uid="{C0C82F6F-6117-480F-A83F-9EE93B682FE1}"/>
  <tableColumns count="18">
    <tableColumn id="1" xr3:uid="{68FF2E7C-D57D-416C-8315-B3B86A3D25AF}" name="Article Title" dataDxfId="157"/>
    <tableColumn id="2" xr3:uid="{D7762940-0A4A-4A24-ABE9-8B26CB01DC77}" name="Author" dataDxfId="156"/>
    <tableColumn id="3" xr3:uid="{DF2777F2-98B2-451F-AC03-B01401B87C5E}" name="Journal Title" dataDxfId="155"/>
    <tableColumn id="4" xr3:uid="{D84A9352-BB40-42FD-A6C6-157424EAB791}" name="ISSN" dataDxfId="154"/>
    <tableColumn id="5" xr3:uid="{B563F619-1F6F-4C55-A3D7-CD058D4ED728}" name="ISBN" dataDxfId="153"/>
    <tableColumn id="6" xr3:uid="{B9ADBE23-F483-473D-B26E-55566E4825E3}" name="Publication Date" dataDxfId="152"/>
    <tableColumn id="7" xr3:uid="{F3362697-262B-48CC-8CE7-BAF4FEDE0836}" name="Volume" dataDxfId="151"/>
    <tableColumn id="8" xr3:uid="{8A223C5E-45F3-4854-B7E0-F178B8CD4D52}" name="Issue" dataDxfId="150"/>
    <tableColumn id="9" xr3:uid="{AE47E2F5-EA7C-42E7-9CB2-EB32437E4E1E}" name="First Page" dataDxfId="149"/>
    <tableColumn id="10" xr3:uid="{6B681764-24F8-4022-A1D0-20246F2C8D6B}" name="Page Count" dataDxfId="148"/>
    <tableColumn id="11" xr3:uid="{B8505E58-66C9-4EA7-8DE2-3EB963DB01B9}" name="Accession Number" dataDxfId="147"/>
    <tableColumn id="12" xr3:uid="{1FD93C1B-6F2C-4825-9D15-31C9AB46025B}" name="DOI" dataDxfId="146"/>
    <tableColumn id="13" xr3:uid="{EDFC364C-9061-4FD1-90F1-69BA0AD4868E}" name="Publisher" dataDxfId="145"/>
    <tableColumn id="14" xr3:uid="{C9266301-9DF8-48E6-B85E-636AB94C58A1}" name="Doctype" dataDxfId="144"/>
    <tableColumn id="15" xr3:uid="{E64BD689-4C3A-43C1-91BC-46C042A7047A}" name="Subjects" dataDxfId="143"/>
    <tableColumn id="16" xr3:uid="{DF300A0B-CCDB-406C-AA2B-EB0618EDA1B0}" name="Keywords" dataDxfId="142"/>
    <tableColumn id="17" xr3:uid="{10CC3BA8-CA80-4B28-B190-FF1288C3ED22}" name="Abstract" dataDxfId="141"/>
    <tableColumn id="18" xr3:uid="{66C4A789-5F26-4424-A169-56F96B61DE3A}" name="PLink" dataDxfId="140"/>
  </tableColumns>
  <tableStyleInfo name="TableStyleMedium6"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DB20D832-2563-49FB-92F7-32F0E3B7D741}" name="Table12" displayName="Table12" ref="A1:R31" totalsRowShown="0" headerRowDxfId="139" dataDxfId="138">
  <autoFilter ref="A1:R31" xr:uid="{DB20D832-2563-49FB-92F7-32F0E3B7D741}"/>
  <tableColumns count="18">
    <tableColumn id="1" xr3:uid="{1EFAD2AE-4B02-44F1-8013-4F92F59D0A8B}" name="Article Title" dataDxfId="137"/>
    <tableColumn id="2" xr3:uid="{9EFBAA2A-2E71-46B7-98EC-DFE31B6CFB37}" name="Author" dataDxfId="136"/>
    <tableColumn id="3" xr3:uid="{8DF65BA5-34E5-448A-8C56-88F12AF6056F}" name="Journal Title" dataDxfId="135"/>
    <tableColumn id="4" xr3:uid="{3C57C6DD-2F0E-41BC-BD1D-E8F83686302A}" name="ISSN" dataDxfId="134"/>
    <tableColumn id="5" xr3:uid="{60A3BFA8-9989-4B70-83D6-B4BA7379A42E}" name="ISBN" dataDxfId="133"/>
    <tableColumn id="6" xr3:uid="{DDE319C1-F887-4F8B-B126-BF5786EAD397}" name="Publication Date" dataDxfId="132"/>
    <tableColumn id="7" xr3:uid="{4896258F-FB79-45DD-AE94-8F5864595529}" name="Volume" dataDxfId="131"/>
    <tableColumn id="8" xr3:uid="{78A87033-E9A8-47C1-94DB-73066B05E6F5}" name="Issue" dataDxfId="130"/>
    <tableColumn id="9" xr3:uid="{813A8F2E-73A2-450F-A4D5-25124E04C642}" name="First Page" dataDxfId="129"/>
    <tableColumn id="10" xr3:uid="{E55D2EB2-8F61-494D-931B-7D5136895951}" name="Page Count" dataDxfId="128"/>
    <tableColumn id="11" xr3:uid="{5B989A9B-83B3-4129-804E-211F71C1C861}" name="Accession Number" dataDxfId="127"/>
    <tableColumn id="12" xr3:uid="{C5F4281A-11AE-4F31-AA53-BB7620AC9164}" name="DOI" dataDxfId="126"/>
    <tableColumn id="13" xr3:uid="{0DEB6E30-E20D-418D-9586-770A46581E8E}" name="Publisher" dataDxfId="125"/>
    <tableColumn id="14" xr3:uid="{DD1C6A92-3F98-4835-BDB9-D351B8FCFC7F}" name="Doctype" dataDxfId="124"/>
    <tableColumn id="15" xr3:uid="{22AFDE2E-E605-427D-BFD1-7C8ADA30ECFA}" name="Subjects" dataDxfId="123"/>
    <tableColumn id="16" xr3:uid="{60152B4F-912C-405A-9938-CC0B78262180}" name="Keywords" dataDxfId="122"/>
    <tableColumn id="17" xr3:uid="{D461764C-A3FF-4329-A1F6-23EC012B5A7B}" name="Abstract" dataDxfId="121"/>
    <tableColumn id="18" xr3:uid="{9DF1E90B-B1A4-4C55-92CA-E1AE612D7699}" name="PLink" dataDxfId="120"/>
  </tableColumns>
  <tableStyleInfo name="TableStyleMedium6"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7168CBC2-77F7-4B02-85F0-491C5381C5F3}" name="Table14" displayName="Table14" ref="A1:R28" totalsRowShown="0" headerRowDxfId="119" dataDxfId="118">
  <autoFilter ref="A1:R28" xr:uid="{7168CBC2-77F7-4B02-85F0-491C5381C5F3}"/>
  <tableColumns count="18">
    <tableColumn id="1" xr3:uid="{190DCC84-F08F-4F3D-BBD3-25CE46FF9F7E}" name="Article Title" dataDxfId="117"/>
    <tableColumn id="2" xr3:uid="{699DDFC4-7107-4AD2-83BC-692A5BDA6E30}" name="Author" dataDxfId="116"/>
    <tableColumn id="3" xr3:uid="{B1DC322F-B0A2-4830-9EB5-6BB35D55431A}" name="Journal Title" dataDxfId="115"/>
    <tableColumn id="4" xr3:uid="{418BD874-AC4F-4133-A6F4-CD1D7B89E5CD}" name="ISSN" dataDxfId="114"/>
    <tableColumn id="5" xr3:uid="{7E6D9A66-17B3-49AF-BB9E-AA507D49B1BC}" name="ISBN" dataDxfId="113"/>
    <tableColumn id="6" xr3:uid="{3382DAE6-6EF2-4E1F-9F7A-7BAC21685B1D}" name="Publication Date" dataDxfId="112"/>
    <tableColumn id="7" xr3:uid="{EFCDEE35-914D-4FA6-AE4D-2CC43D0B8A6C}" name="Volume" dataDxfId="111"/>
    <tableColumn id="8" xr3:uid="{C2EC7B50-43B1-472C-A9F4-D77AD14C3EB6}" name="Issue" dataDxfId="110"/>
    <tableColumn id="9" xr3:uid="{032FBDB4-749B-400A-82D9-AFD463E904CB}" name="First Page" dataDxfId="109"/>
    <tableColumn id="10" xr3:uid="{266A3D40-FB32-4A5F-8E8D-4285B0E03A2A}" name="Page Count" dataDxfId="108"/>
    <tableColumn id="11" xr3:uid="{19CD0849-413E-4940-B830-78BF9E70B595}" name="Accession Number" dataDxfId="107"/>
    <tableColumn id="12" xr3:uid="{709BFB76-A7BB-46BF-9EAD-77BF7BCEE40B}" name="DOI" dataDxfId="106"/>
    <tableColumn id="13" xr3:uid="{043C894C-08FD-4750-9C0C-D0FDB1E4C7FD}" name="Publisher" dataDxfId="105"/>
    <tableColumn id="14" xr3:uid="{69475AD5-8A36-44FC-B053-1E569B540182}" name="Doctype" dataDxfId="104"/>
    <tableColumn id="15" xr3:uid="{8AA0CA37-20A5-43AB-9D65-9AAB60D803E3}" name="Subjects" dataDxfId="103"/>
    <tableColumn id="16" xr3:uid="{043F4927-7B27-4371-904B-49B9258D0E7B}" name="Keywords" dataDxfId="102"/>
    <tableColumn id="17" xr3:uid="{1BAC37A0-6DCD-4F6F-B447-5A32EFE7F38C}" name="Abstract" dataDxfId="101"/>
    <tableColumn id="18" xr3:uid="{320C4617-C16F-4353-AEE9-53CBB1BF873F}" name="PLink" dataDxfId="100"/>
  </tableColumns>
  <tableStyleInfo name="TableStyleMedium6"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E0F097A2-4103-4C3B-BA8B-F5366963AE18}" name="Table18" displayName="Table18" ref="A1:R31" totalsRowShown="0" headerRowDxfId="99" dataDxfId="98">
  <autoFilter ref="A1:R31" xr:uid="{E0F097A2-4103-4C3B-BA8B-F5366963AE18}"/>
  <tableColumns count="18">
    <tableColumn id="1" xr3:uid="{183F5A92-3E0C-4753-A112-5F87DA318270}" name="Article Title" dataDxfId="97"/>
    <tableColumn id="2" xr3:uid="{992A0316-8339-4543-B5B6-66E9F4170CD3}" name="Author" dataDxfId="96"/>
    <tableColumn id="3" xr3:uid="{F942773B-EEFC-4399-A66F-33B47706563C}" name="Journal Title" dataDxfId="95"/>
    <tableColumn id="4" xr3:uid="{20665BC8-5878-46CB-9D0A-FB570372DB36}" name="ISSN" dataDxfId="94"/>
    <tableColumn id="5" xr3:uid="{96BB292B-CB4D-4084-A091-C9AB76B6904B}" name="ISBN" dataDxfId="93"/>
    <tableColumn id="6" xr3:uid="{3BF99387-D521-48CB-B372-5746B947F9F5}" name="Publication Date" dataDxfId="92"/>
    <tableColumn id="7" xr3:uid="{1F94F831-CE4B-4A91-9E88-F9A4946E6412}" name="Volume" dataDxfId="91"/>
    <tableColumn id="8" xr3:uid="{D7808876-AB3F-4396-9A34-AE7D5923FACF}" name="Issue" dataDxfId="90"/>
    <tableColumn id="9" xr3:uid="{9EEE1B1E-33E9-4E11-943E-5D8B9CB74C7D}" name="First Page" dataDxfId="89"/>
    <tableColumn id="10" xr3:uid="{E3AC0BF5-453F-439A-AAE9-7293ECF7486B}" name="Page Count" dataDxfId="88"/>
    <tableColumn id="11" xr3:uid="{3F3AEDC9-500B-4298-9068-B3DB60DF338A}" name="Accession Number" dataDxfId="87"/>
    <tableColumn id="12" xr3:uid="{CE54ED5B-9826-4C7E-9B97-1225E589A051}" name="DOI" dataDxfId="86"/>
    <tableColumn id="13" xr3:uid="{6FE93170-E6C7-4740-A504-792EA63BF563}" name="Publisher" dataDxfId="85"/>
    <tableColumn id="14" xr3:uid="{FDC8C23C-01F1-4031-BFE6-2114B8FFEFA9}" name="Doctype" dataDxfId="84"/>
    <tableColumn id="15" xr3:uid="{9BF6B050-0587-4EB4-B8AE-369BAEBD7F54}" name="Subjects" dataDxfId="83"/>
    <tableColumn id="16" xr3:uid="{EAD51873-EC71-4C5A-8F70-4C232EE80943}" name="Keywords" dataDxfId="82"/>
    <tableColumn id="17" xr3:uid="{37B1FB6D-061A-4018-B74F-93EA460F2D54}" name="Abstract" dataDxfId="81"/>
    <tableColumn id="18" xr3:uid="{357DEFFC-AF8C-4A45-B3AC-01302972434B}" name="PLink" dataDxfId="80"/>
  </tableColumns>
  <tableStyleInfo name="TableStyleMedium6"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3C4893B-A439-45EC-826C-7F0F9800DB88}" name="Table19" displayName="Table19" ref="A1:R19" totalsRowShown="0" headerRowDxfId="79" dataDxfId="78">
  <autoFilter ref="A1:R19" xr:uid="{43C4893B-A439-45EC-826C-7F0F9800DB88}"/>
  <tableColumns count="18">
    <tableColumn id="1" xr3:uid="{E630B6DD-B167-4C1A-9A89-1DAD2E78CC3F}" name="Article Title" dataDxfId="77"/>
    <tableColumn id="2" xr3:uid="{6EBB1863-747A-4AE0-98A4-6C2F1B8A478B}" name="Author" dataDxfId="76"/>
    <tableColumn id="3" xr3:uid="{90E364DC-F1E0-487A-A8B1-023A9C1F58BB}" name="Journal Title" dataDxfId="75"/>
    <tableColumn id="4" xr3:uid="{AAB486C0-96F5-46C1-B213-1F83DBA7C45C}" name="ISSN" dataDxfId="74"/>
    <tableColumn id="5" xr3:uid="{8C044D9F-A409-4B76-9CE8-8C62F05CC80F}" name="ISBN" dataDxfId="73"/>
    <tableColumn id="6" xr3:uid="{93744EC1-2372-407B-BB46-9EA0BD021229}" name="Publication Date" dataDxfId="72"/>
    <tableColumn id="7" xr3:uid="{E14313CE-13EC-4964-84D1-D41EFADBE813}" name="Volume" dataDxfId="71"/>
    <tableColumn id="8" xr3:uid="{F60C3E03-3F62-44E8-BF81-B883D62763FE}" name="Issue" dataDxfId="70"/>
    <tableColumn id="9" xr3:uid="{7A0F6769-5666-467C-8576-779DEAD70439}" name="First Page" dataDxfId="69"/>
    <tableColumn id="10" xr3:uid="{B70007E9-43EA-427B-A9C3-6FD3C93A4E50}" name="Page Count" dataDxfId="68"/>
    <tableColumn id="11" xr3:uid="{EBC1C5EF-7C6E-48AA-A11E-E95633DD3C94}" name="Accession Number" dataDxfId="67"/>
    <tableColumn id="12" xr3:uid="{680D8AC6-AABD-40DC-8840-0FC75060539C}" name="DOI" dataDxfId="66"/>
    <tableColumn id="13" xr3:uid="{4B2BA414-EC40-4F85-A09B-84D3178D3B5E}" name="Publisher" dataDxfId="65"/>
    <tableColumn id="14" xr3:uid="{D15E0342-86E6-4252-816E-ED29068BB814}" name="Doctype" dataDxfId="64"/>
    <tableColumn id="15" xr3:uid="{6BED84F7-383F-441B-B553-C4EC8A470814}" name="Subjects" dataDxfId="63"/>
    <tableColumn id="16" xr3:uid="{00506433-77DD-4236-8089-15647CD3F842}" name="Keywords" dataDxfId="62"/>
    <tableColumn id="17" xr3:uid="{73BE0CB9-C797-40EF-A98B-4AC7D60E221F}" name="Abstract" dataDxfId="61"/>
    <tableColumn id="18" xr3:uid="{08421254-0795-480C-86CE-B94BA64F3383}" name="PLink" dataDxfId="60"/>
  </tableColumns>
  <tableStyleInfo name="TableStyleMedium6"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5B5FA3DB-4DD2-49EB-911B-341B329C69DA}" name="Table20" displayName="Table20" ref="A1:R29" totalsRowShown="0" headerRowDxfId="59" dataDxfId="58">
  <autoFilter ref="A1:R29" xr:uid="{5B5FA3DB-4DD2-49EB-911B-341B329C69DA}"/>
  <tableColumns count="18">
    <tableColumn id="1" xr3:uid="{D3CDC2EC-4B88-4FEF-8F0C-DF3A0A390E3E}" name="Article Title" dataDxfId="57"/>
    <tableColumn id="2" xr3:uid="{D5DF7FCB-EE52-412A-ABC7-E74411C45652}" name="Author" dataDxfId="56"/>
    <tableColumn id="3" xr3:uid="{D08F9CFA-C40D-4A8C-9C25-E866094290E8}" name="Journal Title" dataDxfId="55"/>
    <tableColumn id="4" xr3:uid="{8A585A1D-C0CA-4012-ADBC-85327CCECD82}" name="ISSN" dataDxfId="54"/>
    <tableColumn id="5" xr3:uid="{7DF6D175-7B64-4D7F-AD8F-60DAB4EC9F68}" name="ISBN" dataDxfId="53"/>
    <tableColumn id="6" xr3:uid="{F3F4D52D-DC77-4024-BD0E-54F561A9D4F7}" name="Publication Date" dataDxfId="52"/>
    <tableColumn id="7" xr3:uid="{7AA34F01-DF23-4D29-817F-FA66B29C2E03}" name="Volume" dataDxfId="51"/>
    <tableColumn id="8" xr3:uid="{ED505059-2703-4836-868B-57D6AC773E07}" name="Issue" dataDxfId="50"/>
    <tableColumn id="9" xr3:uid="{A178E0D1-C6E2-45C8-9E0A-1331235C46E6}" name="First Page" dataDxfId="49"/>
    <tableColumn id="10" xr3:uid="{460C7727-D0C3-4F8C-AAEE-CB6657FF6795}" name="Page Count" dataDxfId="48"/>
    <tableColumn id="11" xr3:uid="{C28CCB06-EE15-4628-8B03-410FC459567A}" name="Accession Number" dataDxfId="47"/>
    <tableColumn id="12" xr3:uid="{93981314-EC77-43E1-BC69-E1169663E5C9}" name="DOI" dataDxfId="46"/>
    <tableColumn id="13" xr3:uid="{55855A6A-8458-4695-A52F-F77AB93A77B0}" name="Publisher" dataDxfId="45"/>
    <tableColumn id="14" xr3:uid="{8BEE6DEF-2E92-40BE-8956-029E21035E8D}" name="Doctype" dataDxfId="44"/>
    <tableColumn id="15" xr3:uid="{D915B221-10B4-45A8-8BB7-9DDEDBD04A37}" name="Subjects" dataDxfId="43"/>
    <tableColumn id="16" xr3:uid="{A6A6C657-ED21-4738-81C5-36FD9A00003D}" name="Keywords" dataDxfId="42"/>
    <tableColumn id="17" xr3:uid="{CB9A8D93-AF8A-4FF2-A6FE-37503FC7206B}" name="Abstract" dataDxfId="41"/>
    <tableColumn id="18" xr3:uid="{13D1AD10-1456-494F-B516-C54F765B5B21}" name="PLink" dataDxfId="40"/>
  </tableColumns>
  <tableStyleInfo name="TableStyleMedium6"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A1F52A-9EE3-44AE-B4D6-B3DDCC1766E8}" name="Table11" displayName="Table11" ref="A1:R45" totalsRowShown="0" headerRowDxfId="39" dataDxfId="38">
  <autoFilter ref="A1:R45" xr:uid="{B9A1F52A-9EE3-44AE-B4D6-B3DDCC1766E8}"/>
  <tableColumns count="18">
    <tableColumn id="1" xr3:uid="{F06DC7E7-733F-4191-BD5F-4E10F578C228}" name="Article Title" dataDxfId="37"/>
    <tableColumn id="2" xr3:uid="{E42EEDD0-9C72-4056-A8A1-CB8EA52DF418}" name="Author" dataDxfId="36"/>
    <tableColumn id="3" xr3:uid="{161F3863-E5BD-4ED4-97C0-850F3219123E}" name="Journal Title" dataDxfId="35"/>
    <tableColumn id="4" xr3:uid="{3826C9D5-299C-4665-B72E-CED720CFBB38}" name="ISSN" dataDxfId="34"/>
    <tableColumn id="5" xr3:uid="{548A2214-050D-4259-88B5-7F6AE571D24D}" name="ISBN" dataDxfId="33"/>
    <tableColumn id="6" xr3:uid="{C8DC6872-781C-4711-801F-A11166489166}" name="Publication Date" dataDxfId="32"/>
    <tableColumn id="7" xr3:uid="{42592799-A8FA-4B5A-8827-9A97DBC584DD}" name="Volume" dataDxfId="31"/>
    <tableColumn id="8" xr3:uid="{59681611-1E39-45E2-9B87-B1BAA211B0F3}" name="Issue" dataDxfId="30"/>
    <tableColumn id="9" xr3:uid="{9C73CAA7-4DF0-4565-9632-A01CDCEF6A94}" name="First Page" dataDxfId="29"/>
    <tableColumn id="10" xr3:uid="{0520A01F-463E-4344-9907-7DBD79318CAA}" name="Page Count" dataDxfId="28"/>
    <tableColumn id="11" xr3:uid="{829FA2C2-B65C-4EA1-ABA0-D89BBB6AB8A9}" name="Accession Number" dataDxfId="27"/>
    <tableColumn id="12" xr3:uid="{476E3C51-F9CB-4323-B5E4-F119400D9903}" name="DOI" dataDxfId="26"/>
    <tableColumn id="13" xr3:uid="{D62FA7E9-7715-4407-9756-7667ABCACBC6}" name="Publisher" dataDxfId="25"/>
    <tableColumn id="14" xr3:uid="{B1140594-257C-4908-A98E-69CE03669163}" name="Doctype" dataDxfId="24"/>
    <tableColumn id="15" xr3:uid="{29E14503-5BCD-47F1-88DA-A5BD5D0AFFFB}" name="Subjects" dataDxfId="23"/>
    <tableColumn id="16" xr3:uid="{D58E250A-0782-40DD-B5FF-65FAE08E029D}" name="Keywords" dataDxfId="22"/>
    <tableColumn id="17" xr3:uid="{3B0F4D52-6BCE-48D9-9171-F7C174691490}" name="Abstract" dataDxfId="21"/>
    <tableColumn id="18" xr3:uid="{BCEE117C-278A-4B0E-9757-9DBCB43DF755}" name="PLink" dataDxfId="20"/>
  </tableColumns>
  <tableStyleInfo name="TableStyleMedium6"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C455F53-0541-4718-991A-EE3BD0ED5FDD}" name="Table13" displayName="Table13" ref="A1:R22" totalsRowShown="0" headerRowDxfId="19" dataDxfId="18">
  <autoFilter ref="A1:R22" xr:uid="{AC455F53-0541-4718-991A-EE3BD0ED5FDD}"/>
  <tableColumns count="18">
    <tableColumn id="1" xr3:uid="{F41325DD-289C-4F5F-BB17-67900CFCFFD0}" name="Article Title" dataDxfId="17"/>
    <tableColumn id="2" xr3:uid="{5648698A-6181-493F-A837-6E38B2899A93}" name="Author" dataDxfId="16"/>
    <tableColumn id="3" xr3:uid="{57F2B301-9347-4FEC-B111-20D835FD459D}" name="Journal Title" dataDxfId="15"/>
    <tableColumn id="4" xr3:uid="{CBAD0748-28DD-4A58-87D4-DF4D48742DB3}" name="ISSN" dataDxfId="14"/>
    <tableColumn id="5" xr3:uid="{F6F04693-E426-4EEC-9D1B-02AB0D3AC992}" name="ISBN" dataDxfId="13"/>
    <tableColumn id="6" xr3:uid="{1BDDAE5F-8031-4ACC-848A-B05DCD4E2196}" name="Publication Date" dataDxfId="12"/>
    <tableColumn id="7" xr3:uid="{C74B1A8B-F421-4E2A-B302-ED54A1183F0E}" name="Volume" dataDxfId="11"/>
    <tableColumn id="8" xr3:uid="{A20D8E80-FEED-45E5-935F-2A17A818CCA6}" name="Issue" dataDxfId="10"/>
    <tableColumn id="9" xr3:uid="{764014DB-2006-4B73-BCD0-E6D5435C2196}" name="First Page" dataDxfId="9"/>
    <tableColumn id="10" xr3:uid="{00C76799-8F30-4CEA-A735-63BB875A32ED}" name="Page Count" dataDxfId="8"/>
    <tableColumn id="11" xr3:uid="{146DD544-BF36-4A65-861D-3A9233E3B642}" name="Accession Number" dataDxfId="7"/>
    <tableColumn id="12" xr3:uid="{040FCA13-16B0-4893-9BD9-BEC7850CD757}" name="DOI" dataDxfId="6"/>
    <tableColumn id="13" xr3:uid="{03AE38CF-6724-4D41-A783-313E9515B711}" name="Publisher" dataDxfId="5"/>
    <tableColumn id="14" xr3:uid="{75A3CE9C-C37E-4345-81A9-5CF1DC68113C}" name="Doctype" dataDxfId="4"/>
    <tableColumn id="15" xr3:uid="{32B94DA3-78F8-4E8D-AA61-05D1A215B960}" name="Subjects" dataDxfId="3"/>
    <tableColumn id="16" xr3:uid="{BAADB832-48E9-400F-B523-C91E80A0B16B}" name="Keywords" dataDxfId="2"/>
    <tableColumn id="17" xr3:uid="{E7BD9D50-5154-4C38-93D6-241070D8096D}" name="Abstract" dataDxfId="1"/>
    <tableColumn id="18" xr3:uid="{C7A073D4-A92F-45BB-99D9-B7649254D12D}" name="PLink" dataDxfId="0"/>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search.ebscohost.com/login.aspx?direct=true&amp;db=mdc&amp;AN=37100924&amp;site=ehost-live" TargetMode="External"/><Relationship Id="rId1" Type="http://schemas.openxmlformats.org/officeDocument/2006/relationships/hyperlink" Target="https://search.ebscohost.com/login.aspx?direct=true&amp;db=s3h&amp;AN=172868573&amp;site=ehost-live"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s://search.ebscohost.com/login.aspx?direct=true&amp;db=mdc&amp;AN=34379572&amp;site=ehost-live" TargetMode="External"/><Relationship Id="rId18" Type="http://schemas.openxmlformats.org/officeDocument/2006/relationships/hyperlink" Target="https://search.ebscohost.com/login.aspx?direct=true&amp;db=mdc&amp;AN=35142563&amp;site=ehost-live" TargetMode="External"/><Relationship Id="rId26" Type="http://schemas.openxmlformats.org/officeDocument/2006/relationships/hyperlink" Target="https://search.ebscohost.com/login.aspx?direct=true&amp;db=mdc&amp;AN=34981575&amp;site=ehost-live" TargetMode="External"/><Relationship Id="rId39" Type="http://schemas.openxmlformats.org/officeDocument/2006/relationships/hyperlink" Target="https://search.ebscohost.com/login.aspx?direct=true&amp;db=mdc&amp;AN=36121825&amp;site=ehost-live" TargetMode="External"/><Relationship Id="rId21" Type="http://schemas.openxmlformats.org/officeDocument/2006/relationships/hyperlink" Target="https://search.ebscohost.com/login.aspx?direct=true&amp;db=mdc&amp;AN=31573403&amp;site=ehost-live" TargetMode="External"/><Relationship Id="rId34" Type="http://schemas.openxmlformats.org/officeDocument/2006/relationships/hyperlink" Target="https://search.ebscohost.com/login.aspx?direct=true&amp;db=mdc&amp;AN=35565896&amp;site=ehost-live" TargetMode="External"/><Relationship Id="rId42" Type="http://schemas.openxmlformats.org/officeDocument/2006/relationships/hyperlink" Target="https://search.ebscohost.com/login.aspx?direct=true&amp;db=mdc&amp;AN=34734400&amp;site=ehost-live" TargetMode="External"/><Relationship Id="rId47" Type="http://schemas.openxmlformats.org/officeDocument/2006/relationships/hyperlink" Target="https://search.ebscohost.com/login.aspx?direct=true&amp;db=mdc&amp;AN=34537801&amp;site=ehost-live" TargetMode="External"/><Relationship Id="rId50" Type="http://schemas.openxmlformats.org/officeDocument/2006/relationships/hyperlink" Target="https://search.ebscohost.com/login.aspx?direct=true&amp;db=mdc&amp;AN=36272061&amp;site=ehost-live" TargetMode="External"/><Relationship Id="rId55" Type="http://schemas.openxmlformats.org/officeDocument/2006/relationships/table" Target="../tables/table1.xml"/><Relationship Id="rId7" Type="http://schemas.openxmlformats.org/officeDocument/2006/relationships/hyperlink" Target="https://search.ebscohost.com/login.aspx?direct=true&amp;db=mdc&amp;AN=36202885&amp;site=ehost-live" TargetMode="External"/><Relationship Id="rId2" Type="http://schemas.openxmlformats.org/officeDocument/2006/relationships/hyperlink" Target="https://search.ebscohost.com/login.aspx?direct=true&amp;db=mdc&amp;AN=35286617&amp;site=ehost-live" TargetMode="External"/><Relationship Id="rId16" Type="http://schemas.openxmlformats.org/officeDocument/2006/relationships/hyperlink" Target="https://search.ebscohost.com/login.aspx?direct=true&amp;db=mdc&amp;AN=36228482&amp;site=ehost-live" TargetMode="External"/><Relationship Id="rId29" Type="http://schemas.openxmlformats.org/officeDocument/2006/relationships/hyperlink" Target="https://search.ebscohost.com/login.aspx?direct=true&amp;db=mdc&amp;AN=35592544&amp;site=ehost-live" TargetMode="External"/><Relationship Id="rId11" Type="http://schemas.openxmlformats.org/officeDocument/2006/relationships/hyperlink" Target="https://search.ebscohost.com/login.aspx?direct=true&amp;db=mdc&amp;AN=34767655&amp;site=ehost-live" TargetMode="External"/><Relationship Id="rId24" Type="http://schemas.openxmlformats.org/officeDocument/2006/relationships/hyperlink" Target="https://search.ebscohost.com/login.aspx?direct=true&amp;db=mdc&amp;AN=35168200&amp;site=ehost-live" TargetMode="External"/><Relationship Id="rId32" Type="http://schemas.openxmlformats.org/officeDocument/2006/relationships/hyperlink" Target="https://search.ebscohost.com/login.aspx?direct=true&amp;db=mdc&amp;AN=35725689&amp;site=ehost-live" TargetMode="External"/><Relationship Id="rId37" Type="http://schemas.openxmlformats.org/officeDocument/2006/relationships/hyperlink" Target="https://search.ebscohost.com/login.aspx?direct=true&amp;db=mdc&amp;AN=35505980&amp;site=ehost-live" TargetMode="External"/><Relationship Id="rId40" Type="http://schemas.openxmlformats.org/officeDocument/2006/relationships/hyperlink" Target="https://search.ebscohost.com/login.aspx?direct=true&amp;db=mdc&amp;AN=35606094&amp;site=ehost-live" TargetMode="External"/><Relationship Id="rId45" Type="http://schemas.openxmlformats.org/officeDocument/2006/relationships/hyperlink" Target="https://search.ebscohost.com/login.aspx?direct=true&amp;db=mdc&amp;AN=35239063&amp;site=ehost-live" TargetMode="External"/><Relationship Id="rId53" Type="http://schemas.openxmlformats.org/officeDocument/2006/relationships/hyperlink" Target="https://search.ebscohost.com/login.aspx?direct=true&amp;db=mdc&amp;AN=36545815&amp;site=ehost-live" TargetMode="External"/><Relationship Id="rId5" Type="http://schemas.openxmlformats.org/officeDocument/2006/relationships/hyperlink" Target="https://search.ebscohost.com/login.aspx?direct=true&amp;db=mdc&amp;AN=33065706&amp;site=ehost-live" TargetMode="External"/><Relationship Id="rId10" Type="http://schemas.openxmlformats.org/officeDocument/2006/relationships/hyperlink" Target="https://search.ebscohost.com/login.aspx?direct=true&amp;db=mdc&amp;AN=35965450&amp;site=ehost-live" TargetMode="External"/><Relationship Id="rId19" Type="http://schemas.openxmlformats.org/officeDocument/2006/relationships/hyperlink" Target="https://search.ebscohost.com/login.aspx?direct=true&amp;db=mdc&amp;AN=34905181&amp;site=ehost-live" TargetMode="External"/><Relationship Id="rId31" Type="http://schemas.openxmlformats.org/officeDocument/2006/relationships/hyperlink" Target="https://search.ebscohost.com/login.aspx?direct=true&amp;db=mdc&amp;AN=35130515&amp;site=ehost-live" TargetMode="External"/><Relationship Id="rId44" Type="http://schemas.openxmlformats.org/officeDocument/2006/relationships/hyperlink" Target="https://search.ebscohost.com/login.aspx?direct=true&amp;db=mdc&amp;AN=34687439&amp;site=ehost-live" TargetMode="External"/><Relationship Id="rId52" Type="http://schemas.openxmlformats.org/officeDocument/2006/relationships/hyperlink" Target="https://search.ebscohost.com/login.aspx?direct=true&amp;db=mdc&amp;AN=36254725&amp;site=ehost-live" TargetMode="External"/><Relationship Id="rId4" Type="http://schemas.openxmlformats.org/officeDocument/2006/relationships/hyperlink" Target="https://search.ebscohost.com/login.aspx?direct=true&amp;db=mdc&amp;AN=35267928&amp;site=ehost-live" TargetMode="External"/><Relationship Id="rId9" Type="http://schemas.openxmlformats.org/officeDocument/2006/relationships/hyperlink" Target="https://search.ebscohost.com/login.aspx?direct=true&amp;db=mdc&amp;AN=34556402&amp;site=ehost-live" TargetMode="External"/><Relationship Id="rId14" Type="http://schemas.openxmlformats.org/officeDocument/2006/relationships/hyperlink" Target="https://search.ebscohost.com/login.aspx?direct=true&amp;db=mdc&amp;AN=35031236&amp;site=ehost-live" TargetMode="External"/><Relationship Id="rId22" Type="http://schemas.openxmlformats.org/officeDocument/2006/relationships/hyperlink" Target="https://search.ebscohost.com/login.aspx?direct=true&amp;db=mdc&amp;AN=34844151&amp;site=ehost-live" TargetMode="External"/><Relationship Id="rId27" Type="http://schemas.openxmlformats.org/officeDocument/2006/relationships/hyperlink" Target="https://search.ebscohost.com/login.aspx?direct=true&amp;db=mdc&amp;AN=35792942&amp;site=ehost-live" TargetMode="External"/><Relationship Id="rId30" Type="http://schemas.openxmlformats.org/officeDocument/2006/relationships/hyperlink" Target="https://search.ebscohost.com/login.aspx?direct=true&amp;db=mdc&amp;AN=32218063&amp;site=ehost-live" TargetMode="External"/><Relationship Id="rId35" Type="http://schemas.openxmlformats.org/officeDocument/2006/relationships/hyperlink" Target="https://search.ebscohost.com/login.aspx?direct=true&amp;db=mdc&amp;AN=34554425&amp;site=ehost-live" TargetMode="External"/><Relationship Id="rId43" Type="http://schemas.openxmlformats.org/officeDocument/2006/relationships/hyperlink" Target="https://search.ebscohost.com/login.aspx?direct=true&amp;db=mdc&amp;AN=36065960&amp;site=ehost-live" TargetMode="External"/><Relationship Id="rId48" Type="http://schemas.openxmlformats.org/officeDocument/2006/relationships/hyperlink" Target="https://search.ebscohost.com/login.aspx?direct=true&amp;db=mdc&amp;AN=33795602&amp;site=ehost-live" TargetMode="External"/><Relationship Id="rId8" Type="http://schemas.openxmlformats.org/officeDocument/2006/relationships/hyperlink" Target="https://search.ebscohost.com/login.aspx?direct=true&amp;db=mdc&amp;AN=35292671&amp;site=ehost-live" TargetMode="External"/><Relationship Id="rId51" Type="http://schemas.openxmlformats.org/officeDocument/2006/relationships/hyperlink" Target="https://search.ebscohost.com/login.aspx?direct=true&amp;db=mdc&amp;AN=36408795&amp;site=ehost-live" TargetMode="External"/><Relationship Id="rId3" Type="http://schemas.openxmlformats.org/officeDocument/2006/relationships/hyperlink" Target="https://search.ebscohost.com/login.aspx?direct=true&amp;db=mdc&amp;AN=35894962&amp;site=ehost-live" TargetMode="External"/><Relationship Id="rId12" Type="http://schemas.openxmlformats.org/officeDocument/2006/relationships/hyperlink" Target="https://search.ebscohost.com/login.aspx?direct=true&amp;db=mdc&amp;AN=32947574&amp;site=ehost-live" TargetMode="External"/><Relationship Id="rId17" Type="http://schemas.openxmlformats.org/officeDocument/2006/relationships/hyperlink" Target="https://search.ebscohost.com/login.aspx?direct=true&amp;db=mdc&amp;AN=35192078&amp;site=ehost-live" TargetMode="External"/><Relationship Id="rId25" Type="http://schemas.openxmlformats.org/officeDocument/2006/relationships/hyperlink" Target="https://search.ebscohost.com/login.aspx?direct=true&amp;db=mdc&amp;AN=36137920&amp;site=ehost-live" TargetMode="External"/><Relationship Id="rId33" Type="http://schemas.openxmlformats.org/officeDocument/2006/relationships/hyperlink" Target="https://search.ebscohost.com/login.aspx?direct=true&amp;db=mdc&amp;AN=36118450&amp;site=ehost-live" TargetMode="External"/><Relationship Id="rId38" Type="http://schemas.openxmlformats.org/officeDocument/2006/relationships/hyperlink" Target="https://search.ebscohost.com/login.aspx?direct=true&amp;db=mdc&amp;AN=33858296&amp;site=ehost-live" TargetMode="External"/><Relationship Id="rId46" Type="http://schemas.openxmlformats.org/officeDocument/2006/relationships/hyperlink" Target="https://search.ebscohost.com/login.aspx?direct=true&amp;db=mdc&amp;AN=35959341&amp;site=ehost-live" TargetMode="External"/><Relationship Id="rId20" Type="http://schemas.openxmlformats.org/officeDocument/2006/relationships/hyperlink" Target="https://search.ebscohost.com/login.aspx?direct=true&amp;db=mdc&amp;AN=36014878&amp;site=ehost-live" TargetMode="External"/><Relationship Id="rId41" Type="http://schemas.openxmlformats.org/officeDocument/2006/relationships/hyperlink" Target="https://search.ebscohost.com/login.aspx?direct=true&amp;db=mdc&amp;AN=34942596&amp;site=ehost-live" TargetMode="External"/><Relationship Id="rId54" Type="http://schemas.openxmlformats.org/officeDocument/2006/relationships/hyperlink" Target="https://search.ebscohost.com/login.aspx?direct=true&amp;db=mdc&amp;AN=36612621&amp;site=ehost-live" TargetMode="External"/><Relationship Id="rId1" Type="http://schemas.openxmlformats.org/officeDocument/2006/relationships/hyperlink" Target="https://search.ebscohost.com/login.aspx?direct=true&amp;db=mdc&amp;AN=34844896&amp;site=ehost-live" TargetMode="External"/><Relationship Id="rId6" Type="http://schemas.openxmlformats.org/officeDocument/2006/relationships/hyperlink" Target="https://search.ebscohost.com/login.aspx?direct=true&amp;db=mdc&amp;AN=33065702&amp;site=ehost-live" TargetMode="External"/><Relationship Id="rId15" Type="http://schemas.openxmlformats.org/officeDocument/2006/relationships/hyperlink" Target="https://search.ebscohost.com/login.aspx?direct=true&amp;db=mdc&amp;AN=35868988&amp;site=ehost-live" TargetMode="External"/><Relationship Id="rId23" Type="http://schemas.openxmlformats.org/officeDocument/2006/relationships/hyperlink" Target="https://search.ebscohost.com/login.aspx?direct=true&amp;db=mdc&amp;AN=35027320&amp;site=ehost-live" TargetMode="External"/><Relationship Id="rId28" Type="http://schemas.openxmlformats.org/officeDocument/2006/relationships/hyperlink" Target="https://search.ebscohost.com/login.aspx?direct=true&amp;db=mdc&amp;AN=35167999&amp;site=ehost-live" TargetMode="External"/><Relationship Id="rId36" Type="http://schemas.openxmlformats.org/officeDocument/2006/relationships/hyperlink" Target="https://search.ebscohost.com/login.aspx?direct=true&amp;db=mdc&amp;AN=35718681&amp;site=ehost-live" TargetMode="External"/><Relationship Id="rId49" Type="http://schemas.openxmlformats.org/officeDocument/2006/relationships/hyperlink" Target="https://search.ebscohost.com/login.aspx?direct=true&amp;db=mdc&amp;AN=36264879&amp;site=ehost-live"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https://search.ebscohost.com/login.aspx?direct=true&amp;db=mdc&amp;AN=34030124&amp;site=ehost-live" TargetMode="External"/><Relationship Id="rId18" Type="http://schemas.openxmlformats.org/officeDocument/2006/relationships/hyperlink" Target="https://search.ebscohost.com/login.aspx?direct=true&amp;db=mdc&amp;AN=34039771&amp;site=ehost-live" TargetMode="External"/><Relationship Id="rId26" Type="http://schemas.openxmlformats.org/officeDocument/2006/relationships/hyperlink" Target="https://search.ebscohost.com/login.aspx?direct=true&amp;db=mdc&amp;AN=30418327&amp;site=ehost-live" TargetMode="External"/><Relationship Id="rId39" Type="http://schemas.openxmlformats.org/officeDocument/2006/relationships/hyperlink" Target="https://search.ebscohost.com/login.aspx?direct=true&amp;db=mdc&amp;AN=34415922&amp;site=ehost-live" TargetMode="External"/><Relationship Id="rId21" Type="http://schemas.openxmlformats.org/officeDocument/2006/relationships/hyperlink" Target="https://search.ebscohost.com/login.aspx?direct=true&amp;db=mdc&amp;AN=33754081&amp;site=ehost-live" TargetMode="External"/><Relationship Id="rId34" Type="http://schemas.openxmlformats.org/officeDocument/2006/relationships/hyperlink" Target="https://search.ebscohost.com/login.aspx?direct=true&amp;db=mdc&amp;AN=33429072&amp;site=ehost-live" TargetMode="External"/><Relationship Id="rId42" Type="http://schemas.openxmlformats.org/officeDocument/2006/relationships/hyperlink" Target="https://search.ebscohost.com/login.aspx?direct=true&amp;db=mdc&amp;AN=33383570&amp;site=ehost-live" TargetMode="External"/><Relationship Id="rId47" Type="http://schemas.openxmlformats.org/officeDocument/2006/relationships/hyperlink" Target="https://search.ebscohost.com/login.aspx?direct=true&amp;db=mdc&amp;AN=34371881&amp;site=ehost-live" TargetMode="External"/><Relationship Id="rId7" Type="http://schemas.openxmlformats.org/officeDocument/2006/relationships/hyperlink" Target="https://search.ebscohost.com/login.aspx?direct=true&amp;db=mdc&amp;AN=32073475&amp;site=ehost-live" TargetMode="External"/><Relationship Id="rId2" Type="http://schemas.openxmlformats.org/officeDocument/2006/relationships/hyperlink" Target="https://search.ebscohost.com/login.aspx?direct=true&amp;db=mdc&amp;AN=34537801&amp;site=ehost-live" TargetMode="External"/><Relationship Id="rId16" Type="http://schemas.openxmlformats.org/officeDocument/2006/relationships/hyperlink" Target="https://search.ebscohost.com/login.aspx?direct=true&amp;db=mdc&amp;AN=34427796&amp;site=ehost-live" TargetMode="External"/><Relationship Id="rId29" Type="http://schemas.openxmlformats.org/officeDocument/2006/relationships/hyperlink" Target="https://search.ebscohost.com/login.aspx?direct=true&amp;db=mdc&amp;AN=32358802&amp;site=ehost-live" TargetMode="External"/><Relationship Id="rId11" Type="http://schemas.openxmlformats.org/officeDocument/2006/relationships/hyperlink" Target="https://search.ebscohost.com/login.aspx?direct=true&amp;db=mdc&amp;AN=34867462&amp;site=ehost-live" TargetMode="External"/><Relationship Id="rId24" Type="http://schemas.openxmlformats.org/officeDocument/2006/relationships/hyperlink" Target="https://search.ebscohost.com/login.aspx?direct=true&amp;db=mdc&amp;AN=33140693&amp;site=ehost-live" TargetMode="External"/><Relationship Id="rId32" Type="http://schemas.openxmlformats.org/officeDocument/2006/relationships/hyperlink" Target="https://search.ebscohost.com/login.aspx?direct=true&amp;db=mdc&amp;AN=34181189&amp;site=ehost-live" TargetMode="External"/><Relationship Id="rId37" Type="http://schemas.openxmlformats.org/officeDocument/2006/relationships/hyperlink" Target="https://search.ebscohost.com/login.aspx?direct=true&amp;db=mdc&amp;AN=33199358&amp;site=ehost-live" TargetMode="External"/><Relationship Id="rId40" Type="http://schemas.openxmlformats.org/officeDocument/2006/relationships/hyperlink" Target="https://search.ebscohost.com/login.aspx?direct=true&amp;db=mdc&amp;AN=33845276&amp;site=ehost-live" TargetMode="External"/><Relationship Id="rId45" Type="http://schemas.openxmlformats.org/officeDocument/2006/relationships/hyperlink" Target="https://search.ebscohost.com/login.aspx?direct=true&amp;db=mdc&amp;AN=34402417&amp;site=ehost-live" TargetMode="External"/><Relationship Id="rId5" Type="http://schemas.openxmlformats.org/officeDocument/2006/relationships/hyperlink" Target="https://search.ebscohost.com/login.aspx?direct=true&amp;db=mdc&amp;AN=33795602&amp;site=ehost-live" TargetMode="External"/><Relationship Id="rId15" Type="http://schemas.openxmlformats.org/officeDocument/2006/relationships/hyperlink" Target="https://search.ebscohost.com/login.aspx?direct=true&amp;db=mdc&amp;AN=32023202&amp;site=ehost-live" TargetMode="External"/><Relationship Id="rId23" Type="http://schemas.openxmlformats.org/officeDocument/2006/relationships/hyperlink" Target="https://search.ebscohost.com/login.aspx?direct=true&amp;db=mdc&amp;AN=33124056&amp;site=ehost-live" TargetMode="External"/><Relationship Id="rId28" Type="http://schemas.openxmlformats.org/officeDocument/2006/relationships/hyperlink" Target="https://search.ebscohost.com/login.aspx?direct=true&amp;db=mdc&amp;AN=33187881&amp;site=ehost-live" TargetMode="External"/><Relationship Id="rId36" Type="http://schemas.openxmlformats.org/officeDocument/2006/relationships/hyperlink" Target="https://search.ebscohost.com/login.aspx?direct=true&amp;db=mdc&amp;AN=30480477&amp;site=ehost-live" TargetMode="External"/><Relationship Id="rId49" Type="http://schemas.openxmlformats.org/officeDocument/2006/relationships/table" Target="../tables/table2.xml"/><Relationship Id="rId10" Type="http://schemas.openxmlformats.org/officeDocument/2006/relationships/hyperlink" Target="https://search.ebscohost.com/login.aspx?direct=true&amp;db=mdc&amp;AN=33585810&amp;site=ehost-live" TargetMode="External"/><Relationship Id="rId19" Type="http://schemas.openxmlformats.org/officeDocument/2006/relationships/hyperlink" Target="https://search.ebscohost.com/login.aspx?direct=true&amp;db=mdc&amp;AN=33773931&amp;site=ehost-live" TargetMode="External"/><Relationship Id="rId31" Type="http://schemas.openxmlformats.org/officeDocument/2006/relationships/hyperlink" Target="https://search.ebscohost.com/login.aspx?direct=true&amp;db=mdc&amp;AN=34444928&amp;site=ehost-live" TargetMode="External"/><Relationship Id="rId44" Type="http://schemas.openxmlformats.org/officeDocument/2006/relationships/hyperlink" Target="https://search.ebscohost.com/login.aspx?direct=true&amp;db=mdc&amp;AN=33115706&amp;site=ehost-live" TargetMode="External"/><Relationship Id="rId4" Type="http://schemas.openxmlformats.org/officeDocument/2006/relationships/hyperlink" Target="https://search.ebscohost.com/login.aspx?direct=true&amp;db=mdc&amp;AN=34649262&amp;site=ehost-live" TargetMode="External"/><Relationship Id="rId9" Type="http://schemas.openxmlformats.org/officeDocument/2006/relationships/hyperlink" Target="https://search.ebscohost.com/login.aspx?direct=true&amp;db=mdc&amp;AN=33075232&amp;site=ehost-live" TargetMode="External"/><Relationship Id="rId14" Type="http://schemas.openxmlformats.org/officeDocument/2006/relationships/hyperlink" Target="https://search.ebscohost.com/login.aspx?direct=true&amp;db=mdc&amp;AN=33969301&amp;site=ehost-live" TargetMode="External"/><Relationship Id="rId22" Type="http://schemas.openxmlformats.org/officeDocument/2006/relationships/hyperlink" Target="https://search.ebscohost.com/login.aspx?direct=true&amp;db=mdc&amp;AN=34907058&amp;site=ehost-live" TargetMode="External"/><Relationship Id="rId27" Type="http://schemas.openxmlformats.org/officeDocument/2006/relationships/hyperlink" Target="https://search.ebscohost.com/login.aspx?direct=true&amp;db=mdc&amp;AN=32868314&amp;site=ehost-live" TargetMode="External"/><Relationship Id="rId30" Type="http://schemas.openxmlformats.org/officeDocument/2006/relationships/hyperlink" Target="https://search.ebscohost.com/login.aspx?direct=true&amp;db=mdc&amp;AN=33707154&amp;site=ehost-live" TargetMode="External"/><Relationship Id="rId35" Type="http://schemas.openxmlformats.org/officeDocument/2006/relationships/hyperlink" Target="https://search.ebscohost.com/login.aspx?direct=true&amp;db=mdc&amp;AN=34732485&amp;site=ehost-live" TargetMode="External"/><Relationship Id="rId43" Type="http://schemas.openxmlformats.org/officeDocument/2006/relationships/hyperlink" Target="https://search.ebscohost.com/login.aspx?direct=true&amp;db=mdc&amp;AN=31364954&amp;site=ehost-live" TargetMode="External"/><Relationship Id="rId48" Type="http://schemas.openxmlformats.org/officeDocument/2006/relationships/hyperlink" Target="https://search.ebscohost.com/login.aspx?direct=true&amp;db=mdc&amp;AN=32962508&amp;site=ehost-live" TargetMode="External"/><Relationship Id="rId8" Type="http://schemas.openxmlformats.org/officeDocument/2006/relationships/hyperlink" Target="https://search.ebscohost.com/login.aspx?direct=true&amp;db=mdc&amp;AN=32073477&amp;site=ehost-live" TargetMode="External"/><Relationship Id="rId3" Type="http://schemas.openxmlformats.org/officeDocument/2006/relationships/hyperlink" Target="https://search.ebscohost.com/login.aspx?direct=true&amp;db=mdc&amp;AN=32697366&amp;site=ehost-live" TargetMode="External"/><Relationship Id="rId12" Type="http://schemas.openxmlformats.org/officeDocument/2006/relationships/hyperlink" Target="https://search.ebscohost.com/login.aspx?direct=true&amp;db=mdc&amp;AN=33248439&amp;site=ehost-live" TargetMode="External"/><Relationship Id="rId17" Type="http://schemas.openxmlformats.org/officeDocument/2006/relationships/hyperlink" Target="https://search.ebscohost.com/login.aspx?direct=true&amp;db=mdc&amp;AN=33341518&amp;site=ehost-live" TargetMode="External"/><Relationship Id="rId25" Type="http://schemas.openxmlformats.org/officeDocument/2006/relationships/hyperlink" Target="https://search.ebscohost.com/login.aspx?direct=true&amp;db=mdc&amp;AN=30741866&amp;site=ehost-live" TargetMode="External"/><Relationship Id="rId33" Type="http://schemas.openxmlformats.org/officeDocument/2006/relationships/hyperlink" Target="https://search.ebscohost.com/login.aspx?direct=true&amp;db=mdc&amp;AN=34189782&amp;site=ehost-live" TargetMode="External"/><Relationship Id="rId38" Type="http://schemas.openxmlformats.org/officeDocument/2006/relationships/hyperlink" Target="https://search.ebscohost.com/login.aspx?direct=true&amp;db=mdc&amp;AN=33260142&amp;site=ehost-live" TargetMode="External"/><Relationship Id="rId46" Type="http://schemas.openxmlformats.org/officeDocument/2006/relationships/hyperlink" Target="https://search.ebscohost.com/login.aspx?direct=true&amp;db=mdc&amp;AN=34284349&amp;site=ehost-live" TargetMode="External"/><Relationship Id="rId20" Type="http://schemas.openxmlformats.org/officeDocument/2006/relationships/hyperlink" Target="https://search.ebscohost.com/login.aspx?direct=true&amp;db=mdc&amp;AN=34529184&amp;site=ehost-live" TargetMode="External"/><Relationship Id="rId41" Type="http://schemas.openxmlformats.org/officeDocument/2006/relationships/hyperlink" Target="https://search.ebscohost.com/login.aspx?direct=true&amp;db=mdc&amp;AN=34314879&amp;site=ehost-live" TargetMode="External"/><Relationship Id="rId1" Type="http://schemas.openxmlformats.org/officeDocument/2006/relationships/hyperlink" Target="https://search.ebscohost.com/login.aspx?direct=true&amp;db=mdc&amp;AN=31354108&amp;site=ehost-live" TargetMode="External"/><Relationship Id="rId6" Type="http://schemas.openxmlformats.org/officeDocument/2006/relationships/hyperlink" Target="https://search.ebscohost.com/login.aspx?direct=true&amp;db=mdc&amp;AN=32816788&amp;site=ehost-live"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search.ebscohost.com/login.aspx?direct=true&amp;db=mdc&amp;AN=32544343&amp;site=ehost-live" TargetMode="External"/><Relationship Id="rId21" Type="http://schemas.openxmlformats.org/officeDocument/2006/relationships/hyperlink" Target="https://search.ebscohost.com/login.aspx?direct=true&amp;db=mdc&amp;AN=32542013&amp;site=ehost-live" TargetMode="External"/><Relationship Id="rId42" Type="http://schemas.openxmlformats.org/officeDocument/2006/relationships/hyperlink" Target="https://search.ebscohost.com/login.aspx?direct=true&amp;db=mdc&amp;AN=32623642&amp;site=ehost-live" TargetMode="External"/><Relationship Id="rId47" Type="http://schemas.openxmlformats.org/officeDocument/2006/relationships/hyperlink" Target="https://search.ebscohost.com/login.aspx?direct=true&amp;db=mdc&amp;AN=32026315&amp;site=ehost-live" TargetMode="External"/><Relationship Id="rId63" Type="http://schemas.openxmlformats.org/officeDocument/2006/relationships/hyperlink" Target="https://search.ebscohost.com/login.aspx?direct=true&amp;db=mdc&amp;AN=31766951&amp;site=ehost-live" TargetMode="External"/><Relationship Id="rId68" Type="http://schemas.openxmlformats.org/officeDocument/2006/relationships/hyperlink" Target="https://search.ebscohost.com/login.aspx?direct=true&amp;db=mdc&amp;AN=31132025&amp;site=ehost-live" TargetMode="External"/><Relationship Id="rId7" Type="http://schemas.openxmlformats.org/officeDocument/2006/relationships/hyperlink" Target="https://search.ebscohost.com/login.aspx?direct=true&amp;db=mdc&amp;AN=31526663&amp;site=ehost-live" TargetMode="External"/><Relationship Id="rId71" Type="http://schemas.openxmlformats.org/officeDocument/2006/relationships/table" Target="../tables/table3.xml"/><Relationship Id="rId2" Type="http://schemas.openxmlformats.org/officeDocument/2006/relationships/hyperlink" Target="https://search.ebscohost.com/login.aspx?direct=true&amp;db=mdc&amp;AN=31023590&amp;site=ehost-live" TargetMode="External"/><Relationship Id="rId16" Type="http://schemas.openxmlformats.org/officeDocument/2006/relationships/hyperlink" Target="https://search.ebscohost.com/login.aspx?direct=true&amp;db=mdc&amp;AN=32643546&amp;site=ehost-live" TargetMode="External"/><Relationship Id="rId29" Type="http://schemas.openxmlformats.org/officeDocument/2006/relationships/hyperlink" Target="https://search.ebscohost.com/login.aspx?direct=true&amp;db=mdc&amp;AN=32024647&amp;site=ehost-live" TargetMode="External"/><Relationship Id="rId11" Type="http://schemas.openxmlformats.org/officeDocument/2006/relationships/hyperlink" Target="https://search.ebscohost.com/login.aspx?direct=true&amp;db=mdc&amp;AN=32576495&amp;site=ehost-live" TargetMode="External"/><Relationship Id="rId24" Type="http://schemas.openxmlformats.org/officeDocument/2006/relationships/hyperlink" Target="https://search.ebscohost.com/login.aspx?direct=true&amp;db=mdc&amp;AN=32329647&amp;site=ehost-live" TargetMode="External"/><Relationship Id="rId32" Type="http://schemas.openxmlformats.org/officeDocument/2006/relationships/hyperlink" Target="https://search.ebscohost.com/login.aspx?direct=true&amp;db=mdc&amp;AN=32060142&amp;site=ehost-live" TargetMode="External"/><Relationship Id="rId37" Type="http://schemas.openxmlformats.org/officeDocument/2006/relationships/hyperlink" Target="https://search.ebscohost.com/login.aspx?direct=true&amp;db=mdc&amp;AN=31784237&amp;site=ehost-live" TargetMode="External"/><Relationship Id="rId40" Type="http://schemas.openxmlformats.org/officeDocument/2006/relationships/hyperlink" Target="https://search.ebscohost.com/login.aspx?direct=true&amp;db=mdc&amp;AN=32139349&amp;site=ehost-live" TargetMode="External"/><Relationship Id="rId45" Type="http://schemas.openxmlformats.org/officeDocument/2006/relationships/hyperlink" Target="https://search.ebscohost.com/login.aspx?direct=true&amp;db=mdc&amp;AN=32475220&amp;site=ehost-live" TargetMode="External"/><Relationship Id="rId53" Type="http://schemas.openxmlformats.org/officeDocument/2006/relationships/hyperlink" Target="https://search.ebscohost.com/login.aspx?direct=true&amp;db=mdc&amp;AN=32853111&amp;site=ehost-live" TargetMode="External"/><Relationship Id="rId58" Type="http://schemas.openxmlformats.org/officeDocument/2006/relationships/hyperlink" Target="https://search.ebscohost.com/login.aspx?direct=true&amp;db=mdc&amp;AN=32661127&amp;site=ehost-live" TargetMode="External"/><Relationship Id="rId66" Type="http://schemas.openxmlformats.org/officeDocument/2006/relationships/hyperlink" Target="https://search.ebscohost.com/login.aspx?direct=true&amp;db=mdc&amp;AN=30844983&amp;site=ehost-live" TargetMode="External"/><Relationship Id="rId5" Type="http://schemas.openxmlformats.org/officeDocument/2006/relationships/hyperlink" Target="https://search.ebscohost.com/login.aspx?direct=true&amp;db=mdc&amp;AN=31704027&amp;site=ehost-live" TargetMode="External"/><Relationship Id="rId61" Type="http://schemas.openxmlformats.org/officeDocument/2006/relationships/hyperlink" Target="https://search.ebscohost.com/login.aspx?direct=true&amp;db=mdc&amp;AN=32973544&amp;site=ehost-live" TargetMode="External"/><Relationship Id="rId19" Type="http://schemas.openxmlformats.org/officeDocument/2006/relationships/hyperlink" Target="https://search.ebscohost.com/login.aspx?direct=true&amp;db=mdc&amp;AN=32497061&amp;site=ehost-live" TargetMode="External"/><Relationship Id="rId14" Type="http://schemas.openxmlformats.org/officeDocument/2006/relationships/hyperlink" Target="https://search.ebscohost.com/login.aspx?direct=true&amp;db=mdc&amp;AN=31918624&amp;site=ehost-live" TargetMode="External"/><Relationship Id="rId22" Type="http://schemas.openxmlformats.org/officeDocument/2006/relationships/hyperlink" Target="https://search.ebscohost.com/login.aspx?direct=true&amp;db=mdc&amp;AN=32045882&amp;site=ehost-live" TargetMode="External"/><Relationship Id="rId27" Type="http://schemas.openxmlformats.org/officeDocument/2006/relationships/hyperlink" Target="https://search.ebscohost.com/login.aspx?direct=true&amp;db=mdc&amp;AN=33345086&amp;site=ehost-live" TargetMode="External"/><Relationship Id="rId30" Type="http://schemas.openxmlformats.org/officeDocument/2006/relationships/hyperlink" Target="https://search.ebscohost.com/login.aspx?direct=true&amp;db=mdc&amp;AN=31399426&amp;site=ehost-live" TargetMode="External"/><Relationship Id="rId35" Type="http://schemas.openxmlformats.org/officeDocument/2006/relationships/hyperlink" Target="https://search.ebscohost.com/login.aspx?direct=true&amp;db=mdc&amp;AN=31629353&amp;site=ehost-live" TargetMode="External"/><Relationship Id="rId43" Type="http://schemas.openxmlformats.org/officeDocument/2006/relationships/hyperlink" Target="https://search.ebscohost.com/login.aspx?direct=true&amp;db=mdc&amp;AN=30113917&amp;site=ehost-live" TargetMode="External"/><Relationship Id="rId48" Type="http://schemas.openxmlformats.org/officeDocument/2006/relationships/hyperlink" Target="https://search.ebscohost.com/login.aspx?direct=true&amp;db=mdc&amp;AN=29985224&amp;site=ehost-live" TargetMode="External"/><Relationship Id="rId56" Type="http://schemas.openxmlformats.org/officeDocument/2006/relationships/hyperlink" Target="https://search.ebscohost.com/login.aspx?direct=true&amp;db=mdc&amp;AN=32054321&amp;site=ehost-live" TargetMode="External"/><Relationship Id="rId64" Type="http://schemas.openxmlformats.org/officeDocument/2006/relationships/hyperlink" Target="https://search.ebscohost.com/login.aspx?direct=true&amp;db=mdc&amp;AN=32622328&amp;site=ehost-live" TargetMode="External"/><Relationship Id="rId69" Type="http://schemas.openxmlformats.org/officeDocument/2006/relationships/hyperlink" Target="https://search.ebscohost.com/login.aspx?direct=true&amp;db=mdc&amp;AN=31696778&amp;site=ehost-live" TargetMode="External"/><Relationship Id="rId8" Type="http://schemas.openxmlformats.org/officeDocument/2006/relationships/hyperlink" Target="https://search.ebscohost.com/login.aspx?direct=true&amp;db=mdc&amp;AN=32122274&amp;site=ehost-live" TargetMode="External"/><Relationship Id="rId51" Type="http://schemas.openxmlformats.org/officeDocument/2006/relationships/hyperlink" Target="https://search.ebscohost.com/login.aspx?direct=true&amp;db=mdc&amp;AN=31959675&amp;site=ehost-live" TargetMode="External"/><Relationship Id="rId3" Type="http://schemas.openxmlformats.org/officeDocument/2006/relationships/hyperlink" Target="https://search.ebscohost.com/login.aspx?direct=true&amp;db=mdc&amp;AN=32561755&amp;site=ehost-live" TargetMode="External"/><Relationship Id="rId12" Type="http://schemas.openxmlformats.org/officeDocument/2006/relationships/hyperlink" Target="https://search.ebscohost.com/login.aspx?direct=true&amp;db=mdc&amp;AN=31092119&amp;site=ehost-live" TargetMode="External"/><Relationship Id="rId17" Type="http://schemas.openxmlformats.org/officeDocument/2006/relationships/hyperlink" Target="https://search.ebscohost.com/login.aspx?direct=true&amp;db=mdc&amp;AN=31512552&amp;site=ehost-live" TargetMode="External"/><Relationship Id="rId25" Type="http://schemas.openxmlformats.org/officeDocument/2006/relationships/hyperlink" Target="https://search.ebscohost.com/login.aspx?direct=true&amp;db=mdc&amp;AN=32586943&amp;site=ehost-live" TargetMode="External"/><Relationship Id="rId33" Type="http://schemas.openxmlformats.org/officeDocument/2006/relationships/hyperlink" Target="https://search.ebscohost.com/login.aspx?direct=true&amp;db=mdc&amp;AN=32416971&amp;site=ehost-live" TargetMode="External"/><Relationship Id="rId38" Type="http://schemas.openxmlformats.org/officeDocument/2006/relationships/hyperlink" Target="https://search.ebscohost.com/login.aspx?direct=true&amp;db=mdc&amp;AN=32032235&amp;site=ehost-live" TargetMode="External"/><Relationship Id="rId46" Type="http://schemas.openxmlformats.org/officeDocument/2006/relationships/hyperlink" Target="https://search.ebscohost.com/login.aspx?direct=true&amp;db=mdc&amp;AN=33345177&amp;site=ehost-live" TargetMode="External"/><Relationship Id="rId59" Type="http://schemas.openxmlformats.org/officeDocument/2006/relationships/hyperlink" Target="https://search.ebscohost.com/login.aspx?direct=true&amp;db=mdc&amp;AN=32451268&amp;site=ehost-live" TargetMode="External"/><Relationship Id="rId67" Type="http://schemas.openxmlformats.org/officeDocument/2006/relationships/hyperlink" Target="https://search.ebscohost.com/login.aspx?direct=true&amp;db=mdc&amp;AN=32522401&amp;site=ehost-live" TargetMode="External"/><Relationship Id="rId20" Type="http://schemas.openxmlformats.org/officeDocument/2006/relationships/hyperlink" Target="https://search.ebscohost.com/login.aspx?direct=true&amp;db=mdc&amp;AN=32389611&amp;site=ehost-live" TargetMode="External"/><Relationship Id="rId41" Type="http://schemas.openxmlformats.org/officeDocument/2006/relationships/hyperlink" Target="https://search.ebscohost.com/login.aspx?direct=true&amp;db=mdc&amp;AN=31079552&amp;site=ehost-live" TargetMode="External"/><Relationship Id="rId54" Type="http://schemas.openxmlformats.org/officeDocument/2006/relationships/hyperlink" Target="https://search.ebscohost.com/login.aspx?direct=true&amp;db=mdc&amp;AN=31891914&amp;site=ehost-live" TargetMode="External"/><Relationship Id="rId62" Type="http://schemas.openxmlformats.org/officeDocument/2006/relationships/hyperlink" Target="https://search.ebscohost.com/login.aspx?direct=true&amp;db=mdc&amp;AN=31955652&amp;site=ehost-live" TargetMode="External"/><Relationship Id="rId70" Type="http://schemas.openxmlformats.org/officeDocument/2006/relationships/hyperlink" Target="https://search.ebscohost.com/login.aspx?direct=true&amp;db=mdc&amp;AN=31938581&amp;site=ehost-live" TargetMode="External"/><Relationship Id="rId1" Type="http://schemas.openxmlformats.org/officeDocument/2006/relationships/hyperlink" Target="https://search.ebscohost.com/login.aspx?direct=true&amp;db=mdc&amp;AN=32418804&amp;site=ehost-live" TargetMode="External"/><Relationship Id="rId6" Type="http://schemas.openxmlformats.org/officeDocument/2006/relationships/hyperlink" Target="https://search.ebscohost.com/login.aspx?direct=true&amp;db=mdc&amp;AN=32038477&amp;site=ehost-live" TargetMode="External"/><Relationship Id="rId15" Type="http://schemas.openxmlformats.org/officeDocument/2006/relationships/hyperlink" Target="https://search.ebscohost.com/login.aspx?direct=true&amp;db=mdc&amp;AN=32707564&amp;site=ehost-live" TargetMode="External"/><Relationship Id="rId23" Type="http://schemas.openxmlformats.org/officeDocument/2006/relationships/hyperlink" Target="https://search.ebscohost.com/login.aspx?direct=true&amp;db=mdc&amp;AN=31541409&amp;site=ehost-live" TargetMode="External"/><Relationship Id="rId28" Type="http://schemas.openxmlformats.org/officeDocument/2006/relationships/hyperlink" Target="https://search.ebscohost.com/login.aspx?direct=true&amp;db=mdc&amp;AN=31865835&amp;site=ehost-live" TargetMode="External"/><Relationship Id="rId36" Type="http://schemas.openxmlformats.org/officeDocument/2006/relationships/hyperlink" Target="https://search.ebscohost.com/login.aspx?direct=true&amp;db=mdc&amp;AN=33355175&amp;site=ehost-live" TargetMode="External"/><Relationship Id="rId49" Type="http://schemas.openxmlformats.org/officeDocument/2006/relationships/hyperlink" Target="https://search.ebscohost.com/login.aspx?direct=true&amp;db=mdc&amp;AN=33065705&amp;site=ehost-live" TargetMode="External"/><Relationship Id="rId57" Type="http://schemas.openxmlformats.org/officeDocument/2006/relationships/hyperlink" Target="https://search.ebscohost.com/login.aspx?direct=true&amp;db=mdc&amp;AN=33345160&amp;site=ehost-live" TargetMode="External"/><Relationship Id="rId10" Type="http://schemas.openxmlformats.org/officeDocument/2006/relationships/hyperlink" Target="https://search.ebscohost.com/login.aspx?direct=true&amp;db=mdc&amp;AN=33112700&amp;site=ehost-live" TargetMode="External"/><Relationship Id="rId31" Type="http://schemas.openxmlformats.org/officeDocument/2006/relationships/hyperlink" Target="https://search.ebscohost.com/login.aspx?direct=true&amp;db=mdc&amp;AN=31519545&amp;site=ehost-live" TargetMode="External"/><Relationship Id="rId44" Type="http://schemas.openxmlformats.org/officeDocument/2006/relationships/hyperlink" Target="https://search.ebscohost.com/login.aspx?direct=true&amp;db=mdc&amp;AN=32224945&amp;site=ehost-live" TargetMode="External"/><Relationship Id="rId52" Type="http://schemas.openxmlformats.org/officeDocument/2006/relationships/hyperlink" Target="https://search.ebscohost.com/login.aspx?direct=true&amp;db=mdc&amp;AN=32017242&amp;site=ehost-live" TargetMode="External"/><Relationship Id="rId60" Type="http://schemas.openxmlformats.org/officeDocument/2006/relationships/hyperlink" Target="https://search.ebscohost.com/login.aspx?direct=true&amp;db=mdc&amp;AN=32449141&amp;site=ehost-live" TargetMode="External"/><Relationship Id="rId65" Type="http://schemas.openxmlformats.org/officeDocument/2006/relationships/hyperlink" Target="https://search.ebscohost.com/login.aspx?direct=true&amp;db=mdc&amp;AN=32991701&amp;site=ehost-live" TargetMode="External"/><Relationship Id="rId4" Type="http://schemas.openxmlformats.org/officeDocument/2006/relationships/hyperlink" Target="https://search.ebscohost.com/login.aspx?direct=true&amp;db=mdc&amp;AN=31630091&amp;site=ehost-live" TargetMode="External"/><Relationship Id="rId9" Type="http://schemas.openxmlformats.org/officeDocument/2006/relationships/hyperlink" Target="https://search.ebscohost.com/login.aspx?direct=true&amp;db=mdc&amp;AN=32507448&amp;site=ehost-live" TargetMode="External"/><Relationship Id="rId13" Type="http://schemas.openxmlformats.org/officeDocument/2006/relationships/hyperlink" Target="https://search.ebscohost.com/login.aspx?direct=true&amp;db=mdc&amp;AN=32301393&amp;site=ehost-live" TargetMode="External"/><Relationship Id="rId18" Type="http://schemas.openxmlformats.org/officeDocument/2006/relationships/hyperlink" Target="https://search.ebscohost.com/login.aspx?direct=true&amp;db=mdc&amp;AN=31959678&amp;site=ehost-live" TargetMode="External"/><Relationship Id="rId39" Type="http://schemas.openxmlformats.org/officeDocument/2006/relationships/hyperlink" Target="https://search.ebscohost.com/login.aspx?direct=true&amp;db=mdc&amp;AN=31680306&amp;site=ehost-live" TargetMode="External"/><Relationship Id="rId34" Type="http://schemas.openxmlformats.org/officeDocument/2006/relationships/hyperlink" Target="https://search.ebscohost.com/login.aspx?direct=true&amp;db=mdc&amp;AN=32523546&amp;site=ehost-live" TargetMode="External"/><Relationship Id="rId50" Type="http://schemas.openxmlformats.org/officeDocument/2006/relationships/hyperlink" Target="https://search.ebscohost.com/login.aspx?direct=true&amp;db=mdc&amp;AN=32500280&amp;site=ehost-live" TargetMode="External"/><Relationship Id="rId55" Type="http://schemas.openxmlformats.org/officeDocument/2006/relationships/hyperlink" Target="https://search.ebscohost.com/login.aspx?direct=true&amp;db=mdc&amp;AN=32008270&amp;site=ehost-live"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search.ebscohost.com/login.aspx?direct=true&amp;db=mdc&amp;AN=30615008&amp;site=ehost-live" TargetMode="External"/><Relationship Id="rId21" Type="http://schemas.openxmlformats.org/officeDocument/2006/relationships/hyperlink" Target="https://search.ebscohost.com/login.aspx?direct=true&amp;db=mdc&amp;AN=30794115&amp;site=ehost-live" TargetMode="External"/><Relationship Id="rId42" Type="http://schemas.openxmlformats.org/officeDocument/2006/relationships/hyperlink" Target="https://search.ebscohost.com/login.aspx?direct=true&amp;db=mdc&amp;AN=30930142&amp;site=ehost-live" TargetMode="External"/><Relationship Id="rId47" Type="http://schemas.openxmlformats.org/officeDocument/2006/relationships/hyperlink" Target="https://search.ebscohost.com/login.aspx?direct=true&amp;db=mdc&amp;AN=31033611&amp;site=ehost-live" TargetMode="External"/><Relationship Id="rId63" Type="http://schemas.openxmlformats.org/officeDocument/2006/relationships/hyperlink" Target="https://search.ebscohost.com/login.aspx?direct=true&amp;db=mdc&amp;AN=30978146&amp;site=ehost-live" TargetMode="External"/><Relationship Id="rId68" Type="http://schemas.openxmlformats.org/officeDocument/2006/relationships/hyperlink" Target="https://search.ebscohost.com/login.aspx?direct=true&amp;db=mdc&amp;AN=30676138&amp;site=ehost-live" TargetMode="External"/><Relationship Id="rId84" Type="http://schemas.openxmlformats.org/officeDocument/2006/relationships/hyperlink" Target="https://search.ebscohost.com/login.aspx?direct=true&amp;db=mdc&amp;AN=30884863&amp;site=ehost-live" TargetMode="External"/><Relationship Id="rId16" Type="http://schemas.openxmlformats.org/officeDocument/2006/relationships/hyperlink" Target="https://search.ebscohost.com/login.aspx?direct=true&amp;db=mdc&amp;AN=31133481&amp;site=ehost-live" TargetMode="External"/><Relationship Id="rId11" Type="http://schemas.openxmlformats.org/officeDocument/2006/relationships/hyperlink" Target="https://search.ebscohost.com/login.aspx?direct=true&amp;db=mdc&amp;AN=31254810&amp;site=ehost-live" TargetMode="External"/><Relationship Id="rId32" Type="http://schemas.openxmlformats.org/officeDocument/2006/relationships/hyperlink" Target="https://search.ebscohost.com/login.aspx?direct=true&amp;db=mdc&amp;AN=31239203&amp;site=ehost-live" TargetMode="External"/><Relationship Id="rId37" Type="http://schemas.openxmlformats.org/officeDocument/2006/relationships/hyperlink" Target="https://search.ebscohost.com/login.aspx?direct=true&amp;db=mdc&amp;AN=29953820&amp;site=ehost-live" TargetMode="External"/><Relationship Id="rId53" Type="http://schemas.openxmlformats.org/officeDocument/2006/relationships/hyperlink" Target="https://search.ebscohost.com/login.aspx?direct=true&amp;db=mdc&amp;AN=30576266&amp;site=ehost-live" TargetMode="External"/><Relationship Id="rId58" Type="http://schemas.openxmlformats.org/officeDocument/2006/relationships/hyperlink" Target="https://search.ebscohost.com/login.aspx?direct=true&amp;db=mdc&amp;AN=30609761&amp;site=ehost-live" TargetMode="External"/><Relationship Id="rId74" Type="http://schemas.openxmlformats.org/officeDocument/2006/relationships/hyperlink" Target="https://search.ebscohost.com/login.aspx?direct=true&amp;db=mdc&amp;AN=30682843&amp;site=ehost-live" TargetMode="External"/><Relationship Id="rId79" Type="http://schemas.openxmlformats.org/officeDocument/2006/relationships/hyperlink" Target="https://search.ebscohost.com/login.aspx?direct=true&amp;db=mdc&amp;AN=30817785&amp;site=ehost-live" TargetMode="External"/><Relationship Id="rId5" Type="http://schemas.openxmlformats.org/officeDocument/2006/relationships/hyperlink" Target="https://search.ebscohost.com/login.aspx?direct=true&amp;db=mdc&amp;AN=30574842&amp;site=ehost-live" TargetMode="External"/><Relationship Id="rId19" Type="http://schemas.openxmlformats.org/officeDocument/2006/relationships/hyperlink" Target="https://search.ebscohost.com/login.aspx?direct=true&amp;db=mdc&amp;AN=31245258&amp;site=ehost-live" TargetMode="External"/><Relationship Id="rId14" Type="http://schemas.openxmlformats.org/officeDocument/2006/relationships/hyperlink" Target="https://search.ebscohost.com/login.aspx?direct=true&amp;db=mdc&amp;AN=30311980&amp;site=ehost-live" TargetMode="External"/><Relationship Id="rId22" Type="http://schemas.openxmlformats.org/officeDocument/2006/relationships/hyperlink" Target="https://search.ebscohost.com/login.aspx?direct=true&amp;db=mdc&amp;AN=30220574&amp;site=ehost-live" TargetMode="External"/><Relationship Id="rId27" Type="http://schemas.openxmlformats.org/officeDocument/2006/relationships/hyperlink" Target="https://search.ebscohost.com/login.aspx?direct=true&amp;db=mdc&amp;AN=30431531&amp;site=ehost-live" TargetMode="External"/><Relationship Id="rId30" Type="http://schemas.openxmlformats.org/officeDocument/2006/relationships/hyperlink" Target="https://search.ebscohost.com/login.aspx?direct=true&amp;db=mdc&amp;AN=31379253&amp;site=ehost-live" TargetMode="External"/><Relationship Id="rId35" Type="http://schemas.openxmlformats.org/officeDocument/2006/relationships/hyperlink" Target="https://search.ebscohost.com/login.aspx?direct=true&amp;db=mdc&amp;AN=30326782&amp;site=ehost-live" TargetMode="External"/><Relationship Id="rId43" Type="http://schemas.openxmlformats.org/officeDocument/2006/relationships/hyperlink" Target="https://search.ebscohost.com/login.aspx?direct=true&amp;db=mdc&amp;AN=30952204&amp;site=ehost-live" TargetMode="External"/><Relationship Id="rId48" Type="http://schemas.openxmlformats.org/officeDocument/2006/relationships/hyperlink" Target="https://search.ebscohost.com/login.aspx?direct=true&amp;db=mdc&amp;AN=31033024&amp;site=ehost-live" TargetMode="External"/><Relationship Id="rId56" Type="http://schemas.openxmlformats.org/officeDocument/2006/relationships/hyperlink" Target="https://search.ebscohost.com/login.aspx?direct=true&amp;db=mdc&amp;AN=30507257&amp;site=ehost-live" TargetMode="External"/><Relationship Id="rId64" Type="http://schemas.openxmlformats.org/officeDocument/2006/relationships/hyperlink" Target="https://search.ebscohost.com/login.aspx?direct=true&amp;db=mdc&amp;AN=31626060&amp;site=ehost-live" TargetMode="External"/><Relationship Id="rId69" Type="http://schemas.openxmlformats.org/officeDocument/2006/relationships/hyperlink" Target="https://search.ebscohost.com/login.aspx?direct=true&amp;db=mdc&amp;AN=30299192&amp;site=ehost-live" TargetMode="External"/><Relationship Id="rId77" Type="http://schemas.openxmlformats.org/officeDocument/2006/relationships/hyperlink" Target="https://search.ebscohost.com/login.aspx?direct=true&amp;db=mdc&amp;AN=31058762&amp;site=ehost-live" TargetMode="External"/><Relationship Id="rId8" Type="http://schemas.openxmlformats.org/officeDocument/2006/relationships/hyperlink" Target="https://search.ebscohost.com/login.aspx?direct=true&amp;db=mdc&amp;AN=30630742&amp;site=ehost-live" TargetMode="External"/><Relationship Id="rId51" Type="http://schemas.openxmlformats.org/officeDocument/2006/relationships/hyperlink" Target="https://search.ebscohost.com/login.aspx?direct=true&amp;db=mdc&amp;AN=31471069&amp;site=ehost-live" TargetMode="External"/><Relationship Id="rId72" Type="http://schemas.openxmlformats.org/officeDocument/2006/relationships/hyperlink" Target="https://search.ebscohost.com/login.aspx?direct=true&amp;db=mdc&amp;AN=30058956&amp;site=ehost-live" TargetMode="External"/><Relationship Id="rId80" Type="http://schemas.openxmlformats.org/officeDocument/2006/relationships/hyperlink" Target="https://search.ebscohost.com/login.aspx?direct=true&amp;db=mdc&amp;AN=30899737&amp;site=ehost-live" TargetMode="External"/><Relationship Id="rId85" Type="http://schemas.openxmlformats.org/officeDocument/2006/relationships/hyperlink" Target="https://search.ebscohost.com/login.aspx?direct=true&amp;db=mdc&amp;AN=31427654&amp;site=ehost-live" TargetMode="External"/><Relationship Id="rId3" Type="http://schemas.openxmlformats.org/officeDocument/2006/relationships/hyperlink" Target="https://search.ebscohost.com/login.aspx?direct=true&amp;db=mdc&amp;AN=30972899&amp;site=ehost-live" TargetMode="External"/><Relationship Id="rId12" Type="http://schemas.openxmlformats.org/officeDocument/2006/relationships/hyperlink" Target="https://search.ebscohost.com/login.aspx?direct=true&amp;db=mdc&amp;AN=29893587&amp;site=ehost-live" TargetMode="External"/><Relationship Id="rId17" Type="http://schemas.openxmlformats.org/officeDocument/2006/relationships/hyperlink" Target="https://search.ebscohost.com/login.aspx?direct=true&amp;db=mdc&amp;AN=31513450&amp;site=ehost-live" TargetMode="External"/><Relationship Id="rId25" Type="http://schemas.openxmlformats.org/officeDocument/2006/relationships/hyperlink" Target="https://search.ebscohost.com/login.aspx?direct=true&amp;db=mdc&amp;AN=31094262&amp;site=ehost-live" TargetMode="External"/><Relationship Id="rId33" Type="http://schemas.openxmlformats.org/officeDocument/2006/relationships/hyperlink" Target="https://search.ebscohost.com/login.aspx?direct=true&amp;db=mdc&amp;AN=30761055&amp;site=ehost-live" TargetMode="External"/><Relationship Id="rId38" Type="http://schemas.openxmlformats.org/officeDocument/2006/relationships/hyperlink" Target="https://search.ebscohost.com/login.aspx?direct=true&amp;db=mdc&amp;AN=30614404&amp;site=ehost-live" TargetMode="External"/><Relationship Id="rId46" Type="http://schemas.openxmlformats.org/officeDocument/2006/relationships/hyperlink" Target="https://search.ebscohost.com/login.aspx?direct=true&amp;db=mdc&amp;AN=31036532&amp;site=ehost-live" TargetMode="External"/><Relationship Id="rId59" Type="http://schemas.openxmlformats.org/officeDocument/2006/relationships/hyperlink" Target="https://search.ebscohost.com/login.aspx?direct=true&amp;db=mdc&amp;AN=31681789&amp;site=ehost-live" TargetMode="External"/><Relationship Id="rId67" Type="http://schemas.openxmlformats.org/officeDocument/2006/relationships/hyperlink" Target="https://search.ebscohost.com/login.aspx?direct=true&amp;db=mdc&amp;AN=30685228&amp;site=ehost-live" TargetMode="External"/><Relationship Id="rId20" Type="http://schemas.openxmlformats.org/officeDocument/2006/relationships/hyperlink" Target="https://search.ebscohost.com/login.aspx?direct=true&amp;db=mdc&amp;AN=30747558&amp;site=ehost-live" TargetMode="External"/><Relationship Id="rId41" Type="http://schemas.openxmlformats.org/officeDocument/2006/relationships/hyperlink" Target="https://search.ebscohost.com/login.aspx?direct=true&amp;db=mdc&amp;AN=30670379&amp;site=ehost-live" TargetMode="External"/><Relationship Id="rId54" Type="http://schemas.openxmlformats.org/officeDocument/2006/relationships/hyperlink" Target="https://search.ebscohost.com/login.aspx?direct=true&amp;db=mdc&amp;AN=30095742&amp;site=ehost-live" TargetMode="External"/><Relationship Id="rId62" Type="http://schemas.openxmlformats.org/officeDocument/2006/relationships/hyperlink" Target="https://search.ebscohost.com/login.aspx?direct=true&amp;db=mdc&amp;AN=33344966&amp;site=ehost-live" TargetMode="External"/><Relationship Id="rId70" Type="http://schemas.openxmlformats.org/officeDocument/2006/relationships/hyperlink" Target="https://search.ebscohost.com/login.aspx?direct=true&amp;db=mdc&amp;AN=30837886&amp;site=ehost-live" TargetMode="External"/><Relationship Id="rId75" Type="http://schemas.openxmlformats.org/officeDocument/2006/relationships/hyperlink" Target="https://search.ebscohost.com/login.aspx?direct=true&amp;db=mdc&amp;AN=30207506&amp;site=ehost-live" TargetMode="External"/><Relationship Id="rId83" Type="http://schemas.openxmlformats.org/officeDocument/2006/relationships/hyperlink" Target="https://search.ebscohost.com/login.aspx?direct=true&amp;db=mdc&amp;AN=30554612&amp;site=ehost-live" TargetMode="External"/><Relationship Id="rId1" Type="http://schemas.openxmlformats.org/officeDocument/2006/relationships/hyperlink" Target="https://search.ebscohost.com/login.aspx?direct=true&amp;db=mdc&amp;AN=30779880&amp;site=ehost-live" TargetMode="External"/><Relationship Id="rId6" Type="http://schemas.openxmlformats.org/officeDocument/2006/relationships/hyperlink" Target="https://search.ebscohost.com/login.aspx?direct=true&amp;db=mdc&amp;AN=30787902&amp;site=ehost-live" TargetMode="External"/><Relationship Id="rId15" Type="http://schemas.openxmlformats.org/officeDocument/2006/relationships/hyperlink" Target="https://search.ebscohost.com/login.aspx?direct=true&amp;db=mdc&amp;AN=30363006&amp;site=ehost-live" TargetMode="External"/><Relationship Id="rId23" Type="http://schemas.openxmlformats.org/officeDocument/2006/relationships/hyperlink" Target="https://search.ebscohost.com/login.aspx?direct=true&amp;db=mdc&amp;AN=30982436&amp;site=ehost-live" TargetMode="External"/><Relationship Id="rId28" Type="http://schemas.openxmlformats.org/officeDocument/2006/relationships/hyperlink" Target="https://search.ebscohost.com/login.aspx?direct=true&amp;db=mdc&amp;AN=31242139&amp;site=ehost-live" TargetMode="External"/><Relationship Id="rId36" Type="http://schemas.openxmlformats.org/officeDocument/2006/relationships/hyperlink" Target="https://search.ebscohost.com/login.aspx?direct=true&amp;db=mdc&amp;AN=29863966&amp;site=ehost-live" TargetMode="External"/><Relationship Id="rId49" Type="http://schemas.openxmlformats.org/officeDocument/2006/relationships/hyperlink" Target="https://search.ebscohost.com/login.aspx?direct=true&amp;db=mdc&amp;AN=31176462&amp;site=ehost-live" TargetMode="External"/><Relationship Id="rId57" Type="http://schemas.openxmlformats.org/officeDocument/2006/relationships/hyperlink" Target="https://search.ebscohost.com/login.aspx?direct=true&amp;db=mdc&amp;AN=30711605&amp;site=ehost-live" TargetMode="External"/><Relationship Id="rId10" Type="http://schemas.openxmlformats.org/officeDocument/2006/relationships/hyperlink" Target="https://search.ebscohost.com/login.aspx?direct=true&amp;db=mdc&amp;AN=30871219&amp;site=ehost-live" TargetMode="External"/><Relationship Id="rId31" Type="http://schemas.openxmlformats.org/officeDocument/2006/relationships/hyperlink" Target="https://search.ebscohost.com/login.aspx?direct=true&amp;db=mdc&amp;AN=31307905&amp;site=ehost-live" TargetMode="External"/><Relationship Id="rId44" Type="http://schemas.openxmlformats.org/officeDocument/2006/relationships/hyperlink" Target="https://search.ebscohost.com/login.aspx?direct=true&amp;db=mdc&amp;AN=31055680&amp;site=ehost-live" TargetMode="External"/><Relationship Id="rId52" Type="http://schemas.openxmlformats.org/officeDocument/2006/relationships/hyperlink" Target="https://search.ebscohost.com/login.aspx?direct=true&amp;db=mdc&amp;AN=31141594&amp;site=ehost-live" TargetMode="External"/><Relationship Id="rId60" Type="http://schemas.openxmlformats.org/officeDocument/2006/relationships/hyperlink" Target="https://search.ebscohost.com/login.aspx?direct=true&amp;db=mdc&amp;AN=31324008&amp;site=ehost-live" TargetMode="External"/><Relationship Id="rId65" Type="http://schemas.openxmlformats.org/officeDocument/2006/relationships/hyperlink" Target="https://search.ebscohost.com/login.aspx?direct=true&amp;db=mdc&amp;AN=30761045&amp;site=ehost-live" TargetMode="External"/><Relationship Id="rId73" Type="http://schemas.openxmlformats.org/officeDocument/2006/relationships/hyperlink" Target="https://search.ebscohost.com/login.aspx?direct=true&amp;db=mdc&amp;AN=31592623&amp;site=ehost-live" TargetMode="External"/><Relationship Id="rId78" Type="http://schemas.openxmlformats.org/officeDocument/2006/relationships/hyperlink" Target="https://search.ebscohost.com/login.aspx?direct=true&amp;db=mdc&amp;AN=31427880&amp;site=ehost-live" TargetMode="External"/><Relationship Id="rId81" Type="http://schemas.openxmlformats.org/officeDocument/2006/relationships/hyperlink" Target="https://search.ebscohost.com/login.aspx?direct=true&amp;db=mdc&amp;AN=31444314&amp;site=ehost-live" TargetMode="External"/><Relationship Id="rId86" Type="http://schemas.openxmlformats.org/officeDocument/2006/relationships/table" Target="../tables/table4.xml"/><Relationship Id="rId4" Type="http://schemas.openxmlformats.org/officeDocument/2006/relationships/hyperlink" Target="https://search.ebscohost.com/login.aspx?direct=true&amp;db=mdc&amp;AN=31176259&amp;site=ehost-live" TargetMode="External"/><Relationship Id="rId9" Type="http://schemas.openxmlformats.org/officeDocument/2006/relationships/hyperlink" Target="https://search.ebscohost.com/login.aspx?direct=true&amp;db=mdc&amp;AN=31512155&amp;site=ehost-live" TargetMode="External"/><Relationship Id="rId13" Type="http://schemas.openxmlformats.org/officeDocument/2006/relationships/hyperlink" Target="https://search.ebscohost.com/login.aspx?direct=true&amp;db=mdc&amp;AN=30058345&amp;site=ehost-live" TargetMode="External"/><Relationship Id="rId18" Type="http://schemas.openxmlformats.org/officeDocument/2006/relationships/hyperlink" Target="https://search.ebscohost.com/login.aspx?direct=true&amp;db=mdc&amp;AN=28658078&amp;site=ehost-live" TargetMode="External"/><Relationship Id="rId39" Type="http://schemas.openxmlformats.org/officeDocument/2006/relationships/hyperlink" Target="https://search.ebscohost.com/login.aspx?direct=true&amp;db=mdc&amp;AN=31445948&amp;site=ehost-live" TargetMode="External"/><Relationship Id="rId34" Type="http://schemas.openxmlformats.org/officeDocument/2006/relationships/hyperlink" Target="https://search.ebscohost.com/login.aspx?direct=true&amp;db=mdc&amp;AN=31141441&amp;site=ehost-live" TargetMode="External"/><Relationship Id="rId50" Type="http://schemas.openxmlformats.org/officeDocument/2006/relationships/hyperlink" Target="https://search.ebscohost.com/login.aspx?direct=true&amp;db=mdc&amp;AN=30102872&amp;site=ehost-live" TargetMode="External"/><Relationship Id="rId55" Type="http://schemas.openxmlformats.org/officeDocument/2006/relationships/hyperlink" Target="https://search.ebscohost.com/login.aspx?direct=true&amp;db=mdc&amp;AN=31691928&amp;site=ehost-live" TargetMode="External"/><Relationship Id="rId76" Type="http://schemas.openxmlformats.org/officeDocument/2006/relationships/hyperlink" Target="https://search.ebscohost.com/login.aspx?direct=true&amp;db=mdc&amp;AN=28486330&amp;site=ehost-live" TargetMode="External"/><Relationship Id="rId7" Type="http://schemas.openxmlformats.org/officeDocument/2006/relationships/hyperlink" Target="https://search.ebscohost.com/login.aspx?direct=true&amp;db=mdc&amp;AN=30319077&amp;site=ehost-live" TargetMode="External"/><Relationship Id="rId71" Type="http://schemas.openxmlformats.org/officeDocument/2006/relationships/hyperlink" Target="https://search.ebscohost.com/login.aspx?direct=true&amp;db=mdc&amp;AN=31199669&amp;site=ehost-live" TargetMode="External"/><Relationship Id="rId2" Type="http://schemas.openxmlformats.org/officeDocument/2006/relationships/hyperlink" Target="https://search.ebscohost.com/login.aspx?direct=true&amp;db=mdc&amp;AN=30632439&amp;site=ehost-live" TargetMode="External"/><Relationship Id="rId29" Type="http://schemas.openxmlformats.org/officeDocument/2006/relationships/hyperlink" Target="https://search.ebscohost.com/login.aspx?direct=true&amp;db=mdc&amp;AN=30632422&amp;site=ehost-live" TargetMode="External"/><Relationship Id="rId24" Type="http://schemas.openxmlformats.org/officeDocument/2006/relationships/hyperlink" Target="https://search.ebscohost.com/login.aspx?direct=true&amp;db=mdc&amp;AN=31629350&amp;site=ehost-live" TargetMode="External"/><Relationship Id="rId40" Type="http://schemas.openxmlformats.org/officeDocument/2006/relationships/hyperlink" Target="https://search.ebscohost.com/login.aspx?direct=true&amp;db=mdc&amp;AN=30865188&amp;site=ehost-live" TargetMode="External"/><Relationship Id="rId45" Type="http://schemas.openxmlformats.org/officeDocument/2006/relationships/hyperlink" Target="https://search.ebscohost.com/login.aspx?direct=true&amp;db=mdc&amp;AN=31482093&amp;site=ehost-live" TargetMode="External"/><Relationship Id="rId66" Type="http://schemas.openxmlformats.org/officeDocument/2006/relationships/hyperlink" Target="https://search.ebscohost.com/login.aspx?direct=true&amp;db=mdc&amp;AN=31523310&amp;site=ehost-live" TargetMode="External"/><Relationship Id="rId61" Type="http://schemas.openxmlformats.org/officeDocument/2006/relationships/hyperlink" Target="https://search.ebscohost.com/login.aspx?direct=true&amp;db=mdc&amp;AN=31291303&amp;site=ehost-live" TargetMode="External"/><Relationship Id="rId82" Type="http://schemas.openxmlformats.org/officeDocument/2006/relationships/hyperlink" Target="https://search.ebscohost.com/login.aspx?direct=true&amp;db=mdc&amp;AN=30029889&amp;site=ehost-live" TargetMode="External"/></Relationships>
</file>

<file path=xl/worksheets/_rels/sheet7.xml.rels><?xml version="1.0" encoding="UTF-8" standalone="yes"?>
<Relationships xmlns="http://schemas.openxmlformats.org/package/2006/relationships"><Relationship Id="rId26" Type="http://schemas.openxmlformats.org/officeDocument/2006/relationships/hyperlink" Target="https://search.ebscohost.com/login.aspx?direct=true&amp;db=mdc&amp;AN=29532476&amp;site=ehost-live" TargetMode="External"/><Relationship Id="rId21" Type="http://schemas.openxmlformats.org/officeDocument/2006/relationships/hyperlink" Target="https://search.ebscohost.com/login.aspx?direct=true&amp;db=mdc&amp;AN=30104984&amp;site=ehost-live" TargetMode="External"/><Relationship Id="rId42" Type="http://schemas.openxmlformats.org/officeDocument/2006/relationships/hyperlink" Target="https://search.ebscohost.com/login.aspx?direct=true&amp;db=mdc&amp;AN=29099652&amp;site=ehost-live" TargetMode="External"/><Relationship Id="rId47" Type="http://schemas.openxmlformats.org/officeDocument/2006/relationships/hyperlink" Target="https://search.ebscohost.com/login.aspx?direct=true&amp;db=mdc&amp;AN=29555148&amp;site=ehost-live" TargetMode="External"/><Relationship Id="rId63" Type="http://schemas.openxmlformats.org/officeDocument/2006/relationships/hyperlink" Target="https://search.ebscohost.com/login.aspx?direct=true&amp;db=mdc&amp;AN=30059543&amp;site=ehost-live" TargetMode="External"/><Relationship Id="rId68" Type="http://schemas.openxmlformats.org/officeDocument/2006/relationships/hyperlink" Target="https://search.ebscohost.com/login.aspx?direct=true&amp;db=mdc&amp;AN=29789266&amp;site=ehost-live" TargetMode="External"/><Relationship Id="rId84" Type="http://schemas.openxmlformats.org/officeDocument/2006/relationships/hyperlink" Target="https://search.ebscohost.com/login.aspx?direct=true&amp;db=mdc&amp;AN=29792293&amp;site=ehost-live" TargetMode="External"/><Relationship Id="rId89" Type="http://schemas.openxmlformats.org/officeDocument/2006/relationships/hyperlink" Target="https://search.ebscohost.com/login.aspx?direct=true&amp;db=mdc&amp;AN=28930879&amp;site=ehost-live" TargetMode="External"/><Relationship Id="rId112" Type="http://schemas.openxmlformats.org/officeDocument/2006/relationships/hyperlink" Target="https://search.ebscohost.com/login.aspx?direct=true&amp;db=mdc&amp;AN=29457371&amp;site=ehost-live" TargetMode="External"/><Relationship Id="rId16" Type="http://schemas.openxmlformats.org/officeDocument/2006/relationships/hyperlink" Target="https://search.ebscohost.com/login.aspx?direct=true&amp;db=mdc&amp;AN=28054499&amp;site=ehost-live" TargetMode="External"/><Relationship Id="rId107" Type="http://schemas.openxmlformats.org/officeDocument/2006/relationships/hyperlink" Target="https://search.ebscohost.com/login.aspx?direct=true&amp;db=mdc&amp;AN=30249148&amp;site=ehost-live" TargetMode="External"/><Relationship Id="rId11" Type="http://schemas.openxmlformats.org/officeDocument/2006/relationships/hyperlink" Target="https://search.ebscohost.com/login.aspx?direct=true&amp;db=mdc&amp;AN=30305257&amp;site=ehost-live" TargetMode="External"/><Relationship Id="rId32" Type="http://schemas.openxmlformats.org/officeDocument/2006/relationships/hyperlink" Target="https://search.ebscohost.com/login.aspx?direct=true&amp;db=mdc&amp;AN=30538652&amp;site=ehost-live" TargetMode="External"/><Relationship Id="rId37" Type="http://schemas.openxmlformats.org/officeDocument/2006/relationships/hyperlink" Target="https://search.ebscohost.com/login.aspx?direct=true&amp;db=mdc&amp;AN=29401600&amp;site=ehost-live" TargetMode="External"/><Relationship Id="rId53" Type="http://schemas.openxmlformats.org/officeDocument/2006/relationships/hyperlink" Target="https://search.ebscohost.com/login.aspx?direct=true&amp;db=mdc&amp;AN=29540367&amp;site=ehost-live" TargetMode="External"/><Relationship Id="rId58" Type="http://schemas.openxmlformats.org/officeDocument/2006/relationships/hyperlink" Target="https://search.ebscohost.com/login.aspx?direct=true&amp;db=mdc&amp;AN=29505833&amp;site=ehost-live" TargetMode="External"/><Relationship Id="rId74" Type="http://schemas.openxmlformats.org/officeDocument/2006/relationships/hyperlink" Target="https://search.ebscohost.com/login.aspx?direct=true&amp;db=mdc&amp;AN=29431534&amp;site=ehost-live" TargetMode="External"/><Relationship Id="rId79" Type="http://schemas.openxmlformats.org/officeDocument/2006/relationships/hyperlink" Target="https://search.ebscohost.com/login.aspx?direct=true&amp;db=mdc&amp;AN=28536184&amp;site=ehost-live" TargetMode="External"/><Relationship Id="rId102" Type="http://schemas.openxmlformats.org/officeDocument/2006/relationships/hyperlink" Target="https://search.ebscohost.com/login.aspx?direct=true&amp;db=mdc&amp;AN=29804652&amp;site=ehost-live" TargetMode="External"/><Relationship Id="rId5" Type="http://schemas.openxmlformats.org/officeDocument/2006/relationships/hyperlink" Target="https://search.ebscohost.com/login.aspx?direct=true&amp;db=mdc&amp;AN=29842816&amp;site=ehost-live" TargetMode="External"/><Relationship Id="rId90" Type="http://schemas.openxmlformats.org/officeDocument/2006/relationships/hyperlink" Target="https://search.ebscohost.com/login.aspx?direct=true&amp;db=mdc&amp;AN=30559680&amp;site=ehost-live" TargetMode="External"/><Relationship Id="rId95" Type="http://schemas.openxmlformats.org/officeDocument/2006/relationships/hyperlink" Target="https://search.ebscohost.com/login.aspx?direct=true&amp;db=mdc&amp;AN=29182412&amp;site=ehost-live" TargetMode="External"/><Relationship Id="rId22" Type="http://schemas.openxmlformats.org/officeDocument/2006/relationships/hyperlink" Target="https://search.ebscohost.com/login.aspx?direct=true&amp;db=mdc&amp;AN=28532284&amp;site=ehost-live" TargetMode="External"/><Relationship Id="rId27" Type="http://schemas.openxmlformats.org/officeDocument/2006/relationships/hyperlink" Target="https://search.ebscohost.com/login.aspx?direct=true&amp;db=mdc&amp;AN=28282741&amp;site=ehost-live" TargetMode="External"/><Relationship Id="rId43" Type="http://schemas.openxmlformats.org/officeDocument/2006/relationships/hyperlink" Target="https://search.ebscohost.com/login.aspx?direct=true&amp;db=mdc&amp;AN=29500252&amp;site=ehost-live" TargetMode="External"/><Relationship Id="rId48" Type="http://schemas.openxmlformats.org/officeDocument/2006/relationships/hyperlink" Target="https://search.ebscohost.com/login.aspx?direct=true&amp;db=mdc&amp;AN=29771168&amp;site=ehost-live" TargetMode="External"/><Relationship Id="rId64" Type="http://schemas.openxmlformats.org/officeDocument/2006/relationships/hyperlink" Target="https://search.ebscohost.com/login.aspx?direct=true&amp;db=mdc&amp;AN=30656156&amp;site=ehost-live" TargetMode="External"/><Relationship Id="rId69" Type="http://schemas.openxmlformats.org/officeDocument/2006/relationships/hyperlink" Target="https://search.ebscohost.com/login.aspx?direct=true&amp;db=mdc&amp;AN=29433921&amp;site=ehost-live" TargetMode="External"/><Relationship Id="rId113" Type="http://schemas.openxmlformats.org/officeDocument/2006/relationships/hyperlink" Target="https://search.ebscohost.com/login.aspx?direct=true&amp;db=mdc&amp;AN=28925812&amp;site=ehost-live" TargetMode="External"/><Relationship Id="rId80" Type="http://schemas.openxmlformats.org/officeDocument/2006/relationships/hyperlink" Target="https://search.ebscohost.com/login.aspx?direct=true&amp;db=mdc&amp;AN=29056598&amp;site=ehost-live" TargetMode="External"/><Relationship Id="rId85" Type="http://schemas.openxmlformats.org/officeDocument/2006/relationships/hyperlink" Target="https://search.ebscohost.com/login.aspx?direct=true&amp;db=mdc&amp;AN=29039046&amp;site=ehost-live" TargetMode="External"/><Relationship Id="rId12" Type="http://schemas.openxmlformats.org/officeDocument/2006/relationships/hyperlink" Target="https://search.ebscohost.com/login.aspx?direct=true&amp;db=mdc&amp;AN=29786631&amp;site=ehost-live" TargetMode="External"/><Relationship Id="rId17" Type="http://schemas.openxmlformats.org/officeDocument/2006/relationships/hyperlink" Target="https://search.ebscohost.com/login.aspx?direct=true&amp;db=mdc&amp;AN=30024323&amp;site=ehost-live" TargetMode="External"/><Relationship Id="rId33" Type="http://schemas.openxmlformats.org/officeDocument/2006/relationships/hyperlink" Target="https://search.ebscohost.com/login.aspx?direct=true&amp;db=mdc&amp;AN=29341849&amp;site=ehost-live" TargetMode="External"/><Relationship Id="rId38" Type="http://schemas.openxmlformats.org/officeDocument/2006/relationships/hyperlink" Target="https://search.ebscohost.com/login.aspx?direct=true&amp;db=mdc&amp;AN=29764731&amp;site=ehost-live" TargetMode="External"/><Relationship Id="rId59" Type="http://schemas.openxmlformats.org/officeDocument/2006/relationships/hyperlink" Target="https://search.ebscohost.com/login.aspx?direct=true&amp;db=mdc&amp;AN=29334580&amp;site=ehost-live" TargetMode="External"/><Relationship Id="rId103" Type="http://schemas.openxmlformats.org/officeDocument/2006/relationships/hyperlink" Target="https://search.ebscohost.com/login.aspx?direct=true&amp;db=mdc&amp;AN=29790207&amp;site=ehost-live" TargetMode="External"/><Relationship Id="rId108" Type="http://schemas.openxmlformats.org/officeDocument/2006/relationships/hyperlink" Target="https://search.ebscohost.com/login.aspx?direct=true&amp;db=mdc&amp;AN=30276182&amp;site=ehost-live" TargetMode="External"/><Relationship Id="rId54" Type="http://schemas.openxmlformats.org/officeDocument/2006/relationships/hyperlink" Target="https://search.ebscohost.com/login.aspx?direct=true&amp;db=mdc&amp;AN=28597617&amp;site=ehost-live" TargetMode="External"/><Relationship Id="rId70" Type="http://schemas.openxmlformats.org/officeDocument/2006/relationships/hyperlink" Target="https://search.ebscohost.com/login.aspx?direct=true&amp;db=mdc&amp;AN=30036955&amp;site=ehost-live" TargetMode="External"/><Relationship Id="rId75" Type="http://schemas.openxmlformats.org/officeDocument/2006/relationships/hyperlink" Target="https://search.ebscohost.com/login.aspx?direct=true&amp;db=mdc&amp;AN=29560605&amp;site=ehost-live" TargetMode="External"/><Relationship Id="rId91" Type="http://schemas.openxmlformats.org/officeDocument/2006/relationships/hyperlink" Target="https://search.ebscohost.com/login.aspx?direct=true&amp;db=mdc&amp;AN=29801652&amp;site=ehost-live" TargetMode="External"/><Relationship Id="rId96" Type="http://schemas.openxmlformats.org/officeDocument/2006/relationships/hyperlink" Target="https://search.ebscohost.com/login.aspx?direct=true&amp;db=mdc&amp;AN=28770661&amp;site=ehost-live" TargetMode="External"/><Relationship Id="rId1" Type="http://schemas.openxmlformats.org/officeDocument/2006/relationships/hyperlink" Target="https://search.ebscohost.com/login.aspx?direct=true&amp;db=mdc&amp;AN=28954799&amp;site=ehost-live" TargetMode="External"/><Relationship Id="rId6" Type="http://schemas.openxmlformats.org/officeDocument/2006/relationships/hyperlink" Target="https://search.ebscohost.com/login.aspx?direct=true&amp;db=mdc&amp;AN=30125785&amp;site=ehost-live" TargetMode="External"/><Relationship Id="rId15" Type="http://schemas.openxmlformats.org/officeDocument/2006/relationships/hyperlink" Target="https://search.ebscohost.com/login.aspx?direct=true&amp;db=mdc&amp;AN=30043183&amp;site=ehost-live" TargetMode="External"/><Relationship Id="rId23" Type="http://schemas.openxmlformats.org/officeDocument/2006/relationships/hyperlink" Target="https://search.ebscohost.com/login.aspx?direct=true&amp;db=mdc&amp;AN=29087784&amp;site=ehost-live" TargetMode="External"/><Relationship Id="rId28" Type="http://schemas.openxmlformats.org/officeDocument/2006/relationships/hyperlink" Target="https://search.ebscohost.com/login.aspx?direct=true&amp;db=mdc&amp;AN=28806275&amp;site=ehost-live" TargetMode="External"/><Relationship Id="rId36" Type="http://schemas.openxmlformats.org/officeDocument/2006/relationships/hyperlink" Target="https://search.ebscohost.com/login.aspx?direct=true&amp;db=mdc&amp;AN=28905685&amp;site=ehost-live" TargetMode="External"/><Relationship Id="rId49" Type="http://schemas.openxmlformats.org/officeDocument/2006/relationships/hyperlink" Target="https://search.ebscohost.com/login.aspx?direct=true&amp;db=mdc&amp;AN=29354060&amp;site=ehost-live" TargetMode="External"/><Relationship Id="rId57" Type="http://schemas.openxmlformats.org/officeDocument/2006/relationships/hyperlink" Target="https://search.ebscohost.com/login.aspx?direct=true&amp;db=mdc&amp;AN=29650337&amp;site=ehost-live" TargetMode="External"/><Relationship Id="rId106" Type="http://schemas.openxmlformats.org/officeDocument/2006/relationships/hyperlink" Target="https://search.ebscohost.com/login.aspx?direct=true&amp;db=mdc&amp;AN=29493398&amp;site=ehost-live" TargetMode="External"/><Relationship Id="rId114" Type="http://schemas.openxmlformats.org/officeDocument/2006/relationships/table" Target="../tables/table5.xml"/><Relationship Id="rId10" Type="http://schemas.openxmlformats.org/officeDocument/2006/relationships/hyperlink" Target="https://search.ebscohost.com/login.aspx?direct=true&amp;db=mdc&amp;AN=29463034&amp;site=ehost-live" TargetMode="External"/><Relationship Id="rId31" Type="http://schemas.openxmlformats.org/officeDocument/2006/relationships/hyperlink" Target="https://search.ebscohost.com/login.aspx?direct=true&amp;db=mdc&amp;AN=29465269&amp;site=ehost-live" TargetMode="External"/><Relationship Id="rId44" Type="http://schemas.openxmlformats.org/officeDocument/2006/relationships/hyperlink" Target="https://search.ebscohost.com/login.aspx?direct=true&amp;db=mdc&amp;AN=28703035&amp;site=ehost-live" TargetMode="External"/><Relationship Id="rId52" Type="http://schemas.openxmlformats.org/officeDocument/2006/relationships/hyperlink" Target="https://search.ebscohost.com/login.aspx?direct=true&amp;db=mdc&amp;AN=29589768&amp;site=ehost-live" TargetMode="External"/><Relationship Id="rId60" Type="http://schemas.openxmlformats.org/officeDocument/2006/relationships/hyperlink" Target="https://search.ebscohost.com/login.aspx?direct=true&amp;db=mdc&amp;AN=28135218&amp;site=ehost-live" TargetMode="External"/><Relationship Id="rId65" Type="http://schemas.openxmlformats.org/officeDocument/2006/relationships/hyperlink" Target="https://search.ebscohost.com/login.aspx?direct=true&amp;db=mdc&amp;AN=29719234&amp;site=ehost-live" TargetMode="External"/><Relationship Id="rId73" Type="http://schemas.openxmlformats.org/officeDocument/2006/relationships/hyperlink" Target="https://search.ebscohost.com/login.aspx?direct=true&amp;db=mdc&amp;AN=30024479&amp;site=ehost-live" TargetMode="External"/><Relationship Id="rId78" Type="http://schemas.openxmlformats.org/officeDocument/2006/relationships/hyperlink" Target="https://search.ebscohost.com/login.aspx?direct=true&amp;db=mdc&amp;AN=29401204&amp;site=ehost-live" TargetMode="External"/><Relationship Id="rId81" Type="http://schemas.openxmlformats.org/officeDocument/2006/relationships/hyperlink" Target="https://search.ebscohost.com/login.aspx?direct=true&amp;db=mdc&amp;AN=29900571&amp;site=ehost-live" TargetMode="External"/><Relationship Id="rId86" Type="http://schemas.openxmlformats.org/officeDocument/2006/relationships/hyperlink" Target="https://search.ebscohost.com/login.aspx?direct=true&amp;db=mdc&amp;AN=30040508&amp;site=ehost-live" TargetMode="External"/><Relationship Id="rId94" Type="http://schemas.openxmlformats.org/officeDocument/2006/relationships/hyperlink" Target="https://search.ebscohost.com/login.aspx?direct=true&amp;db=mdc&amp;AN=29027252&amp;site=ehost-live" TargetMode="External"/><Relationship Id="rId99" Type="http://schemas.openxmlformats.org/officeDocument/2006/relationships/hyperlink" Target="https://search.ebscohost.com/login.aspx?direct=true&amp;db=mdc&amp;AN=29622491&amp;site=ehost-live" TargetMode="External"/><Relationship Id="rId101" Type="http://schemas.openxmlformats.org/officeDocument/2006/relationships/hyperlink" Target="https://search.ebscohost.com/login.aspx?direct=true&amp;db=mdc&amp;AN=30031530&amp;site=ehost-live" TargetMode="External"/><Relationship Id="rId4" Type="http://schemas.openxmlformats.org/officeDocument/2006/relationships/hyperlink" Target="https://search.ebscohost.com/login.aspx?direct=true&amp;db=mdc&amp;AN=29252049&amp;site=ehost-live" TargetMode="External"/><Relationship Id="rId9" Type="http://schemas.openxmlformats.org/officeDocument/2006/relationships/hyperlink" Target="https://search.ebscohost.com/login.aspx?direct=true&amp;db=mdc&amp;AN=30249353&amp;site=ehost-live" TargetMode="External"/><Relationship Id="rId13" Type="http://schemas.openxmlformats.org/officeDocument/2006/relationships/hyperlink" Target="https://search.ebscohost.com/login.aspx?direct=true&amp;db=mdc&amp;AN=29740559&amp;site=ehost-live" TargetMode="External"/><Relationship Id="rId18" Type="http://schemas.openxmlformats.org/officeDocument/2006/relationships/hyperlink" Target="https://search.ebscohost.com/login.aspx?direct=true&amp;db=mdc&amp;AN=29796200&amp;site=ehost-live" TargetMode="External"/><Relationship Id="rId39" Type="http://schemas.openxmlformats.org/officeDocument/2006/relationships/hyperlink" Target="https://search.ebscohost.com/login.aspx?direct=true&amp;db=mdc&amp;AN=29750580&amp;site=ehost-live" TargetMode="External"/><Relationship Id="rId109" Type="http://schemas.openxmlformats.org/officeDocument/2006/relationships/hyperlink" Target="https://search.ebscohost.com/login.aspx?direct=true&amp;db=mdc&amp;AN=30479529&amp;site=ehost-live" TargetMode="External"/><Relationship Id="rId34" Type="http://schemas.openxmlformats.org/officeDocument/2006/relationships/hyperlink" Target="https://search.ebscohost.com/login.aspx?direct=true&amp;db=mdc&amp;AN=28952848&amp;site=ehost-live" TargetMode="External"/><Relationship Id="rId50" Type="http://schemas.openxmlformats.org/officeDocument/2006/relationships/hyperlink" Target="https://search.ebscohost.com/login.aspx?direct=true&amp;db=mdc&amp;AN=29538179&amp;site=ehost-live" TargetMode="External"/><Relationship Id="rId55" Type="http://schemas.openxmlformats.org/officeDocument/2006/relationships/hyperlink" Target="https://search.ebscohost.com/login.aspx?direct=true&amp;db=mdc&amp;AN=29490566&amp;site=ehost-live" TargetMode="External"/><Relationship Id="rId76" Type="http://schemas.openxmlformats.org/officeDocument/2006/relationships/hyperlink" Target="https://search.ebscohost.com/login.aspx?direct=true&amp;db=mdc&amp;AN=28707506&amp;site=ehost-live" TargetMode="External"/><Relationship Id="rId97" Type="http://schemas.openxmlformats.org/officeDocument/2006/relationships/hyperlink" Target="https://search.ebscohost.com/login.aspx?direct=true&amp;db=mdc&amp;AN=29444097&amp;site=ehost-live" TargetMode="External"/><Relationship Id="rId104" Type="http://schemas.openxmlformats.org/officeDocument/2006/relationships/hyperlink" Target="https://search.ebscohost.com/login.aspx?direct=true&amp;db=mdc&amp;AN=29129121&amp;site=ehost-live" TargetMode="External"/><Relationship Id="rId7" Type="http://schemas.openxmlformats.org/officeDocument/2006/relationships/hyperlink" Target="https://search.ebscohost.com/login.aspx?direct=true&amp;db=mdc&amp;AN=29431593&amp;site=ehost-live" TargetMode="External"/><Relationship Id="rId71" Type="http://schemas.openxmlformats.org/officeDocument/2006/relationships/hyperlink" Target="https://search.ebscohost.com/login.aspx?direct=true&amp;db=mdc&amp;AN=29156302&amp;site=ehost-live" TargetMode="External"/><Relationship Id="rId92" Type="http://schemas.openxmlformats.org/officeDocument/2006/relationships/hyperlink" Target="https://search.ebscohost.com/login.aspx?direct=true&amp;db=mdc&amp;AN=30442803&amp;site=ehost-live" TargetMode="External"/><Relationship Id="rId2" Type="http://schemas.openxmlformats.org/officeDocument/2006/relationships/hyperlink" Target="https://search.ebscohost.com/login.aspx?direct=true&amp;db=mdc&amp;AN=29614933&amp;site=ehost-live" TargetMode="External"/><Relationship Id="rId29" Type="http://schemas.openxmlformats.org/officeDocument/2006/relationships/hyperlink" Target="https://search.ebscohost.com/login.aspx?direct=true&amp;db=mdc&amp;AN=30425668&amp;site=ehost-live" TargetMode="External"/><Relationship Id="rId24" Type="http://schemas.openxmlformats.org/officeDocument/2006/relationships/hyperlink" Target="https://search.ebscohost.com/login.aspx?direct=true&amp;db=mdc&amp;AN=29950297&amp;site=ehost-live" TargetMode="External"/><Relationship Id="rId40" Type="http://schemas.openxmlformats.org/officeDocument/2006/relationships/hyperlink" Target="https://search.ebscohost.com/login.aspx?direct=true&amp;db=mdc&amp;AN=28601588&amp;site=ehost-live" TargetMode="External"/><Relationship Id="rId45" Type="http://schemas.openxmlformats.org/officeDocument/2006/relationships/hyperlink" Target="https://search.ebscohost.com/login.aspx?direct=true&amp;db=mdc&amp;AN=28929623&amp;site=ehost-live" TargetMode="External"/><Relationship Id="rId66" Type="http://schemas.openxmlformats.org/officeDocument/2006/relationships/hyperlink" Target="https://search.ebscohost.com/login.aspx?direct=true&amp;db=mdc&amp;AN=30479531&amp;site=ehost-live" TargetMode="External"/><Relationship Id="rId87" Type="http://schemas.openxmlformats.org/officeDocument/2006/relationships/hyperlink" Target="https://search.ebscohost.com/login.aspx?direct=true&amp;db=mdc&amp;AN=29972091&amp;site=ehost-live" TargetMode="External"/><Relationship Id="rId110" Type="http://schemas.openxmlformats.org/officeDocument/2006/relationships/hyperlink" Target="https://search.ebscohost.com/login.aspx?direct=true&amp;db=mdc&amp;AN=29363055&amp;site=ehost-live" TargetMode="External"/><Relationship Id="rId61" Type="http://schemas.openxmlformats.org/officeDocument/2006/relationships/hyperlink" Target="https://search.ebscohost.com/login.aspx?direct=true&amp;db=mdc&amp;AN=29252050&amp;site=ehost-live" TargetMode="External"/><Relationship Id="rId82" Type="http://schemas.openxmlformats.org/officeDocument/2006/relationships/hyperlink" Target="https://search.ebscohost.com/login.aspx?direct=true&amp;db=mdc&amp;AN=29217531&amp;site=ehost-live" TargetMode="External"/><Relationship Id="rId19" Type="http://schemas.openxmlformats.org/officeDocument/2006/relationships/hyperlink" Target="https://search.ebscohost.com/login.aspx?direct=true&amp;db=mdc&amp;AN=29399975&amp;site=ehost-live" TargetMode="External"/><Relationship Id="rId14" Type="http://schemas.openxmlformats.org/officeDocument/2006/relationships/hyperlink" Target="https://search.ebscohost.com/login.aspx?direct=true&amp;db=mdc&amp;AN=29239696&amp;site=ehost-live" TargetMode="External"/><Relationship Id="rId30" Type="http://schemas.openxmlformats.org/officeDocument/2006/relationships/hyperlink" Target="https://search.ebscohost.com/login.aspx?direct=true&amp;db=mdc&amp;AN=28282750&amp;site=ehost-live" TargetMode="External"/><Relationship Id="rId35" Type="http://schemas.openxmlformats.org/officeDocument/2006/relationships/hyperlink" Target="https://search.ebscohost.com/login.aspx?direct=true&amp;db=mdc&amp;AN=29738285&amp;site=ehost-live" TargetMode="External"/><Relationship Id="rId56" Type="http://schemas.openxmlformats.org/officeDocument/2006/relationships/hyperlink" Target="https://search.ebscohost.com/login.aspx?direct=true&amp;db=mdc&amp;AN=30038583&amp;site=ehost-live" TargetMode="External"/><Relationship Id="rId77" Type="http://schemas.openxmlformats.org/officeDocument/2006/relationships/hyperlink" Target="https://search.ebscohost.com/login.aspx?direct=true&amp;db=mdc&amp;AN=30029584&amp;site=ehost-live" TargetMode="External"/><Relationship Id="rId100" Type="http://schemas.openxmlformats.org/officeDocument/2006/relationships/hyperlink" Target="https://search.ebscohost.com/login.aspx?direct=true&amp;db=mdc&amp;AN=29627884&amp;site=ehost-live" TargetMode="External"/><Relationship Id="rId105" Type="http://schemas.openxmlformats.org/officeDocument/2006/relationships/hyperlink" Target="https://search.ebscohost.com/login.aspx?direct=true&amp;db=mdc&amp;AN=28891759&amp;site=ehost-live" TargetMode="External"/><Relationship Id="rId8" Type="http://schemas.openxmlformats.org/officeDocument/2006/relationships/hyperlink" Target="https://search.ebscohost.com/login.aspx?direct=true&amp;db=mdc&amp;AN=29740346&amp;site=ehost-live" TargetMode="External"/><Relationship Id="rId51" Type="http://schemas.openxmlformats.org/officeDocument/2006/relationships/hyperlink" Target="https://search.ebscohost.com/login.aspx?direct=true&amp;db=mdc&amp;AN=29773536&amp;site=ehost-live" TargetMode="External"/><Relationship Id="rId72" Type="http://schemas.openxmlformats.org/officeDocument/2006/relationships/hyperlink" Target="https://search.ebscohost.com/login.aspx?direct=true&amp;db=mdc&amp;AN=29140154&amp;site=ehost-live" TargetMode="External"/><Relationship Id="rId93" Type="http://schemas.openxmlformats.org/officeDocument/2006/relationships/hyperlink" Target="https://search.ebscohost.com/login.aspx?direct=true&amp;db=mdc&amp;AN=29445348&amp;site=ehost-live" TargetMode="External"/><Relationship Id="rId98" Type="http://schemas.openxmlformats.org/officeDocument/2006/relationships/hyperlink" Target="https://search.ebscohost.com/login.aspx?direct=true&amp;db=mdc&amp;AN=29910346&amp;site=ehost-live" TargetMode="External"/><Relationship Id="rId3" Type="http://schemas.openxmlformats.org/officeDocument/2006/relationships/hyperlink" Target="https://search.ebscohost.com/login.aspx?direct=true&amp;db=mdc&amp;AN=29500797&amp;site=ehost-live" TargetMode="External"/><Relationship Id="rId25" Type="http://schemas.openxmlformats.org/officeDocument/2006/relationships/hyperlink" Target="https://search.ebscohost.com/login.aspx?direct=true&amp;db=mdc&amp;AN=29356948&amp;site=ehost-live" TargetMode="External"/><Relationship Id="rId46" Type="http://schemas.openxmlformats.org/officeDocument/2006/relationships/hyperlink" Target="https://search.ebscohost.com/login.aspx?direct=true&amp;db=mdc&amp;AN=29273601&amp;site=ehost-live" TargetMode="External"/><Relationship Id="rId67" Type="http://schemas.openxmlformats.org/officeDocument/2006/relationships/hyperlink" Target="https://search.ebscohost.com/login.aspx?direct=true&amp;db=mdc&amp;AN=29468949&amp;site=ehost-live" TargetMode="External"/><Relationship Id="rId20" Type="http://schemas.openxmlformats.org/officeDocument/2006/relationships/hyperlink" Target="https://search.ebscohost.com/login.aspx?direct=true&amp;db=mdc&amp;AN=28783446&amp;site=ehost-live" TargetMode="External"/><Relationship Id="rId41" Type="http://schemas.openxmlformats.org/officeDocument/2006/relationships/hyperlink" Target="https://search.ebscohost.com/login.aspx?direct=true&amp;db=mdc&amp;AN=29415324&amp;site=ehost-live" TargetMode="External"/><Relationship Id="rId62" Type="http://schemas.openxmlformats.org/officeDocument/2006/relationships/hyperlink" Target="https://search.ebscohost.com/login.aspx?direct=true&amp;db=mdc&amp;AN=29867588&amp;site=ehost-live" TargetMode="External"/><Relationship Id="rId83" Type="http://schemas.openxmlformats.org/officeDocument/2006/relationships/hyperlink" Target="https://search.ebscohost.com/login.aspx?direct=true&amp;db=mdc&amp;AN=29551273&amp;site=ehost-live" TargetMode="External"/><Relationship Id="rId88" Type="http://schemas.openxmlformats.org/officeDocument/2006/relationships/hyperlink" Target="https://search.ebscohost.com/login.aspx?direct=true&amp;db=mdc&amp;AN=29251174&amp;site=ehost-live" TargetMode="External"/><Relationship Id="rId111" Type="http://schemas.openxmlformats.org/officeDocument/2006/relationships/hyperlink" Target="https://search.ebscohost.com/login.aspx?direct=true&amp;db=mdc&amp;AN=28663135&amp;site=ehost-live"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search.ebscohost.com/login.aspx?direct=true&amp;db=mdc&amp;AN=27214399&amp;site=ehost-live" TargetMode="External"/><Relationship Id="rId21" Type="http://schemas.openxmlformats.org/officeDocument/2006/relationships/hyperlink" Target="https://search.ebscohost.com/login.aspx?direct=true&amp;db=mdc&amp;AN=28526226&amp;site=ehost-live" TargetMode="External"/><Relationship Id="rId42" Type="http://schemas.openxmlformats.org/officeDocument/2006/relationships/hyperlink" Target="https://search.ebscohost.com/login.aspx?direct=true&amp;db=mdc&amp;AN=28595869&amp;site=ehost-live" TargetMode="External"/><Relationship Id="rId47" Type="http://schemas.openxmlformats.org/officeDocument/2006/relationships/hyperlink" Target="https://search.ebscohost.com/login.aspx?direct=true&amp;db=mdc&amp;AN=28276913&amp;site=ehost-live" TargetMode="External"/><Relationship Id="rId63" Type="http://schemas.openxmlformats.org/officeDocument/2006/relationships/hyperlink" Target="https://search.ebscohost.com/login.aspx?direct=true&amp;db=mdc&amp;AN=28648242&amp;site=ehost-live" TargetMode="External"/><Relationship Id="rId68" Type="http://schemas.openxmlformats.org/officeDocument/2006/relationships/hyperlink" Target="https://search.ebscohost.com/login.aspx?direct=true&amp;db=mdc&amp;AN=28173971&amp;site=ehost-live" TargetMode="External"/><Relationship Id="rId84" Type="http://schemas.openxmlformats.org/officeDocument/2006/relationships/hyperlink" Target="https://search.ebscohost.com/login.aspx?direct=true&amp;db=mdc&amp;AN=27647857&amp;site=ehost-live" TargetMode="External"/><Relationship Id="rId16" Type="http://schemas.openxmlformats.org/officeDocument/2006/relationships/hyperlink" Target="https://search.ebscohost.com/login.aspx?direct=true&amp;db=mdc&amp;AN=27526635&amp;site=ehost-live" TargetMode="External"/><Relationship Id="rId11" Type="http://schemas.openxmlformats.org/officeDocument/2006/relationships/hyperlink" Target="https://search.ebscohost.com/login.aspx?direct=true&amp;db=mdc&amp;AN=27465395&amp;site=ehost-live" TargetMode="External"/><Relationship Id="rId32" Type="http://schemas.openxmlformats.org/officeDocument/2006/relationships/hyperlink" Target="https://search.ebscohost.com/login.aspx?direct=true&amp;db=mdc&amp;AN=28446456&amp;site=ehost-live" TargetMode="External"/><Relationship Id="rId37" Type="http://schemas.openxmlformats.org/officeDocument/2006/relationships/hyperlink" Target="https://search.ebscohost.com/login.aspx?direct=true&amp;db=mdc&amp;AN=28855883&amp;site=ehost-live" TargetMode="External"/><Relationship Id="rId53" Type="http://schemas.openxmlformats.org/officeDocument/2006/relationships/hyperlink" Target="https://search.ebscohost.com/login.aspx?direct=true&amp;db=mdc&amp;AN=27431482&amp;site=ehost-live" TargetMode="External"/><Relationship Id="rId58" Type="http://schemas.openxmlformats.org/officeDocument/2006/relationships/hyperlink" Target="https://search.ebscohost.com/login.aspx?direct=true&amp;db=mdc&amp;AN=28483557&amp;site=ehost-live" TargetMode="External"/><Relationship Id="rId74" Type="http://schemas.openxmlformats.org/officeDocument/2006/relationships/hyperlink" Target="https://search.ebscohost.com/login.aspx?direct=true&amp;db=mdc&amp;AN=28225153&amp;site=ehost-live" TargetMode="External"/><Relationship Id="rId79" Type="http://schemas.openxmlformats.org/officeDocument/2006/relationships/hyperlink" Target="https://search.ebscohost.com/login.aspx?direct=true&amp;db=mdc&amp;AN=29910445&amp;site=ehost-live" TargetMode="External"/><Relationship Id="rId5" Type="http://schemas.openxmlformats.org/officeDocument/2006/relationships/hyperlink" Target="https://search.ebscohost.com/login.aspx?direct=true&amp;db=mdc&amp;AN=27241475&amp;site=ehost-live" TargetMode="External"/><Relationship Id="rId19" Type="http://schemas.openxmlformats.org/officeDocument/2006/relationships/hyperlink" Target="https://search.ebscohost.com/login.aspx?direct=true&amp;db=mdc&amp;AN=27899345&amp;site=ehost-live" TargetMode="External"/><Relationship Id="rId14" Type="http://schemas.openxmlformats.org/officeDocument/2006/relationships/hyperlink" Target="https://search.ebscohost.com/login.aspx?direct=true&amp;db=mdc&amp;AN=28282752&amp;site=ehost-live" TargetMode="External"/><Relationship Id="rId22" Type="http://schemas.openxmlformats.org/officeDocument/2006/relationships/hyperlink" Target="https://search.ebscohost.com/login.aspx?direct=true&amp;db=mdc&amp;AN=29031473&amp;site=ehost-live" TargetMode="External"/><Relationship Id="rId27" Type="http://schemas.openxmlformats.org/officeDocument/2006/relationships/hyperlink" Target="https://search.ebscohost.com/login.aspx?direct=true&amp;db=mdc&amp;AN=29143596&amp;site=ehost-live" TargetMode="External"/><Relationship Id="rId30" Type="http://schemas.openxmlformats.org/officeDocument/2006/relationships/hyperlink" Target="https://search.ebscohost.com/login.aspx?direct=true&amp;db=mdc&amp;AN=27840035&amp;site=ehost-live" TargetMode="External"/><Relationship Id="rId35" Type="http://schemas.openxmlformats.org/officeDocument/2006/relationships/hyperlink" Target="https://search.ebscohost.com/login.aspx?direct=true&amp;db=mdc&amp;AN=29109686&amp;site=ehost-live" TargetMode="External"/><Relationship Id="rId43" Type="http://schemas.openxmlformats.org/officeDocument/2006/relationships/hyperlink" Target="https://search.ebscohost.com/login.aspx?direct=true&amp;db=mdc&amp;AN=28296943&amp;site=ehost-live" TargetMode="External"/><Relationship Id="rId48" Type="http://schemas.openxmlformats.org/officeDocument/2006/relationships/hyperlink" Target="https://search.ebscohost.com/login.aspx?direct=true&amp;db=mdc&amp;AN=28332111&amp;site=ehost-live" TargetMode="External"/><Relationship Id="rId56" Type="http://schemas.openxmlformats.org/officeDocument/2006/relationships/hyperlink" Target="https://search.ebscohost.com/login.aspx?direct=true&amp;db=mdc&amp;AN=28108268&amp;site=ehost-live" TargetMode="External"/><Relationship Id="rId64" Type="http://schemas.openxmlformats.org/officeDocument/2006/relationships/hyperlink" Target="https://search.ebscohost.com/login.aspx?direct=true&amp;db=mdc&amp;AN=28250934&amp;site=ehost-live" TargetMode="External"/><Relationship Id="rId69" Type="http://schemas.openxmlformats.org/officeDocument/2006/relationships/hyperlink" Target="https://search.ebscohost.com/login.aspx?direct=true&amp;db=mdc&amp;AN=26926311&amp;site=ehost-live" TargetMode="External"/><Relationship Id="rId77" Type="http://schemas.openxmlformats.org/officeDocument/2006/relationships/hyperlink" Target="https://search.ebscohost.com/login.aspx?direct=true&amp;db=mdc&amp;AN=28410536&amp;site=ehost-live" TargetMode="External"/><Relationship Id="rId8" Type="http://schemas.openxmlformats.org/officeDocument/2006/relationships/hyperlink" Target="https://search.ebscohost.com/login.aspx?direct=true&amp;db=mdc&amp;AN=28199047&amp;site=ehost-live" TargetMode="External"/><Relationship Id="rId51" Type="http://schemas.openxmlformats.org/officeDocument/2006/relationships/hyperlink" Target="https://search.ebscohost.com/login.aspx?direct=true&amp;db=mdc&amp;AN=29163306&amp;site=ehost-live" TargetMode="External"/><Relationship Id="rId72" Type="http://schemas.openxmlformats.org/officeDocument/2006/relationships/hyperlink" Target="https://search.ebscohost.com/login.aspx?direct=true&amp;db=mdc&amp;AN=28712544&amp;site=ehost-live" TargetMode="External"/><Relationship Id="rId80" Type="http://schemas.openxmlformats.org/officeDocument/2006/relationships/hyperlink" Target="https://search.ebscohost.com/login.aspx?direct=true&amp;db=mdc&amp;AN=27852613&amp;site=ehost-live" TargetMode="External"/><Relationship Id="rId85" Type="http://schemas.openxmlformats.org/officeDocument/2006/relationships/table" Target="../tables/table6.xml"/><Relationship Id="rId3" Type="http://schemas.openxmlformats.org/officeDocument/2006/relationships/hyperlink" Target="https://search.ebscohost.com/login.aspx?direct=true&amp;db=mdc&amp;AN=27566896&amp;site=ehost-live" TargetMode="External"/><Relationship Id="rId12" Type="http://schemas.openxmlformats.org/officeDocument/2006/relationships/hyperlink" Target="https://search.ebscohost.com/login.aspx?direct=true&amp;db=mdc&amp;AN=28230530&amp;site=ehost-live" TargetMode="External"/><Relationship Id="rId17" Type="http://schemas.openxmlformats.org/officeDocument/2006/relationships/hyperlink" Target="https://search.ebscohost.com/login.aspx?direct=true&amp;db=mdc&amp;AN=28704344&amp;site=ehost-live" TargetMode="External"/><Relationship Id="rId25" Type="http://schemas.openxmlformats.org/officeDocument/2006/relationships/hyperlink" Target="https://search.ebscohost.com/login.aspx?direct=true&amp;db=mdc&amp;AN=28763504&amp;site=ehost-live" TargetMode="External"/><Relationship Id="rId33" Type="http://schemas.openxmlformats.org/officeDocument/2006/relationships/hyperlink" Target="https://search.ebscohost.com/login.aspx?direct=true&amp;db=mdc&amp;AN=28910543&amp;site=ehost-live" TargetMode="External"/><Relationship Id="rId38" Type="http://schemas.openxmlformats.org/officeDocument/2006/relationships/hyperlink" Target="https://search.ebscohost.com/login.aspx?direct=true&amp;db=mdc&amp;AN=28012184&amp;site=ehost-live" TargetMode="External"/><Relationship Id="rId46" Type="http://schemas.openxmlformats.org/officeDocument/2006/relationships/hyperlink" Target="https://search.ebscohost.com/login.aspx?direct=true&amp;db=mdc&amp;AN=27789774&amp;site=ehost-live" TargetMode="External"/><Relationship Id="rId59" Type="http://schemas.openxmlformats.org/officeDocument/2006/relationships/hyperlink" Target="https://search.ebscohost.com/login.aspx?direct=true&amp;db=mdc&amp;AN=28189699&amp;site=ehost-live" TargetMode="External"/><Relationship Id="rId67" Type="http://schemas.openxmlformats.org/officeDocument/2006/relationships/hyperlink" Target="https://search.ebscohost.com/login.aspx?direct=true&amp;db=mdc&amp;AN=28214385&amp;site=ehost-live" TargetMode="External"/><Relationship Id="rId20" Type="http://schemas.openxmlformats.org/officeDocument/2006/relationships/hyperlink" Target="https://search.ebscohost.com/login.aspx?direct=true&amp;db=mdc&amp;AN=28497284&amp;site=ehost-live" TargetMode="External"/><Relationship Id="rId41" Type="http://schemas.openxmlformats.org/officeDocument/2006/relationships/hyperlink" Target="https://search.ebscohost.com/login.aspx?direct=true&amp;db=mdc&amp;AN=28651061&amp;site=ehost-live" TargetMode="External"/><Relationship Id="rId54" Type="http://schemas.openxmlformats.org/officeDocument/2006/relationships/hyperlink" Target="https://search.ebscohost.com/login.aspx?direct=true&amp;db=mdc&amp;AN=28452135&amp;site=ehost-live" TargetMode="External"/><Relationship Id="rId62" Type="http://schemas.openxmlformats.org/officeDocument/2006/relationships/hyperlink" Target="https://search.ebscohost.com/login.aspx?direct=true&amp;db=mdc&amp;AN=28189461&amp;site=ehost-live" TargetMode="External"/><Relationship Id="rId70" Type="http://schemas.openxmlformats.org/officeDocument/2006/relationships/hyperlink" Target="https://search.ebscohost.com/login.aspx?direct=true&amp;db=mdc&amp;AN=26888631&amp;site=ehost-live" TargetMode="External"/><Relationship Id="rId75" Type="http://schemas.openxmlformats.org/officeDocument/2006/relationships/hyperlink" Target="https://search.ebscohost.com/login.aspx?direct=true&amp;db=mdc&amp;AN=28081034&amp;site=ehost-live" TargetMode="External"/><Relationship Id="rId83" Type="http://schemas.openxmlformats.org/officeDocument/2006/relationships/hyperlink" Target="https://search.ebscohost.com/login.aspx?direct=true&amp;db=mdc&amp;AN=28878701&amp;site=ehost-live" TargetMode="External"/><Relationship Id="rId1" Type="http://schemas.openxmlformats.org/officeDocument/2006/relationships/hyperlink" Target="https://search.ebscohost.com/login.aspx?direct=true&amp;db=mdc&amp;AN=28278387&amp;site=ehost-live" TargetMode="External"/><Relationship Id="rId6" Type="http://schemas.openxmlformats.org/officeDocument/2006/relationships/hyperlink" Target="https://search.ebscohost.com/login.aspx?direct=true&amp;db=mdc&amp;AN=28549243&amp;site=ehost-live" TargetMode="External"/><Relationship Id="rId15" Type="http://schemas.openxmlformats.org/officeDocument/2006/relationships/hyperlink" Target="https://search.ebscohost.com/login.aspx?direct=true&amp;db=mdc&amp;AN=28585467&amp;site=ehost-live" TargetMode="External"/><Relationship Id="rId23" Type="http://schemas.openxmlformats.org/officeDocument/2006/relationships/hyperlink" Target="https://search.ebscohost.com/login.aspx?direct=true&amp;db=mdc&amp;AN=28409396&amp;site=ehost-live" TargetMode="External"/><Relationship Id="rId28" Type="http://schemas.openxmlformats.org/officeDocument/2006/relationships/hyperlink" Target="https://search.ebscohost.com/login.aspx?direct=true&amp;db=mdc&amp;AN=28719491&amp;site=ehost-live" TargetMode="External"/><Relationship Id="rId36" Type="http://schemas.openxmlformats.org/officeDocument/2006/relationships/hyperlink" Target="https://search.ebscohost.com/login.aspx?direct=true&amp;db=mdc&amp;AN=27038097&amp;site=ehost-live" TargetMode="External"/><Relationship Id="rId49" Type="http://schemas.openxmlformats.org/officeDocument/2006/relationships/hyperlink" Target="https://search.ebscohost.com/login.aspx?direct=true&amp;db=mdc&amp;AN=27467515&amp;site=ehost-live" TargetMode="External"/><Relationship Id="rId57" Type="http://schemas.openxmlformats.org/officeDocument/2006/relationships/hyperlink" Target="https://search.ebscohost.com/login.aspx?direct=true&amp;db=mdc&amp;AN=27594321&amp;site=ehost-live" TargetMode="External"/><Relationship Id="rId10" Type="http://schemas.openxmlformats.org/officeDocument/2006/relationships/hyperlink" Target="https://search.ebscohost.com/login.aspx?direct=true&amp;db=mdc&amp;AN=28129518&amp;site=ehost-live" TargetMode="External"/><Relationship Id="rId31" Type="http://schemas.openxmlformats.org/officeDocument/2006/relationships/hyperlink" Target="https://search.ebscohost.com/login.aspx?direct=true&amp;db=mdc&amp;AN=28316263&amp;site=ehost-live" TargetMode="External"/><Relationship Id="rId44" Type="http://schemas.openxmlformats.org/officeDocument/2006/relationships/hyperlink" Target="https://search.ebscohost.com/login.aspx?direct=true&amp;db=mdc&amp;AN=29541131&amp;site=ehost-live" TargetMode="External"/><Relationship Id="rId52" Type="http://schemas.openxmlformats.org/officeDocument/2006/relationships/hyperlink" Target="https://search.ebscohost.com/login.aspx?direct=true&amp;db=mdc&amp;AN=26949176&amp;site=ehost-live" TargetMode="External"/><Relationship Id="rId60" Type="http://schemas.openxmlformats.org/officeDocument/2006/relationships/hyperlink" Target="https://search.ebscohost.com/login.aspx?direct=true&amp;db=mdc&amp;AN=29031461&amp;site=ehost-live" TargetMode="External"/><Relationship Id="rId65" Type="http://schemas.openxmlformats.org/officeDocument/2006/relationships/hyperlink" Target="https://search.ebscohost.com/login.aspx?direct=true&amp;db=mdc&amp;AN=27787334&amp;site=ehost-live" TargetMode="External"/><Relationship Id="rId73" Type="http://schemas.openxmlformats.org/officeDocument/2006/relationships/hyperlink" Target="https://search.ebscohost.com/login.aspx?direct=true&amp;db=mdc&amp;AN=27088370&amp;site=ehost-live" TargetMode="External"/><Relationship Id="rId78" Type="http://schemas.openxmlformats.org/officeDocument/2006/relationships/hyperlink" Target="https://search.ebscohost.com/login.aspx?direct=true&amp;db=mdc&amp;AN=27473653&amp;site=ehost-live" TargetMode="External"/><Relationship Id="rId81" Type="http://schemas.openxmlformats.org/officeDocument/2006/relationships/hyperlink" Target="https://search.ebscohost.com/login.aspx?direct=true&amp;db=mdc&amp;AN=27836627&amp;site=ehost-live" TargetMode="External"/><Relationship Id="rId4" Type="http://schemas.openxmlformats.org/officeDocument/2006/relationships/hyperlink" Target="https://search.ebscohost.com/login.aspx?direct=true&amp;db=mdc&amp;AN=29282990&amp;site=ehost-live" TargetMode="External"/><Relationship Id="rId9" Type="http://schemas.openxmlformats.org/officeDocument/2006/relationships/hyperlink" Target="https://search.ebscohost.com/login.aspx?direct=true&amp;db=mdc&amp;AN=28523640&amp;site=ehost-live" TargetMode="External"/><Relationship Id="rId13" Type="http://schemas.openxmlformats.org/officeDocument/2006/relationships/hyperlink" Target="https://search.ebscohost.com/login.aspx?direct=true&amp;db=mdc&amp;AN=27873190&amp;site=ehost-live" TargetMode="External"/><Relationship Id="rId18" Type="http://schemas.openxmlformats.org/officeDocument/2006/relationships/hyperlink" Target="https://search.ebscohost.com/login.aspx?direct=true&amp;db=mdc&amp;AN=27631544&amp;site=ehost-live" TargetMode="External"/><Relationship Id="rId39" Type="http://schemas.openxmlformats.org/officeDocument/2006/relationships/hyperlink" Target="https://search.ebscohost.com/login.aspx?direct=true&amp;db=mdc&amp;AN=28410328&amp;site=ehost-live" TargetMode="External"/><Relationship Id="rId34" Type="http://schemas.openxmlformats.org/officeDocument/2006/relationships/hyperlink" Target="https://search.ebscohost.com/login.aspx?direct=true&amp;db=mdc&amp;AN=28784622&amp;site=ehost-live" TargetMode="External"/><Relationship Id="rId50" Type="http://schemas.openxmlformats.org/officeDocument/2006/relationships/hyperlink" Target="https://search.ebscohost.com/login.aspx?direct=true&amp;db=mdc&amp;AN=28855419&amp;site=ehost-live" TargetMode="External"/><Relationship Id="rId55" Type="http://schemas.openxmlformats.org/officeDocument/2006/relationships/hyperlink" Target="https://search.ebscohost.com/login.aspx?direct=true&amp;db=mdc&amp;AN=27359207&amp;site=ehost-live" TargetMode="External"/><Relationship Id="rId76" Type="http://schemas.openxmlformats.org/officeDocument/2006/relationships/hyperlink" Target="https://search.ebscohost.com/login.aspx?direct=true&amp;db=mdc&amp;AN=28813355&amp;site=ehost-live" TargetMode="External"/><Relationship Id="rId7" Type="http://schemas.openxmlformats.org/officeDocument/2006/relationships/hyperlink" Target="https://search.ebscohost.com/login.aspx?direct=true&amp;db=mdc&amp;AN=28076736&amp;site=ehost-live" TargetMode="External"/><Relationship Id="rId71" Type="http://schemas.openxmlformats.org/officeDocument/2006/relationships/hyperlink" Target="https://search.ebscohost.com/login.aspx?direct=true&amp;db=mdc&amp;AN=28339350&amp;site=ehost-live" TargetMode="External"/><Relationship Id="rId2" Type="http://schemas.openxmlformats.org/officeDocument/2006/relationships/hyperlink" Target="https://search.ebscohost.com/login.aspx?direct=true&amp;db=mdc&amp;AN=28385561&amp;site=ehost-live" TargetMode="External"/><Relationship Id="rId29" Type="http://schemas.openxmlformats.org/officeDocument/2006/relationships/hyperlink" Target="https://search.ebscohost.com/login.aspx?direct=true&amp;db=mdc&amp;AN=29287064&amp;site=ehost-live" TargetMode="External"/><Relationship Id="rId24" Type="http://schemas.openxmlformats.org/officeDocument/2006/relationships/hyperlink" Target="https://search.ebscohost.com/login.aspx?direct=true&amp;db=mdc&amp;AN=28104353&amp;site=ehost-live" TargetMode="External"/><Relationship Id="rId40" Type="http://schemas.openxmlformats.org/officeDocument/2006/relationships/hyperlink" Target="https://search.ebscohost.com/login.aspx?direct=true&amp;db=mdc&amp;AN=28409398&amp;site=ehost-live" TargetMode="External"/><Relationship Id="rId45" Type="http://schemas.openxmlformats.org/officeDocument/2006/relationships/hyperlink" Target="https://search.ebscohost.com/login.aspx?direct=true&amp;db=mdc&amp;AN=29260420&amp;site=ehost-live" TargetMode="External"/><Relationship Id="rId66" Type="http://schemas.openxmlformats.org/officeDocument/2006/relationships/hyperlink" Target="https://search.ebscohost.com/login.aspx?direct=true&amp;db=mdc&amp;AN=28196753&amp;site=ehost-live" TargetMode="External"/><Relationship Id="rId61" Type="http://schemas.openxmlformats.org/officeDocument/2006/relationships/hyperlink" Target="https://search.ebscohost.com/login.aspx?direct=true&amp;db=mdc&amp;AN=29238263&amp;site=ehost-live" TargetMode="External"/><Relationship Id="rId82" Type="http://schemas.openxmlformats.org/officeDocument/2006/relationships/hyperlink" Target="https://search.ebscohost.com/login.aspx?direct=true&amp;db=mdc&amp;AN=28330847&amp;site=ehost-live"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search.ebscohost.com/login.aspx?direct=true&amp;db=mdc&amp;AN=27581481&amp;site=ehost-live" TargetMode="External"/><Relationship Id="rId21" Type="http://schemas.openxmlformats.org/officeDocument/2006/relationships/hyperlink" Target="https://search.ebscohost.com/login.aspx?direct=true&amp;db=mdc&amp;AN=27770784&amp;site=ehost-live" TargetMode="External"/><Relationship Id="rId42" Type="http://schemas.openxmlformats.org/officeDocument/2006/relationships/hyperlink" Target="https://search.ebscohost.com/login.aspx?direct=true&amp;db=mdc&amp;AN=26881871&amp;site=ehost-live" TargetMode="External"/><Relationship Id="rId47" Type="http://schemas.openxmlformats.org/officeDocument/2006/relationships/hyperlink" Target="https://search.ebscohost.com/login.aspx?direct=true&amp;db=mdc&amp;AN=27126742&amp;site=ehost-live" TargetMode="External"/><Relationship Id="rId63" Type="http://schemas.openxmlformats.org/officeDocument/2006/relationships/hyperlink" Target="https://search.ebscohost.com/login.aspx?direct=true&amp;db=mdc&amp;AN=27157334&amp;site=ehost-live" TargetMode="External"/><Relationship Id="rId68" Type="http://schemas.openxmlformats.org/officeDocument/2006/relationships/hyperlink" Target="https://search.ebscohost.com/login.aspx?direct=true&amp;db=mdc&amp;AN=26896956&amp;site=ehost-live" TargetMode="External"/><Relationship Id="rId16" Type="http://schemas.openxmlformats.org/officeDocument/2006/relationships/hyperlink" Target="https://search.ebscohost.com/login.aspx?direct=true&amp;db=mdc&amp;AN=27073914&amp;site=ehost-live" TargetMode="External"/><Relationship Id="rId11" Type="http://schemas.openxmlformats.org/officeDocument/2006/relationships/hyperlink" Target="https://search.ebscohost.com/login.aspx?direct=true&amp;db=mdc&amp;AN=26103786&amp;site=ehost-live" TargetMode="External"/><Relationship Id="rId32" Type="http://schemas.openxmlformats.org/officeDocument/2006/relationships/hyperlink" Target="https://search.ebscohost.com/login.aspx?direct=true&amp;db=mdc&amp;AN=27747796&amp;site=ehost-live" TargetMode="External"/><Relationship Id="rId37" Type="http://schemas.openxmlformats.org/officeDocument/2006/relationships/hyperlink" Target="https://search.ebscohost.com/login.aspx?direct=true&amp;db=mdc&amp;AN=25819703&amp;site=ehost-live" TargetMode="External"/><Relationship Id="rId53" Type="http://schemas.openxmlformats.org/officeDocument/2006/relationships/hyperlink" Target="https://search.ebscohost.com/login.aspx?direct=true&amp;db=mdc&amp;AN=27586426&amp;site=ehost-live" TargetMode="External"/><Relationship Id="rId58" Type="http://schemas.openxmlformats.org/officeDocument/2006/relationships/hyperlink" Target="https://search.ebscohost.com/login.aspx?direct=true&amp;db=mdc&amp;AN=27441380&amp;site=ehost-live" TargetMode="External"/><Relationship Id="rId74" Type="http://schemas.openxmlformats.org/officeDocument/2006/relationships/hyperlink" Target="https://search.ebscohost.com/login.aspx?direct=true&amp;db=mdc&amp;AN=26917695&amp;site=ehost-live" TargetMode="External"/><Relationship Id="rId79" Type="http://schemas.openxmlformats.org/officeDocument/2006/relationships/hyperlink" Target="https://search.ebscohost.com/login.aspx?direct=true&amp;db=mdc&amp;AN=26894371&amp;site=ehost-live" TargetMode="External"/><Relationship Id="rId5" Type="http://schemas.openxmlformats.org/officeDocument/2006/relationships/hyperlink" Target="https://search.ebscohost.com/login.aspx?direct=true&amp;db=mdc&amp;AN=26366462&amp;site=ehost-live" TargetMode="External"/><Relationship Id="rId61" Type="http://schemas.openxmlformats.org/officeDocument/2006/relationships/hyperlink" Target="https://search.ebscohost.com/login.aspx?direct=true&amp;db=mdc&amp;AN=26407586&amp;site=ehost-live" TargetMode="External"/><Relationship Id="rId82" Type="http://schemas.openxmlformats.org/officeDocument/2006/relationships/table" Target="../tables/table7.xml"/><Relationship Id="rId19" Type="http://schemas.openxmlformats.org/officeDocument/2006/relationships/hyperlink" Target="https://search.ebscohost.com/login.aspx?direct=true&amp;db=mdc&amp;AN=26690262&amp;site=ehost-live" TargetMode="External"/><Relationship Id="rId14" Type="http://schemas.openxmlformats.org/officeDocument/2006/relationships/hyperlink" Target="https://search.ebscohost.com/login.aspx?direct=true&amp;db=mdc&amp;AN=27338718&amp;site=ehost-live" TargetMode="External"/><Relationship Id="rId22" Type="http://schemas.openxmlformats.org/officeDocument/2006/relationships/hyperlink" Target="https://search.ebscohost.com/login.aspx?direct=true&amp;db=mdc&amp;AN=26897649&amp;site=ehost-live" TargetMode="External"/><Relationship Id="rId27" Type="http://schemas.openxmlformats.org/officeDocument/2006/relationships/hyperlink" Target="https://search.ebscohost.com/login.aspx?direct=true&amp;db=mdc&amp;AN=24458265&amp;site=ehost-live" TargetMode="External"/><Relationship Id="rId30" Type="http://schemas.openxmlformats.org/officeDocument/2006/relationships/hyperlink" Target="https://search.ebscohost.com/login.aspx?direct=true&amp;db=mdc&amp;AN=27451277&amp;site=ehost-live" TargetMode="External"/><Relationship Id="rId35" Type="http://schemas.openxmlformats.org/officeDocument/2006/relationships/hyperlink" Target="https://search.ebscohost.com/login.aspx?direct=true&amp;db=mdc&amp;AN=26996946&amp;site=ehost-live" TargetMode="External"/><Relationship Id="rId43" Type="http://schemas.openxmlformats.org/officeDocument/2006/relationships/hyperlink" Target="https://search.ebscohost.com/login.aspx?direct=true&amp;db=mdc&amp;AN=26920240&amp;site=ehost-live" TargetMode="External"/><Relationship Id="rId48" Type="http://schemas.openxmlformats.org/officeDocument/2006/relationships/hyperlink" Target="https://search.ebscohost.com/login.aspx?direct=true&amp;db=mdc&amp;AN=25683733&amp;site=ehost-live" TargetMode="External"/><Relationship Id="rId56" Type="http://schemas.openxmlformats.org/officeDocument/2006/relationships/hyperlink" Target="https://search.ebscohost.com/login.aspx?direct=true&amp;db=mdc&amp;AN=25790844&amp;site=ehost-live" TargetMode="External"/><Relationship Id="rId64" Type="http://schemas.openxmlformats.org/officeDocument/2006/relationships/hyperlink" Target="https://search.ebscohost.com/login.aspx?direct=true&amp;db=mdc&amp;AN=27004589&amp;site=ehost-live" TargetMode="External"/><Relationship Id="rId69" Type="http://schemas.openxmlformats.org/officeDocument/2006/relationships/hyperlink" Target="https://search.ebscohost.com/login.aspx?direct=true&amp;db=mdc&amp;AN=26822969&amp;site=ehost-live" TargetMode="External"/><Relationship Id="rId77" Type="http://schemas.openxmlformats.org/officeDocument/2006/relationships/hyperlink" Target="https://search.ebscohost.com/login.aspx?direct=true&amp;db=mdc&amp;AN=27676147&amp;site=ehost-live" TargetMode="External"/><Relationship Id="rId8" Type="http://schemas.openxmlformats.org/officeDocument/2006/relationships/hyperlink" Target="https://search.ebscohost.com/login.aspx?direct=true&amp;db=mdc&amp;AN=27100167&amp;site=ehost-live" TargetMode="External"/><Relationship Id="rId51" Type="http://schemas.openxmlformats.org/officeDocument/2006/relationships/hyperlink" Target="https://search.ebscohost.com/login.aspx?direct=true&amp;db=mdc&amp;AN=26568028&amp;site=ehost-live" TargetMode="External"/><Relationship Id="rId72" Type="http://schemas.openxmlformats.org/officeDocument/2006/relationships/hyperlink" Target="https://search.ebscohost.com/login.aspx?direct=true&amp;db=mdc&amp;AN=26794719&amp;site=ehost-live" TargetMode="External"/><Relationship Id="rId80" Type="http://schemas.openxmlformats.org/officeDocument/2006/relationships/hyperlink" Target="https://search.ebscohost.com/login.aspx?direct=true&amp;db=mdc&amp;AN=25990883&amp;site=ehost-live" TargetMode="External"/><Relationship Id="rId3" Type="http://schemas.openxmlformats.org/officeDocument/2006/relationships/hyperlink" Target="https://search.ebscohost.com/login.aspx?direct=true&amp;db=mdc&amp;AN=26586912&amp;site=ehost-live" TargetMode="External"/><Relationship Id="rId12" Type="http://schemas.openxmlformats.org/officeDocument/2006/relationships/hyperlink" Target="https://search.ebscohost.com/login.aspx?direct=true&amp;db=mdc&amp;AN=26794720&amp;site=ehost-live" TargetMode="External"/><Relationship Id="rId17" Type="http://schemas.openxmlformats.org/officeDocument/2006/relationships/hyperlink" Target="https://search.ebscohost.com/login.aspx?direct=true&amp;db=mdc&amp;AN=27994554&amp;site=ehost-live" TargetMode="External"/><Relationship Id="rId25" Type="http://schemas.openxmlformats.org/officeDocument/2006/relationships/hyperlink" Target="https://search.ebscohost.com/login.aspx?direct=true&amp;db=mdc&amp;AN=25987491&amp;site=ehost-live" TargetMode="External"/><Relationship Id="rId33" Type="http://schemas.openxmlformats.org/officeDocument/2006/relationships/hyperlink" Target="https://search.ebscohost.com/login.aspx?direct=true&amp;db=mdc&amp;AN=27350119&amp;site=ehost-live" TargetMode="External"/><Relationship Id="rId38" Type="http://schemas.openxmlformats.org/officeDocument/2006/relationships/hyperlink" Target="https://search.ebscohost.com/login.aspx?direct=true&amp;db=mdc&amp;AN=26839047&amp;site=ehost-live" TargetMode="External"/><Relationship Id="rId46" Type="http://schemas.openxmlformats.org/officeDocument/2006/relationships/hyperlink" Target="https://search.ebscohost.com/login.aspx?direct=true&amp;db=mdc&amp;AN=27834504&amp;site=ehost-live" TargetMode="External"/><Relationship Id="rId59" Type="http://schemas.openxmlformats.org/officeDocument/2006/relationships/hyperlink" Target="https://search.ebscohost.com/login.aspx?direct=true&amp;db=mdc&amp;AN=26630501&amp;site=ehost-live" TargetMode="External"/><Relationship Id="rId67" Type="http://schemas.openxmlformats.org/officeDocument/2006/relationships/hyperlink" Target="https://search.ebscohost.com/login.aspx?direct=true&amp;db=mdc&amp;AN=26181005&amp;site=ehost-live" TargetMode="External"/><Relationship Id="rId20" Type="http://schemas.openxmlformats.org/officeDocument/2006/relationships/hyperlink" Target="https://search.ebscohost.com/login.aspx?direct=true&amp;db=mdc&amp;AN=27328725&amp;site=ehost-live" TargetMode="External"/><Relationship Id="rId41" Type="http://schemas.openxmlformats.org/officeDocument/2006/relationships/hyperlink" Target="https://search.ebscohost.com/login.aspx?direct=true&amp;db=mdc&amp;AN=27192132&amp;site=ehost-live" TargetMode="External"/><Relationship Id="rId54" Type="http://schemas.openxmlformats.org/officeDocument/2006/relationships/hyperlink" Target="https://search.ebscohost.com/login.aspx?direct=true&amp;db=mdc&amp;AN=26780345&amp;site=ehost-live" TargetMode="External"/><Relationship Id="rId62" Type="http://schemas.openxmlformats.org/officeDocument/2006/relationships/hyperlink" Target="https://search.ebscohost.com/login.aspx?direct=true&amp;db=mdc&amp;AN=28031772&amp;site=ehost-live" TargetMode="External"/><Relationship Id="rId70" Type="http://schemas.openxmlformats.org/officeDocument/2006/relationships/hyperlink" Target="https://search.ebscohost.com/login.aspx?direct=true&amp;db=mdc&amp;AN=26902778&amp;site=ehost-live" TargetMode="External"/><Relationship Id="rId75" Type="http://schemas.openxmlformats.org/officeDocument/2006/relationships/hyperlink" Target="https://search.ebscohost.com/login.aspx?direct=true&amp;db=mdc&amp;AN=26843537&amp;site=ehost-live" TargetMode="External"/><Relationship Id="rId1" Type="http://schemas.openxmlformats.org/officeDocument/2006/relationships/hyperlink" Target="https://search.ebscohost.com/login.aspx?direct=true&amp;db=mdc&amp;AN=26119031&amp;site=ehost-live" TargetMode="External"/><Relationship Id="rId6" Type="http://schemas.openxmlformats.org/officeDocument/2006/relationships/hyperlink" Target="https://search.ebscohost.com/login.aspx?direct=true&amp;db=mdc&amp;AN=27429749&amp;site=ehost-live" TargetMode="External"/><Relationship Id="rId15" Type="http://schemas.openxmlformats.org/officeDocument/2006/relationships/hyperlink" Target="https://search.ebscohost.com/login.aspx?direct=true&amp;db=mdc&amp;AN=26384361&amp;site=ehost-live" TargetMode="External"/><Relationship Id="rId23" Type="http://schemas.openxmlformats.org/officeDocument/2006/relationships/hyperlink" Target="https://search.ebscohost.com/login.aspx?direct=true&amp;db=mdc&amp;AN=26741119&amp;site=ehost-live" TargetMode="External"/><Relationship Id="rId28" Type="http://schemas.openxmlformats.org/officeDocument/2006/relationships/hyperlink" Target="https://search.ebscohost.com/login.aspx?direct=true&amp;db=mdc&amp;AN=26957944&amp;site=ehost-live" TargetMode="External"/><Relationship Id="rId36" Type="http://schemas.openxmlformats.org/officeDocument/2006/relationships/hyperlink" Target="https://search.ebscohost.com/login.aspx?direct=true&amp;db=mdc&amp;AN=26855422&amp;site=ehost-live" TargetMode="External"/><Relationship Id="rId49" Type="http://schemas.openxmlformats.org/officeDocument/2006/relationships/hyperlink" Target="https://search.ebscohost.com/login.aspx?direct=true&amp;db=mdc&amp;AN=27643743&amp;site=ehost-live" TargetMode="External"/><Relationship Id="rId57" Type="http://schemas.openxmlformats.org/officeDocument/2006/relationships/hyperlink" Target="https://search.ebscohost.com/login.aspx?direct=true&amp;db=mdc&amp;AN=27166288&amp;site=ehost-live" TargetMode="External"/><Relationship Id="rId10" Type="http://schemas.openxmlformats.org/officeDocument/2006/relationships/hyperlink" Target="https://search.ebscohost.com/login.aspx?direct=true&amp;db=mdc&amp;AN=27097379&amp;site=ehost-live" TargetMode="External"/><Relationship Id="rId31" Type="http://schemas.openxmlformats.org/officeDocument/2006/relationships/hyperlink" Target="https://search.ebscohost.com/login.aspx?direct=true&amp;db=mdc&amp;AN=27009823&amp;site=ehost-live" TargetMode="External"/><Relationship Id="rId44" Type="http://schemas.openxmlformats.org/officeDocument/2006/relationships/hyperlink" Target="https://search.ebscohost.com/login.aspx?direct=true&amp;db=mdc&amp;AN=26697921&amp;site=ehost-live" TargetMode="External"/><Relationship Id="rId52" Type="http://schemas.openxmlformats.org/officeDocument/2006/relationships/hyperlink" Target="https://search.ebscohost.com/login.aspx?direct=true&amp;db=mdc&amp;AN=27127294&amp;site=ehost-live" TargetMode="External"/><Relationship Id="rId60" Type="http://schemas.openxmlformats.org/officeDocument/2006/relationships/hyperlink" Target="https://search.ebscohost.com/login.aspx?direct=true&amp;db=mdc&amp;AN=26473520&amp;site=ehost-live" TargetMode="External"/><Relationship Id="rId65" Type="http://schemas.openxmlformats.org/officeDocument/2006/relationships/hyperlink" Target="https://search.ebscohost.com/login.aspx?direct=true&amp;db=mdc&amp;AN=27003451&amp;site=ehost-live" TargetMode="External"/><Relationship Id="rId73" Type="http://schemas.openxmlformats.org/officeDocument/2006/relationships/hyperlink" Target="https://search.ebscohost.com/login.aspx?direct=true&amp;db=mdc&amp;AN=26439781&amp;site=ehost-live" TargetMode="External"/><Relationship Id="rId78" Type="http://schemas.openxmlformats.org/officeDocument/2006/relationships/hyperlink" Target="https://search.ebscohost.com/login.aspx?direct=true&amp;db=mdc&amp;AN=26154154&amp;site=ehost-live" TargetMode="External"/><Relationship Id="rId81" Type="http://schemas.openxmlformats.org/officeDocument/2006/relationships/hyperlink" Target="https://search.ebscohost.com/login.aspx?direct=true&amp;db=mdc&amp;AN=26950948&amp;site=ehost-live" TargetMode="External"/><Relationship Id="rId4" Type="http://schemas.openxmlformats.org/officeDocument/2006/relationships/hyperlink" Target="https://search.ebscohost.com/login.aspx?direct=true&amp;db=mdc&amp;AN=27073897&amp;site=ehost-live" TargetMode="External"/><Relationship Id="rId9" Type="http://schemas.openxmlformats.org/officeDocument/2006/relationships/hyperlink" Target="https://search.ebscohost.com/login.aspx?direct=true&amp;db=mdc&amp;AN=26975450&amp;site=ehost-live" TargetMode="External"/><Relationship Id="rId13" Type="http://schemas.openxmlformats.org/officeDocument/2006/relationships/hyperlink" Target="https://search.ebscohost.com/login.aspx?direct=true&amp;db=mdc&amp;AN=26651505&amp;site=ehost-live" TargetMode="External"/><Relationship Id="rId18" Type="http://schemas.openxmlformats.org/officeDocument/2006/relationships/hyperlink" Target="https://search.ebscohost.com/login.aspx?direct=true&amp;db=mdc&amp;AN=25582434&amp;site=ehost-live" TargetMode="External"/><Relationship Id="rId39" Type="http://schemas.openxmlformats.org/officeDocument/2006/relationships/hyperlink" Target="https://search.ebscohost.com/login.aspx?direct=true&amp;db=mdc&amp;AN=27897989&amp;site=ehost-live" TargetMode="External"/><Relationship Id="rId34" Type="http://schemas.openxmlformats.org/officeDocument/2006/relationships/hyperlink" Target="https://search.ebscohost.com/login.aspx?direct=true&amp;db=mdc&amp;AN=27445887&amp;site=ehost-live" TargetMode="External"/><Relationship Id="rId50" Type="http://schemas.openxmlformats.org/officeDocument/2006/relationships/hyperlink" Target="https://search.ebscohost.com/login.aspx?direct=true&amp;db=mdc&amp;AN=26247618&amp;site=ehost-live" TargetMode="External"/><Relationship Id="rId55" Type="http://schemas.openxmlformats.org/officeDocument/2006/relationships/hyperlink" Target="https://search.ebscohost.com/login.aspx?direct=true&amp;db=mdc&amp;AN=27379793&amp;site=ehost-live" TargetMode="External"/><Relationship Id="rId76" Type="http://schemas.openxmlformats.org/officeDocument/2006/relationships/hyperlink" Target="https://search.ebscohost.com/login.aspx?direct=true&amp;db=mdc&amp;AN=27435555&amp;site=ehost-live" TargetMode="External"/><Relationship Id="rId7" Type="http://schemas.openxmlformats.org/officeDocument/2006/relationships/hyperlink" Target="https://search.ebscohost.com/login.aspx?direct=true&amp;db=mdc&amp;AN=27101373&amp;site=ehost-live" TargetMode="External"/><Relationship Id="rId71" Type="http://schemas.openxmlformats.org/officeDocument/2006/relationships/hyperlink" Target="https://search.ebscohost.com/login.aspx?direct=true&amp;db=mdc&amp;AN=26685172&amp;site=ehost-live" TargetMode="External"/><Relationship Id="rId2" Type="http://schemas.openxmlformats.org/officeDocument/2006/relationships/hyperlink" Target="https://search.ebscohost.com/login.aspx?direct=true&amp;db=mdc&amp;AN=26931302&amp;site=ehost-live" TargetMode="External"/><Relationship Id="rId29" Type="http://schemas.openxmlformats.org/officeDocument/2006/relationships/hyperlink" Target="https://search.ebscohost.com/login.aspx?direct=true&amp;db=mdc&amp;AN=27034125&amp;site=ehost-live" TargetMode="External"/><Relationship Id="rId24" Type="http://schemas.openxmlformats.org/officeDocument/2006/relationships/hyperlink" Target="https://search.ebscohost.com/login.aspx?direct=true&amp;db=mdc&amp;AN=27500450&amp;site=ehost-live" TargetMode="External"/><Relationship Id="rId40" Type="http://schemas.openxmlformats.org/officeDocument/2006/relationships/hyperlink" Target="https://search.ebscohost.com/login.aspx?direct=true&amp;db=mdc&amp;AN=27281811&amp;site=ehost-live" TargetMode="External"/><Relationship Id="rId45" Type="http://schemas.openxmlformats.org/officeDocument/2006/relationships/hyperlink" Target="https://search.ebscohost.com/login.aspx?direct=true&amp;db=mdc&amp;AN=27554813&amp;site=ehost-live" TargetMode="External"/><Relationship Id="rId66" Type="http://schemas.openxmlformats.org/officeDocument/2006/relationships/hyperlink" Target="https://search.ebscohost.com/login.aspx?direct=true&amp;db=mdc&amp;AN=27898743&amp;site=ehost-live"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https://search.ebscohost.com/login.aspx?direct=true&amp;db=mdc&amp;AN=26664274&amp;site=ehost-live" TargetMode="External"/><Relationship Id="rId21" Type="http://schemas.openxmlformats.org/officeDocument/2006/relationships/hyperlink" Target="https://search.ebscohost.com/login.aspx?direct=true&amp;db=mdc&amp;AN=26468644&amp;site=ehost-live" TargetMode="External"/><Relationship Id="rId34" Type="http://schemas.openxmlformats.org/officeDocument/2006/relationships/hyperlink" Target="https://search.ebscohost.com/login.aspx?direct=true&amp;db=mdc&amp;AN=26136534&amp;site=ehost-live" TargetMode="External"/><Relationship Id="rId42" Type="http://schemas.openxmlformats.org/officeDocument/2006/relationships/hyperlink" Target="https://search.ebscohost.com/login.aspx?direct=true&amp;db=mdc&amp;AN=26263553&amp;site=ehost-live" TargetMode="External"/><Relationship Id="rId47" Type="http://schemas.openxmlformats.org/officeDocument/2006/relationships/hyperlink" Target="https://search.ebscohost.com/login.aspx?direct=true&amp;db=mdc&amp;AN=26553488&amp;site=ehost-live" TargetMode="External"/><Relationship Id="rId50" Type="http://schemas.openxmlformats.org/officeDocument/2006/relationships/hyperlink" Target="https://search.ebscohost.com/login.aspx?direct=true&amp;db=mdc&amp;AN=25783667&amp;site=ehost-live" TargetMode="External"/><Relationship Id="rId55" Type="http://schemas.openxmlformats.org/officeDocument/2006/relationships/hyperlink" Target="https://search.ebscohost.com/login.aspx?direct=true&amp;db=mdc&amp;AN=25970439&amp;site=ehost-live" TargetMode="External"/><Relationship Id="rId63" Type="http://schemas.openxmlformats.org/officeDocument/2006/relationships/hyperlink" Target="https://search.ebscohost.com/login.aspx?direct=true&amp;db=mdc&amp;AN=26573098&amp;site=ehost-live" TargetMode="External"/><Relationship Id="rId7" Type="http://schemas.openxmlformats.org/officeDocument/2006/relationships/hyperlink" Target="https://search.ebscohost.com/login.aspx?direct=true&amp;db=mdc&amp;AN=25944456&amp;site=ehost-live" TargetMode="External"/><Relationship Id="rId2" Type="http://schemas.openxmlformats.org/officeDocument/2006/relationships/hyperlink" Target="https://search.ebscohost.com/login.aspx?direct=true&amp;db=mdc&amp;AN=24723636&amp;site=ehost-live" TargetMode="External"/><Relationship Id="rId16" Type="http://schemas.openxmlformats.org/officeDocument/2006/relationships/hyperlink" Target="https://search.ebscohost.com/login.aspx?direct=true&amp;db=mdc&amp;AN=26112242&amp;site=ehost-live" TargetMode="External"/><Relationship Id="rId29" Type="http://schemas.openxmlformats.org/officeDocument/2006/relationships/hyperlink" Target="https://search.ebscohost.com/login.aspx?direct=true&amp;db=mdc&amp;AN=25555171&amp;site=ehost-live" TargetMode="External"/><Relationship Id="rId11" Type="http://schemas.openxmlformats.org/officeDocument/2006/relationships/hyperlink" Target="https://search.ebscohost.com/login.aspx?direct=true&amp;db=mdc&amp;AN=26466081&amp;site=ehost-live" TargetMode="External"/><Relationship Id="rId24" Type="http://schemas.openxmlformats.org/officeDocument/2006/relationships/hyperlink" Target="https://search.ebscohost.com/login.aspx?direct=true&amp;db=mdc&amp;AN=26629912&amp;site=ehost-live" TargetMode="External"/><Relationship Id="rId32" Type="http://schemas.openxmlformats.org/officeDocument/2006/relationships/hyperlink" Target="https://search.ebscohost.com/login.aspx?direct=true&amp;db=mdc&amp;AN=25932988&amp;site=ehost-live" TargetMode="External"/><Relationship Id="rId37" Type="http://schemas.openxmlformats.org/officeDocument/2006/relationships/hyperlink" Target="https://search.ebscohost.com/login.aspx?direct=true&amp;db=mdc&amp;AN=26336357&amp;site=ehost-live" TargetMode="External"/><Relationship Id="rId40" Type="http://schemas.openxmlformats.org/officeDocument/2006/relationships/hyperlink" Target="https://search.ebscohost.com/login.aspx?direct=true&amp;db=mdc&amp;AN=26252551&amp;site=ehost-live" TargetMode="External"/><Relationship Id="rId45" Type="http://schemas.openxmlformats.org/officeDocument/2006/relationships/hyperlink" Target="https://search.ebscohost.com/login.aspx?direct=true&amp;db=mdc&amp;AN=26324015&amp;site=ehost-live" TargetMode="External"/><Relationship Id="rId53" Type="http://schemas.openxmlformats.org/officeDocument/2006/relationships/hyperlink" Target="https://search.ebscohost.com/login.aspx?direct=true&amp;db=mdc&amp;AN=26031641&amp;site=ehost-live" TargetMode="External"/><Relationship Id="rId58" Type="http://schemas.openxmlformats.org/officeDocument/2006/relationships/hyperlink" Target="https://search.ebscohost.com/login.aspx?direct=true&amp;db=mdc&amp;AN=25268512&amp;site=ehost-live" TargetMode="External"/><Relationship Id="rId66" Type="http://schemas.openxmlformats.org/officeDocument/2006/relationships/hyperlink" Target="https://search.ebscohost.com/login.aspx?direct=true&amp;db=mdc&amp;AN=25695553&amp;site=ehost-live" TargetMode="External"/><Relationship Id="rId5" Type="http://schemas.openxmlformats.org/officeDocument/2006/relationships/hyperlink" Target="https://search.ebscohost.com/login.aspx?direct=true&amp;db=mdc&amp;AN=25983592&amp;site=ehost-live" TargetMode="External"/><Relationship Id="rId61" Type="http://schemas.openxmlformats.org/officeDocument/2006/relationships/hyperlink" Target="https://search.ebscohost.com/login.aspx?direct=true&amp;db=mdc&amp;AN=25100341&amp;site=ehost-live" TargetMode="External"/><Relationship Id="rId19" Type="http://schemas.openxmlformats.org/officeDocument/2006/relationships/hyperlink" Target="https://search.ebscohost.com/login.aspx?direct=true&amp;db=mdc&amp;AN=36262008&amp;site=ehost-live" TargetMode="External"/><Relationship Id="rId14" Type="http://schemas.openxmlformats.org/officeDocument/2006/relationships/hyperlink" Target="https://search.ebscohost.com/login.aspx?direct=true&amp;db=mdc&amp;AN=25226306&amp;site=ehost-live" TargetMode="External"/><Relationship Id="rId22" Type="http://schemas.openxmlformats.org/officeDocument/2006/relationships/hyperlink" Target="https://search.ebscohost.com/login.aspx?direct=true&amp;db=mdc&amp;AN=25134424&amp;site=ehost-live" TargetMode="External"/><Relationship Id="rId27" Type="http://schemas.openxmlformats.org/officeDocument/2006/relationships/hyperlink" Target="https://search.ebscohost.com/login.aspx?direct=true&amp;db=mdc&amp;AN=26084524&amp;site=ehost-live" TargetMode="External"/><Relationship Id="rId30" Type="http://schemas.openxmlformats.org/officeDocument/2006/relationships/hyperlink" Target="https://search.ebscohost.com/login.aspx?direct=true&amp;db=mdc&amp;AN=25559908&amp;site=ehost-live" TargetMode="External"/><Relationship Id="rId35" Type="http://schemas.openxmlformats.org/officeDocument/2006/relationships/hyperlink" Target="https://search.ebscohost.com/login.aspx?direct=true&amp;db=mdc&amp;AN=26056240&amp;site=ehost-live" TargetMode="External"/><Relationship Id="rId43" Type="http://schemas.openxmlformats.org/officeDocument/2006/relationships/hyperlink" Target="https://search.ebscohost.com/login.aspx?direct=true&amp;db=mdc&amp;AN=25983242&amp;site=ehost-live" TargetMode="External"/><Relationship Id="rId48" Type="http://schemas.openxmlformats.org/officeDocument/2006/relationships/hyperlink" Target="https://search.ebscohost.com/login.aspx?direct=true&amp;db=mdc&amp;AN=25729296&amp;site=ehost-live" TargetMode="External"/><Relationship Id="rId56" Type="http://schemas.openxmlformats.org/officeDocument/2006/relationships/hyperlink" Target="https://search.ebscohost.com/login.aspx?direct=true&amp;db=mdc&amp;AN=25345670&amp;site=ehost-live" TargetMode="External"/><Relationship Id="rId64" Type="http://schemas.openxmlformats.org/officeDocument/2006/relationships/hyperlink" Target="https://search.ebscohost.com/login.aspx?direct=true&amp;db=mdc&amp;AN=24422682&amp;site=ehost-live" TargetMode="External"/><Relationship Id="rId8" Type="http://schemas.openxmlformats.org/officeDocument/2006/relationships/hyperlink" Target="https://search.ebscohost.com/login.aspx?direct=true&amp;db=mdc&amp;AN=26374877&amp;site=ehost-live" TargetMode="External"/><Relationship Id="rId51" Type="http://schemas.openxmlformats.org/officeDocument/2006/relationships/hyperlink" Target="https://search.ebscohost.com/login.aspx?direct=true&amp;db=mdc&amp;AN=25344053&amp;site=ehost-live" TargetMode="External"/><Relationship Id="rId3" Type="http://schemas.openxmlformats.org/officeDocument/2006/relationships/hyperlink" Target="https://search.ebscohost.com/login.aspx?direct=true&amp;db=mdc&amp;AN=25264672&amp;site=ehost-live" TargetMode="External"/><Relationship Id="rId12" Type="http://schemas.openxmlformats.org/officeDocument/2006/relationships/hyperlink" Target="https://search.ebscohost.com/login.aspx?direct=true&amp;db=mdc&amp;AN=25556533&amp;site=ehost-live" TargetMode="External"/><Relationship Id="rId17" Type="http://schemas.openxmlformats.org/officeDocument/2006/relationships/hyperlink" Target="https://search.ebscohost.com/login.aspx?direct=true&amp;db=mdc&amp;AN=25662705&amp;site=ehost-live" TargetMode="External"/><Relationship Id="rId25" Type="http://schemas.openxmlformats.org/officeDocument/2006/relationships/hyperlink" Target="https://search.ebscohost.com/login.aspx?direct=true&amp;db=mdc&amp;AN=25814636&amp;site=ehost-live" TargetMode="External"/><Relationship Id="rId33" Type="http://schemas.openxmlformats.org/officeDocument/2006/relationships/hyperlink" Target="https://search.ebscohost.com/login.aspx?direct=true&amp;db=mdc&amp;AN=25029265&amp;site=ehost-live" TargetMode="External"/><Relationship Id="rId38" Type="http://schemas.openxmlformats.org/officeDocument/2006/relationships/hyperlink" Target="https://search.ebscohost.com/login.aspx?direct=true&amp;db=mdc&amp;AN=26330274&amp;site=ehost-live" TargetMode="External"/><Relationship Id="rId46" Type="http://schemas.openxmlformats.org/officeDocument/2006/relationships/hyperlink" Target="https://search.ebscohost.com/login.aspx?direct=true&amp;db=mdc&amp;AN=25203649&amp;site=ehost-live" TargetMode="External"/><Relationship Id="rId59" Type="http://schemas.openxmlformats.org/officeDocument/2006/relationships/hyperlink" Target="https://search.ebscohost.com/login.aspx?direct=true&amp;db=mdc&amp;AN=26648655&amp;site=ehost-live" TargetMode="External"/><Relationship Id="rId67" Type="http://schemas.openxmlformats.org/officeDocument/2006/relationships/table" Target="../tables/table8.xml"/><Relationship Id="rId20" Type="http://schemas.openxmlformats.org/officeDocument/2006/relationships/hyperlink" Target="https://search.ebscohost.com/login.aspx?direct=true&amp;db=mdc&amp;AN=25746370&amp;site=ehost-live" TargetMode="External"/><Relationship Id="rId41" Type="http://schemas.openxmlformats.org/officeDocument/2006/relationships/hyperlink" Target="https://search.ebscohost.com/login.aspx?direct=true&amp;db=mdc&amp;AN=25510337&amp;site=ehost-live" TargetMode="External"/><Relationship Id="rId54" Type="http://schemas.openxmlformats.org/officeDocument/2006/relationships/hyperlink" Target="https://search.ebscohost.com/login.aspx?direct=true&amp;db=mdc&amp;AN=26206724&amp;site=ehost-live" TargetMode="External"/><Relationship Id="rId62" Type="http://schemas.openxmlformats.org/officeDocument/2006/relationships/hyperlink" Target="https://search.ebscohost.com/login.aspx?direct=true&amp;db=mdc&amp;AN=24629327&amp;site=ehost-live" TargetMode="External"/><Relationship Id="rId1" Type="http://schemas.openxmlformats.org/officeDocument/2006/relationships/hyperlink" Target="https://search.ebscohost.com/login.aspx?direct=true&amp;db=mdc&amp;AN=25364940&amp;site=ehost-live" TargetMode="External"/><Relationship Id="rId6" Type="http://schemas.openxmlformats.org/officeDocument/2006/relationships/hyperlink" Target="https://search.ebscohost.com/login.aspx?direct=true&amp;db=mdc&amp;AN=25869093&amp;site=ehost-live" TargetMode="External"/><Relationship Id="rId15" Type="http://schemas.openxmlformats.org/officeDocument/2006/relationships/hyperlink" Target="https://search.ebscohost.com/login.aspx?direct=true&amp;db=mdc&amp;AN=24750359&amp;site=ehost-live" TargetMode="External"/><Relationship Id="rId23" Type="http://schemas.openxmlformats.org/officeDocument/2006/relationships/hyperlink" Target="https://search.ebscohost.com/login.aspx?direct=true&amp;db=mdc&amp;AN=25738784&amp;site=ehost-live" TargetMode="External"/><Relationship Id="rId28" Type="http://schemas.openxmlformats.org/officeDocument/2006/relationships/hyperlink" Target="https://search.ebscohost.com/login.aspx?direct=true&amp;db=mdc&amp;AN=25979840&amp;site=ehost-live" TargetMode="External"/><Relationship Id="rId36" Type="http://schemas.openxmlformats.org/officeDocument/2006/relationships/hyperlink" Target="https://search.ebscohost.com/login.aspx?direct=true&amp;db=mdc&amp;AN=25848893&amp;site=ehost-live" TargetMode="External"/><Relationship Id="rId49" Type="http://schemas.openxmlformats.org/officeDocument/2006/relationships/hyperlink" Target="https://search.ebscohost.com/login.aspx?direct=true&amp;db=mdc&amp;AN=25729309&amp;site=ehost-live" TargetMode="External"/><Relationship Id="rId57" Type="http://schemas.openxmlformats.org/officeDocument/2006/relationships/hyperlink" Target="https://search.ebscohost.com/login.aspx?direct=true&amp;db=mdc&amp;AN=26297368&amp;site=ehost-live" TargetMode="External"/><Relationship Id="rId10" Type="http://schemas.openxmlformats.org/officeDocument/2006/relationships/hyperlink" Target="https://search.ebscohost.com/login.aspx?direct=true&amp;db=mdc&amp;AN=25530213&amp;site=ehost-live" TargetMode="External"/><Relationship Id="rId31" Type="http://schemas.openxmlformats.org/officeDocument/2006/relationships/hyperlink" Target="https://search.ebscohost.com/login.aspx?direct=true&amp;db=mdc&amp;AN=25051387&amp;site=ehost-live" TargetMode="External"/><Relationship Id="rId44" Type="http://schemas.openxmlformats.org/officeDocument/2006/relationships/hyperlink" Target="https://search.ebscohost.com/login.aspx?direct=true&amp;db=mdc&amp;AN=25339255&amp;site=ehost-live" TargetMode="External"/><Relationship Id="rId52" Type="http://schemas.openxmlformats.org/officeDocument/2006/relationships/hyperlink" Target="https://search.ebscohost.com/login.aspx?direct=true&amp;db=mdc&amp;AN=26275673&amp;site=ehost-live" TargetMode="External"/><Relationship Id="rId60" Type="http://schemas.openxmlformats.org/officeDocument/2006/relationships/hyperlink" Target="https://search.ebscohost.com/login.aspx?direct=true&amp;db=mdc&amp;AN=26084589&amp;site=ehost-live" TargetMode="External"/><Relationship Id="rId65" Type="http://schemas.openxmlformats.org/officeDocument/2006/relationships/hyperlink" Target="https://search.ebscohost.com/login.aspx?direct=true&amp;db=mdc&amp;AN=26400696&amp;site=ehost-live" TargetMode="External"/><Relationship Id="rId4" Type="http://schemas.openxmlformats.org/officeDocument/2006/relationships/hyperlink" Target="https://search.ebscohost.com/login.aspx?direct=true&amp;db=mdc&amp;AN=26335627&amp;site=ehost-live" TargetMode="External"/><Relationship Id="rId9" Type="http://schemas.openxmlformats.org/officeDocument/2006/relationships/hyperlink" Target="https://search.ebscohost.com/login.aspx?direct=true&amp;db=mdc&amp;AN=25455956&amp;site=ehost-live" TargetMode="External"/><Relationship Id="rId13" Type="http://schemas.openxmlformats.org/officeDocument/2006/relationships/hyperlink" Target="https://search.ebscohost.com/login.aspx?direct=true&amp;db=mdc&amp;AN=26031643&amp;site=ehost-live" TargetMode="External"/><Relationship Id="rId18" Type="http://schemas.openxmlformats.org/officeDocument/2006/relationships/hyperlink" Target="https://search.ebscohost.com/login.aspx?direct=true&amp;db=mdc&amp;AN=25412298&amp;site=ehost-live" TargetMode="External"/><Relationship Id="rId39" Type="http://schemas.openxmlformats.org/officeDocument/2006/relationships/hyperlink" Target="https://search.ebscohost.com/login.aspx?direct=true&amp;db=mdc&amp;AN=25412692&amp;site=ehost-live"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search.ebscohost.com/login.aspx?direct=true&amp;db=mdc&amp;AN=25029702&amp;site=ehost-live" TargetMode="External"/><Relationship Id="rId18" Type="http://schemas.openxmlformats.org/officeDocument/2006/relationships/hyperlink" Target="https://search.ebscohost.com/login.aspx?direct=true&amp;db=mdc&amp;AN=24892653&amp;site=ehost-live" TargetMode="External"/><Relationship Id="rId26" Type="http://schemas.openxmlformats.org/officeDocument/2006/relationships/hyperlink" Target="https://search.ebscohost.com/login.aspx?direct=true&amp;db=mdc&amp;AN=24476743&amp;site=ehost-live" TargetMode="External"/><Relationship Id="rId39" Type="http://schemas.openxmlformats.org/officeDocument/2006/relationships/hyperlink" Target="https://search.ebscohost.com/login.aspx?direct=true&amp;db=mdc&amp;AN=24268677&amp;site=ehost-live" TargetMode="External"/><Relationship Id="rId21" Type="http://schemas.openxmlformats.org/officeDocument/2006/relationships/hyperlink" Target="https://search.ebscohost.com/login.aspx?direct=true&amp;db=mdc&amp;AN=25247929&amp;site=ehost-live" TargetMode="External"/><Relationship Id="rId34" Type="http://schemas.openxmlformats.org/officeDocument/2006/relationships/hyperlink" Target="https://search.ebscohost.com/login.aspx?direct=true&amp;db=mdc&amp;AN=24790490&amp;site=ehost-live" TargetMode="External"/><Relationship Id="rId42" Type="http://schemas.openxmlformats.org/officeDocument/2006/relationships/hyperlink" Target="https://search.ebscohost.com/login.aspx?direct=true&amp;db=mdc&amp;AN=24791913&amp;site=ehost-live" TargetMode="External"/><Relationship Id="rId47" Type="http://schemas.openxmlformats.org/officeDocument/2006/relationships/hyperlink" Target="https://search.ebscohost.com/login.aspx?direct=true&amp;db=mdc&amp;AN=23962879&amp;site=ehost-live" TargetMode="External"/><Relationship Id="rId50" Type="http://schemas.openxmlformats.org/officeDocument/2006/relationships/table" Target="../tables/table9.xml"/><Relationship Id="rId7" Type="http://schemas.openxmlformats.org/officeDocument/2006/relationships/hyperlink" Target="https://search.ebscohost.com/login.aspx?direct=true&amp;db=mdc&amp;AN=23591943&amp;site=ehost-live" TargetMode="External"/><Relationship Id="rId2" Type="http://schemas.openxmlformats.org/officeDocument/2006/relationships/hyperlink" Target="https://search.ebscohost.com/login.aspx?direct=true&amp;db=mdc&amp;AN=24794606&amp;site=ehost-live" TargetMode="External"/><Relationship Id="rId16" Type="http://schemas.openxmlformats.org/officeDocument/2006/relationships/hyperlink" Target="https://search.ebscohost.com/login.aspx?direct=true&amp;db=mdc&amp;AN=24504431&amp;site=ehost-live" TargetMode="External"/><Relationship Id="rId29" Type="http://schemas.openxmlformats.org/officeDocument/2006/relationships/hyperlink" Target="https://search.ebscohost.com/login.aspx?direct=true&amp;db=mdc&amp;AN=24667305&amp;site=ehost-live" TargetMode="External"/><Relationship Id="rId11" Type="http://schemas.openxmlformats.org/officeDocument/2006/relationships/hyperlink" Target="https://search.ebscohost.com/login.aspx?direct=true&amp;db=mdc&amp;AN=24641963&amp;site=ehost-live" TargetMode="External"/><Relationship Id="rId24" Type="http://schemas.openxmlformats.org/officeDocument/2006/relationships/hyperlink" Target="https://search.ebscohost.com/login.aspx?direct=true&amp;db=mdc&amp;AN=23751901&amp;site=ehost-live" TargetMode="External"/><Relationship Id="rId32" Type="http://schemas.openxmlformats.org/officeDocument/2006/relationships/hyperlink" Target="https://search.ebscohost.com/login.aspx?direct=true&amp;db=mdc&amp;AN=24937101&amp;site=ehost-live" TargetMode="External"/><Relationship Id="rId37" Type="http://schemas.openxmlformats.org/officeDocument/2006/relationships/hyperlink" Target="https://search.ebscohost.com/login.aspx?direct=true&amp;db=mdc&amp;AN=25029351&amp;site=ehost-live" TargetMode="External"/><Relationship Id="rId40" Type="http://schemas.openxmlformats.org/officeDocument/2006/relationships/hyperlink" Target="https://search.ebscohost.com/login.aspx?direct=true&amp;db=mdc&amp;AN=25441975&amp;site=ehost-live" TargetMode="External"/><Relationship Id="rId45" Type="http://schemas.openxmlformats.org/officeDocument/2006/relationships/hyperlink" Target="https://search.ebscohost.com/login.aspx?direct=true&amp;db=mdc&amp;AN=25177205&amp;site=ehost-live" TargetMode="External"/><Relationship Id="rId5" Type="http://schemas.openxmlformats.org/officeDocument/2006/relationships/hyperlink" Target="https://search.ebscohost.com/login.aspx?direct=true&amp;db=mdc&amp;AN=24533082&amp;site=ehost-live" TargetMode="External"/><Relationship Id="rId15" Type="http://schemas.openxmlformats.org/officeDocument/2006/relationships/hyperlink" Target="https://search.ebscohost.com/login.aspx?direct=true&amp;db=mdc&amp;AN=24408768&amp;site=ehost-live" TargetMode="External"/><Relationship Id="rId23" Type="http://schemas.openxmlformats.org/officeDocument/2006/relationships/hyperlink" Target="https://search.ebscohost.com/login.aspx?direct=true&amp;db=mdc&amp;AN=24531433&amp;site=ehost-live" TargetMode="External"/><Relationship Id="rId28" Type="http://schemas.openxmlformats.org/officeDocument/2006/relationships/hyperlink" Target="https://search.ebscohost.com/login.aspx?direct=true&amp;db=mdc&amp;AN=25200666&amp;site=ehost-live" TargetMode="External"/><Relationship Id="rId36" Type="http://schemas.openxmlformats.org/officeDocument/2006/relationships/hyperlink" Target="https://search.ebscohost.com/login.aspx?direct=true&amp;db=mdc&amp;AN=25010477&amp;site=ehost-live" TargetMode="External"/><Relationship Id="rId49" Type="http://schemas.openxmlformats.org/officeDocument/2006/relationships/hyperlink" Target="https://search.ebscohost.com/login.aspx?direct=true&amp;db=mdc&amp;AN=24436351&amp;site=ehost-live" TargetMode="External"/><Relationship Id="rId10" Type="http://schemas.openxmlformats.org/officeDocument/2006/relationships/hyperlink" Target="https://search.ebscohost.com/login.aspx?direct=true&amp;db=mdc&amp;AN=23954386&amp;site=ehost-live" TargetMode="External"/><Relationship Id="rId19" Type="http://schemas.openxmlformats.org/officeDocument/2006/relationships/hyperlink" Target="https://search.ebscohost.com/login.aspx?direct=true&amp;db=mdc&amp;AN=25052229&amp;site=ehost-live" TargetMode="External"/><Relationship Id="rId31" Type="http://schemas.openxmlformats.org/officeDocument/2006/relationships/hyperlink" Target="https://search.ebscohost.com/login.aspx?direct=true&amp;db=mdc&amp;AN=24903758&amp;site=ehost-live" TargetMode="External"/><Relationship Id="rId44" Type="http://schemas.openxmlformats.org/officeDocument/2006/relationships/hyperlink" Target="https://search.ebscohost.com/login.aspx?direct=true&amp;db=mdc&amp;AN=24436300&amp;site=ehost-live" TargetMode="External"/><Relationship Id="rId4" Type="http://schemas.openxmlformats.org/officeDocument/2006/relationships/hyperlink" Target="https://search.ebscohost.com/login.aspx?direct=true&amp;db=mdc&amp;AN=23619161&amp;site=ehost-live" TargetMode="External"/><Relationship Id="rId9" Type="http://schemas.openxmlformats.org/officeDocument/2006/relationships/hyperlink" Target="https://search.ebscohost.com/login.aspx?direct=true&amp;db=mdc&amp;AN=24861507&amp;site=ehost-live" TargetMode="External"/><Relationship Id="rId14" Type="http://schemas.openxmlformats.org/officeDocument/2006/relationships/hyperlink" Target="https://search.ebscohost.com/login.aspx?direct=true&amp;db=mdc&amp;AN=24077376&amp;site=ehost-live" TargetMode="External"/><Relationship Id="rId22" Type="http://schemas.openxmlformats.org/officeDocument/2006/relationships/hyperlink" Target="https://search.ebscohost.com/login.aspx?direct=true&amp;db=mdc&amp;AN=24529632&amp;site=ehost-live" TargetMode="External"/><Relationship Id="rId27" Type="http://schemas.openxmlformats.org/officeDocument/2006/relationships/hyperlink" Target="https://search.ebscohost.com/login.aspx?direct=true&amp;db=mdc&amp;AN=24155134&amp;site=ehost-live" TargetMode="External"/><Relationship Id="rId30" Type="http://schemas.openxmlformats.org/officeDocument/2006/relationships/hyperlink" Target="https://search.ebscohost.com/login.aspx?direct=true&amp;db=mdc&amp;AN=24901517&amp;site=ehost-live" TargetMode="External"/><Relationship Id="rId35" Type="http://schemas.openxmlformats.org/officeDocument/2006/relationships/hyperlink" Target="https://search.ebscohost.com/login.aspx?direct=true&amp;db=mdc&amp;AN=24464414&amp;site=ehost-live" TargetMode="External"/><Relationship Id="rId43" Type="http://schemas.openxmlformats.org/officeDocument/2006/relationships/hyperlink" Target="https://search.ebscohost.com/login.aspx?direct=true&amp;db=mdc&amp;AN=24994887&amp;site=ehost-live" TargetMode="External"/><Relationship Id="rId48" Type="http://schemas.openxmlformats.org/officeDocument/2006/relationships/hyperlink" Target="https://search.ebscohost.com/login.aspx?direct=true&amp;db=mdc&amp;AN=24088866&amp;site=ehost-live" TargetMode="External"/><Relationship Id="rId8" Type="http://schemas.openxmlformats.org/officeDocument/2006/relationships/hyperlink" Target="https://search.ebscohost.com/login.aspx?direct=true&amp;db=mdc&amp;AN=25185587&amp;site=ehost-live" TargetMode="External"/><Relationship Id="rId3" Type="http://schemas.openxmlformats.org/officeDocument/2006/relationships/hyperlink" Target="https://search.ebscohost.com/login.aspx?direct=true&amp;db=mdc&amp;AN=24149747&amp;site=ehost-live" TargetMode="External"/><Relationship Id="rId12" Type="http://schemas.openxmlformats.org/officeDocument/2006/relationships/hyperlink" Target="https://search.ebscohost.com/login.aspx?direct=true&amp;db=mdc&amp;AN=23608044&amp;site=ehost-live" TargetMode="External"/><Relationship Id="rId17" Type="http://schemas.openxmlformats.org/officeDocument/2006/relationships/hyperlink" Target="https://search.ebscohost.com/login.aspx?direct=true&amp;db=mdc&amp;AN=25009964&amp;site=ehost-live" TargetMode="External"/><Relationship Id="rId25" Type="http://schemas.openxmlformats.org/officeDocument/2006/relationships/hyperlink" Target="https://search.ebscohost.com/login.aspx?direct=true&amp;db=mdc&amp;AN=24911928&amp;site=ehost-live" TargetMode="External"/><Relationship Id="rId33" Type="http://schemas.openxmlformats.org/officeDocument/2006/relationships/hyperlink" Target="https://search.ebscohost.com/login.aspx?direct=true&amp;db=mdc&amp;AN=25159505&amp;site=ehost-live" TargetMode="External"/><Relationship Id="rId38" Type="http://schemas.openxmlformats.org/officeDocument/2006/relationships/hyperlink" Target="https://search.ebscohost.com/login.aspx?direct=true&amp;db=mdc&amp;AN=24812644&amp;site=ehost-live" TargetMode="External"/><Relationship Id="rId46" Type="http://schemas.openxmlformats.org/officeDocument/2006/relationships/hyperlink" Target="https://search.ebscohost.com/login.aspx?direct=true&amp;db=mdc&amp;AN=23813487&amp;site=ehost-live" TargetMode="External"/><Relationship Id="rId20" Type="http://schemas.openxmlformats.org/officeDocument/2006/relationships/hyperlink" Target="https://search.ebscohost.com/login.aspx?direct=true&amp;db=mdc&amp;AN=24088320&amp;site=ehost-live" TargetMode="External"/><Relationship Id="rId41" Type="http://schemas.openxmlformats.org/officeDocument/2006/relationships/hyperlink" Target="https://search.ebscohost.com/login.aspx?direct=true&amp;db=mdc&amp;AN=24389515&amp;site=ehost-live" TargetMode="External"/><Relationship Id="rId1" Type="http://schemas.openxmlformats.org/officeDocument/2006/relationships/hyperlink" Target="https://search.ebscohost.com/login.aspx?direct=true&amp;db=mdc&amp;AN=24676518&amp;site=ehost-live" TargetMode="External"/><Relationship Id="rId6" Type="http://schemas.openxmlformats.org/officeDocument/2006/relationships/hyperlink" Target="https://search.ebscohost.com/login.aspx?direct=true&amp;db=mdc&amp;AN=23852266&amp;site=ehost-live"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search.ebscohost.com/login.aspx?direct=true&amp;db=mdc&amp;AN=24149143&amp;site=ehost-live" TargetMode="External"/><Relationship Id="rId13" Type="http://schemas.openxmlformats.org/officeDocument/2006/relationships/hyperlink" Target="https://search.ebscohost.com/login.aspx?direct=true&amp;db=mdc&amp;AN=23828029&amp;site=ehost-live" TargetMode="External"/><Relationship Id="rId18" Type="http://schemas.openxmlformats.org/officeDocument/2006/relationships/hyperlink" Target="https://search.ebscohost.com/login.aspx?direct=true&amp;db=mdc&amp;AN=23899758&amp;site=ehost-live" TargetMode="External"/><Relationship Id="rId26" Type="http://schemas.openxmlformats.org/officeDocument/2006/relationships/hyperlink" Target="https://search.ebscohost.com/login.aspx?direct=true&amp;db=mdc&amp;AN=23649796&amp;site=ehost-live" TargetMode="External"/><Relationship Id="rId3" Type="http://schemas.openxmlformats.org/officeDocument/2006/relationships/hyperlink" Target="https://search.ebscohost.com/login.aspx?direct=true&amp;db=mdc&amp;AN=24282204&amp;site=ehost-live" TargetMode="External"/><Relationship Id="rId21" Type="http://schemas.openxmlformats.org/officeDocument/2006/relationships/hyperlink" Target="https://search.ebscohost.com/login.aspx?direct=true&amp;db=mdc&amp;AN=23765347&amp;site=ehost-live" TargetMode="External"/><Relationship Id="rId7" Type="http://schemas.openxmlformats.org/officeDocument/2006/relationships/hyperlink" Target="https://search.ebscohost.com/login.aspx?direct=true&amp;db=mdc&amp;AN=22795680&amp;site=ehost-live" TargetMode="External"/><Relationship Id="rId12" Type="http://schemas.openxmlformats.org/officeDocument/2006/relationships/hyperlink" Target="https://search.ebscohost.com/login.aspx?direct=true&amp;db=mdc&amp;AN=22743237&amp;site=ehost-live" TargetMode="External"/><Relationship Id="rId17" Type="http://schemas.openxmlformats.org/officeDocument/2006/relationships/hyperlink" Target="https://search.ebscohost.com/login.aspx?direct=true&amp;db=mdc&amp;AN=24282214&amp;site=ehost-live" TargetMode="External"/><Relationship Id="rId25" Type="http://schemas.openxmlformats.org/officeDocument/2006/relationships/hyperlink" Target="https://search.ebscohost.com/login.aspx?direct=true&amp;db=mdc&amp;AN=23444086&amp;site=ehost-live" TargetMode="External"/><Relationship Id="rId2" Type="http://schemas.openxmlformats.org/officeDocument/2006/relationships/hyperlink" Target="https://search.ebscohost.com/login.aspx?direct=true&amp;db=mdc&amp;AN=23479394&amp;site=ehost-live" TargetMode="External"/><Relationship Id="rId16" Type="http://schemas.openxmlformats.org/officeDocument/2006/relationships/hyperlink" Target="https://search.ebscohost.com/login.aspx?direct=true&amp;db=mdc&amp;AN=23547767&amp;site=ehost-live" TargetMode="External"/><Relationship Id="rId20" Type="http://schemas.openxmlformats.org/officeDocument/2006/relationships/hyperlink" Target="https://search.ebscohost.com/login.aspx?direct=true&amp;db=mdc&amp;AN=22868376&amp;site=ehost-live" TargetMode="External"/><Relationship Id="rId29" Type="http://schemas.openxmlformats.org/officeDocument/2006/relationships/hyperlink" Target="https://search.ebscohost.com/login.aspx?direct=true&amp;db=mdc&amp;AN=23743793&amp;site=ehost-live" TargetMode="External"/><Relationship Id="rId1" Type="http://schemas.openxmlformats.org/officeDocument/2006/relationships/hyperlink" Target="https://search.ebscohost.com/login.aspx?direct=true&amp;db=mdc&amp;AN=22505130&amp;site=ehost-live" TargetMode="External"/><Relationship Id="rId6" Type="http://schemas.openxmlformats.org/officeDocument/2006/relationships/hyperlink" Target="https://search.ebscohost.com/login.aspx?direct=true&amp;db=mdc&amp;AN=23977723&amp;site=ehost-live" TargetMode="External"/><Relationship Id="rId11" Type="http://schemas.openxmlformats.org/officeDocument/2006/relationships/hyperlink" Target="https://search.ebscohost.com/login.aspx?direct=true&amp;db=mdc&amp;AN=23470312&amp;site=ehost-live" TargetMode="External"/><Relationship Id="rId24" Type="http://schemas.openxmlformats.org/officeDocument/2006/relationships/hyperlink" Target="https://search.ebscohost.com/login.aspx?direct=true&amp;db=mdc&amp;AN=22899814&amp;site=ehost-live" TargetMode="External"/><Relationship Id="rId5" Type="http://schemas.openxmlformats.org/officeDocument/2006/relationships/hyperlink" Target="https://search.ebscohost.com/login.aspx?direct=true&amp;db=mdc&amp;AN=23409787&amp;site=ehost-live" TargetMode="External"/><Relationship Id="rId15" Type="http://schemas.openxmlformats.org/officeDocument/2006/relationships/hyperlink" Target="https://search.ebscohost.com/login.aspx?direct=true&amp;db=mdc&amp;AN=23254546&amp;site=ehost-live" TargetMode="External"/><Relationship Id="rId23" Type="http://schemas.openxmlformats.org/officeDocument/2006/relationships/hyperlink" Target="https://search.ebscohost.com/login.aspx?direct=true&amp;db=mdc&amp;AN=24282203&amp;site=ehost-live" TargetMode="External"/><Relationship Id="rId28" Type="http://schemas.openxmlformats.org/officeDocument/2006/relationships/hyperlink" Target="https://search.ebscohost.com/login.aspx?direct=true&amp;db=mdc&amp;AN=23537023&amp;site=ehost-live" TargetMode="External"/><Relationship Id="rId10" Type="http://schemas.openxmlformats.org/officeDocument/2006/relationships/hyperlink" Target="https://search.ebscohost.com/login.aspx?direct=true&amp;db=mdc&amp;AN=22895377&amp;site=ehost-live" TargetMode="External"/><Relationship Id="rId19" Type="http://schemas.openxmlformats.org/officeDocument/2006/relationships/hyperlink" Target="https://search.ebscohost.com/login.aspx?direct=true&amp;db=mdc&amp;AN=24251738&amp;site=ehost-live" TargetMode="External"/><Relationship Id="rId31" Type="http://schemas.openxmlformats.org/officeDocument/2006/relationships/table" Target="../tables/table10.xml"/><Relationship Id="rId4" Type="http://schemas.openxmlformats.org/officeDocument/2006/relationships/hyperlink" Target="https://search.ebscohost.com/login.aspx?direct=true&amp;db=mdc&amp;AN=23631711&amp;site=ehost-live" TargetMode="External"/><Relationship Id="rId9" Type="http://schemas.openxmlformats.org/officeDocument/2006/relationships/hyperlink" Target="https://search.ebscohost.com/login.aspx?direct=true&amp;db=mdc&amp;AN=23428488&amp;site=ehost-live" TargetMode="External"/><Relationship Id="rId14" Type="http://schemas.openxmlformats.org/officeDocument/2006/relationships/hyperlink" Target="https://search.ebscohost.com/login.aspx?direct=true&amp;db=mdc&amp;AN=24421726&amp;site=ehost-live" TargetMode="External"/><Relationship Id="rId22" Type="http://schemas.openxmlformats.org/officeDocument/2006/relationships/hyperlink" Target="https://search.ebscohost.com/login.aspx?direct=true&amp;db=mdc&amp;AN=23329610&amp;site=ehost-live" TargetMode="External"/><Relationship Id="rId27" Type="http://schemas.openxmlformats.org/officeDocument/2006/relationships/hyperlink" Target="https://search.ebscohost.com/login.aspx?direct=true&amp;db=mdc&amp;AN=23863304&amp;site=ehost-live" TargetMode="External"/><Relationship Id="rId30" Type="http://schemas.openxmlformats.org/officeDocument/2006/relationships/hyperlink" Target="https://search.ebscohost.com/login.aspx?direct=true&amp;db=mdc&amp;AN=23529286&amp;site=ehost-live"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search.ebscohost.com/login.aspx?direct=true&amp;db=mdc&amp;AN=22234397&amp;site=ehost-live" TargetMode="External"/><Relationship Id="rId13" Type="http://schemas.openxmlformats.org/officeDocument/2006/relationships/hyperlink" Target="https://search.ebscohost.com/login.aspx?direct=true&amp;db=mdc&amp;AN=21907618&amp;site=ehost-live" TargetMode="External"/><Relationship Id="rId18" Type="http://schemas.openxmlformats.org/officeDocument/2006/relationships/hyperlink" Target="https://search.ebscohost.com/login.aspx?direct=true&amp;db=mdc&amp;AN=23011648&amp;site=ehost-live" TargetMode="External"/><Relationship Id="rId3" Type="http://schemas.openxmlformats.org/officeDocument/2006/relationships/hyperlink" Target="https://search.ebscohost.com/login.aspx?direct=true&amp;db=mdc&amp;AN=22807528&amp;site=ehost-live" TargetMode="External"/><Relationship Id="rId21" Type="http://schemas.openxmlformats.org/officeDocument/2006/relationships/hyperlink" Target="https://search.ebscohost.com/login.aspx?direct=true&amp;db=mdc&amp;AN=22695220&amp;site=ehost-live" TargetMode="External"/><Relationship Id="rId7" Type="http://schemas.openxmlformats.org/officeDocument/2006/relationships/hyperlink" Target="https://search.ebscohost.com/login.aspx?direct=true&amp;db=mdc&amp;AN=22192624&amp;site=ehost-live" TargetMode="External"/><Relationship Id="rId12" Type="http://schemas.openxmlformats.org/officeDocument/2006/relationships/hyperlink" Target="https://search.ebscohost.com/login.aspx?direct=true&amp;db=mdc&amp;AN=22928779&amp;site=ehost-live" TargetMode="External"/><Relationship Id="rId17" Type="http://schemas.openxmlformats.org/officeDocument/2006/relationships/hyperlink" Target="https://search.ebscohost.com/login.aspx?direct=true&amp;db=mdc&amp;AN=22706938&amp;site=ehost-live" TargetMode="External"/><Relationship Id="rId25" Type="http://schemas.openxmlformats.org/officeDocument/2006/relationships/table" Target="../tables/table11.xml"/><Relationship Id="rId2" Type="http://schemas.openxmlformats.org/officeDocument/2006/relationships/hyperlink" Target="https://search.ebscohost.com/login.aspx?direct=true&amp;db=mdc&amp;AN=23201763&amp;site=ehost-live" TargetMode="External"/><Relationship Id="rId16" Type="http://schemas.openxmlformats.org/officeDocument/2006/relationships/hyperlink" Target="https://search.ebscohost.com/login.aspx?direct=true&amp;db=mdc&amp;AN=22634964&amp;site=ehost-live" TargetMode="External"/><Relationship Id="rId20" Type="http://schemas.openxmlformats.org/officeDocument/2006/relationships/hyperlink" Target="https://search.ebscohost.com/login.aspx?direct=true&amp;db=mdc&amp;AN=22414197&amp;site=ehost-live" TargetMode="External"/><Relationship Id="rId1" Type="http://schemas.openxmlformats.org/officeDocument/2006/relationships/hyperlink" Target="https://search.ebscohost.com/login.aspx?direct=true&amp;db=mdc&amp;AN=23182010&amp;site=ehost-live" TargetMode="External"/><Relationship Id="rId6" Type="http://schemas.openxmlformats.org/officeDocument/2006/relationships/hyperlink" Target="https://search.ebscohost.com/login.aspx?direct=true&amp;db=mdc&amp;AN=22814446&amp;site=ehost-live" TargetMode="External"/><Relationship Id="rId11" Type="http://schemas.openxmlformats.org/officeDocument/2006/relationships/hyperlink" Target="https://search.ebscohost.com/login.aspx?direct=true&amp;db=mdc&amp;AN=22188846&amp;site=ehost-live" TargetMode="External"/><Relationship Id="rId24" Type="http://schemas.openxmlformats.org/officeDocument/2006/relationships/hyperlink" Target="https://search.ebscohost.com/login.aspx?direct=true&amp;db=mdc&amp;AN=22173197&amp;site=ehost-live" TargetMode="External"/><Relationship Id="rId5" Type="http://schemas.openxmlformats.org/officeDocument/2006/relationships/hyperlink" Target="https://search.ebscohost.com/login.aspx?direct=true&amp;db=mdc&amp;AN=23245800&amp;site=ehost-live" TargetMode="External"/><Relationship Id="rId15" Type="http://schemas.openxmlformats.org/officeDocument/2006/relationships/hyperlink" Target="https://search.ebscohost.com/login.aspx?direct=true&amp;db=mdc&amp;AN=22551533&amp;site=ehost-live" TargetMode="External"/><Relationship Id="rId23" Type="http://schemas.openxmlformats.org/officeDocument/2006/relationships/hyperlink" Target="https://search.ebscohost.com/login.aspx?direct=true&amp;db=mdc&amp;AN=21820960&amp;site=ehost-live" TargetMode="External"/><Relationship Id="rId10" Type="http://schemas.openxmlformats.org/officeDocument/2006/relationships/hyperlink" Target="https://search.ebscohost.com/login.aspx?direct=true&amp;db=mdc&amp;AN=23348132&amp;site=ehost-live" TargetMode="External"/><Relationship Id="rId19" Type="http://schemas.openxmlformats.org/officeDocument/2006/relationships/hyperlink" Target="https://search.ebscohost.com/login.aspx?direct=true&amp;db=mdc&amp;AN=20561279&amp;site=ehost-live" TargetMode="External"/><Relationship Id="rId4" Type="http://schemas.openxmlformats.org/officeDocument/2006/relationships/hyperlink" Target="https://search.ebscohost.com/login.aspx?direct=true&amp;db=mdc&amp;AN=22179140&amp;site=ehost-live" TargetMode="External"/><Relationship Id="rId9" Type="http://schemas.openxmlformats.org/officeDocument/2006/relationships/hyperlink" Target="https://search.ebscohost.com/login.aspx?direct=true&amp;db=mdc&amp;AN=22171337&amp;site=ehost-live" TargetMode="External"/><Relationship Id="rId14" Type="http://schemas.openxmlformats.org/officeDocument/2006/relationships/hyperlink" Target="https://search.ebscohost.com/login.aspx?direct=true&amp;db=mdc&amp;AN=22617396&amp;site=ehost-live" TargetMode="External"/><Relationship Id="rId22" Type="http://schemas.openxmlformats.org/officeDocument/2006/relationships/hyperlink" Target="https://search.ebscohost.com/login.aspx?direct=true&amp;db=mdc&amp;AN=22214481&amp;site=ehost-live"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search.ebscohost.com/login.aspx?direct=true&amp;db=mdc&amp;AN=21923200&amp;site=ehost-live" TargetMode="External"/><Relationship Id="rId13" Type="http://schemas.openxmlformats.org/officeDocument/2006/relationships/hyperlink" Target="https://search.ebscohost.com/login.aspx?direct=true&amp;db=mdc&amp;AN=20508537&amp;site=ehost-live" TargetMode="External"/><Relationship Id="rId18" Type="http://schemas.openxmlformats.org/officeDocument/2006/relationships/hyperlink" Target="https://search.ebscohost.com/login.aspx?direct=true&amp;db=mdc&amp;AN=21113616&amp;site=ehost-live" TargetMode="External"/><Relationship Id="rId3" Type="http://schemas.openxmlformats.org/officeDocument/2006/relationships/hyperlink" Target="https://search.ebscohost.com/login.aspx?direct=true&amp;db=mdc&amp;AN=21660838&amp;site=ehost-live" TargetMode="External"/><Relationship Id="rId21" Type="http://schemas.openxmlformats.org/officeDocument/2006/relationships/hyperlink" Target="https://search.ebscohost.com/login.aspx?direct=true&amp;db=mdc&amp;AN=21305444&amp;site=ehost-live" TargetMode="External"/><Relationship Id="rId7" Type="http://schemas.openxmlformats.org/officeDocument/2006/relationships/hyperlink" Target="https://search.ebscohost.com/login.aspx?direct=true&amp;db=mdc&amp;AN=21719899&amp;site=ehost-live" TargetMode="External"/><Relationship Id="rId12" Type="http://schemas.openxmlformats.org/officeDocument/2006/relationships/hyperlink" Target="https://search.ebscohost.com/login.aspx?direct=true&amp;db=mdc&amp;AN=22303784&amp;site=ehost-live" TargetMode="External"/><Relationship Id="rId17" Type="http://schemas.openxmlformats.org/officeDocument/2006/relationships/hyperlink" Target="https://search.ebscohost.com/login.aspx?direct=true&amp;db=mdc&amp;AN=22011797&amp;site=ehost-live" TargetMode="External"/><Relationship Id="rId2" Type="http://schemas.openxmlformats.org/officeDocument/2006/relationships/hyperlink" Target="https://search.ebscohost.com/login.aspx?direct=true&amp;db=mdc&amp;AN=21393262&amp;site=ehost-live" TargetMode="External"/><Relationship Id="rId16" Type="http://schemas.openxmlformats.org/officeDocument/2006/relationships/hyperlink" Target="https://search.ebscohost.com/login.aspx?direct=true&amp;db=mdc&amp;AN=20832358&amp;site=ehost-live" TargetMode="External"/><Relationship Id="rId20" Type="http://schemas.openxmlformats.org/officeDocument/2006/relationships/hyperlink" Target="https://search.ebscohost.com/login.aspx?direct=true&amp;db=mdc&amp;AN=21788687&amp;site=ehost-live" TargetMode="External"/><Relationship Id="rId1" Type="http://schemas.openxmlformats.org/officeDocument/2006/relationships/hyperlink" Target="https://search.ebscohost.com/login.aspx?direct=true&amp;db=mdc&amp;AN=21186459&amp;site=ehost-live" TargetMode="External"/><Relationship Id="rId6" Type="http://schemas.openxmlformats.org/officeDocument/2006/relationships/hyperlink" Target="https://search.ebscohost.com/login.aspx?direct=true&amp;db=mdc&amp;AN=20809231&amp;site=ehost-live" TargetMode="External"/><Relationship Id="rId11" Type="http://schemas.openxmlformats.org/officeDocument/2006/relationships/hyperlink" Target="https://search.ebscohost.com/login.aspx?direct=true&amp;db=mdc&amp;AN=21487157&amp;site=ehost-live" TargetMode="External"/><Relationship Id="rId5" Type="http://schemas.openxmlformats.org/officeDocument/2006/relationships/hyperlink" Target="https://search.ebscohost.com/login.aspx?direct=true&amp;db=mdc&amp;AN=20233843&amp;site=ehost-live" TargetMode="External"/><Relationship Id="rId15" Type="http://schemas.openxmlformats.org/officeDocument/2006/relationships/hyperlink" Target="https://search.ebscohost.com/login.aspx?direct=true&amp;db=mdc&amp;AN=21535184&amp;site=ehost-live" TargetMode="External"/><Relationship Id="rId10" Type="http://schemas.openxmlformats.org/officeDocument/2006/relationships/hyperlink" Target="https://search.ebscohost.com/login.aspx?direct=true&amp;db=mdc&amp;AN=21813918&amp;site=ehost-live" TargetMode="External"/><Relationship Id="rId19" Type="http://schemas.openxmlformats.org/officeDocument/2006/relationships/hyperlink" Target="https://search.ebscohost.com/login.aspx?direct=true&amp;db=mdc&amp;AN=21500079&amp;site=ehost-live" TargetMode="External"/><Relationship Id="rId4" Type="http://schemas.openxmlformats.org/officeDocument/2006/relationships/hyperlink" Target="https://search.ebscohost.com/login.aspx?direct=true&amp;db=mdc&amp;AN=21725101&amp;site=ehost-live" TargetMode="External"/><Relationship Id="rId9" Type="http://schemas.openxmlformats.org/officeDocument/2006/relationships/hyperlink" Target="https://search.ebscohost.com/login.aspx?direct=true&amp;db=mdc&amp;AN=21813919&amp;site=ehost-live" TargetMode="External"/><Relationship Id="rId14" Type="http://schemas.openxmlformats.org/officeDocument/2006/relationships/hyperlink" Target="https://search.ebscohost.com/login.aspx?direct=true&amp;db=mdc&amp;AN=21259155&amp;site=ehost-live" TargetMode="External"/><Relationship Id="rId22" Type="http://schemas.openxmlformats.org/officeDocument/2006/relationships/table" Target="../tables/table12.xml"/></Relationships>
</file>

<file path=xl/worksheets/_rels/sheet15.xml.rels><?xml version="1.0" encoding="UTF-8" standalone="yes"?>
<Relationships xmlns="http://schemas.openxmlformats.org/package/2006/relationships"><Relationship Id="rId13" Type="http://schemas.openxmlformats.org/officeDocument/2006/relationships/hyperlink" Target="https://search.ebscohost.com/login.aspx?direct=true&amp;db=mdc&amp;AN=20013461&amp;site=ehost-live" TargetMode="External"/><Relationship Id="rId18" Type="http://schemas.openxmlformats.org/officeDocument/2006/relationships/hyperlink" Target="https://search.ebscohost.com/login.aspx?direct=true&amp;db=mdc&amp;AN=20739718&amp;site=ehost-live" TargetMode="External"/><Relationship Id="rId26" Type="http://schemas.openxmlformats.org/officeDocument/2006/relationships/hyperlink" Target="https://search.ebscohost.com/login.aspx?direct=true&amp;db=mdc&amp;AN=20308698&amp;site=ehost-live" TargetMode="External"/><Relationship Id="rId3" Type="http://schemas.openxmlformats.org/officeDocument/2006/relationships/hyperlink" Target="https://search.ebscohost.com/login.aspx?direct=true&amp;db=mdc&amp;AN=20817700&amp;site=ehost-live" TargetMode="External"/><Relationship Id="rId21" Type="http://schemas.openxmlformats.org/officeDocument/2006/relationships/hyperlink" Target="https://search.ebscohost.com/login.aspx?direct=true&amp;db=mdc&amp;AN=21266738&amp;site=ehost-live" TargetMode="External"/><Relationship Id="rId7" Type="http://schemas.openxmlformats.org/officeDocument/2006/relationships/hyperlink" Target="https://search.ebscohost.com/login.aspx?direct=true&amp;db=mdc&amp;AN=20145946&amp;site=ehost-live" TargetMode="External"/><Relationship Id="rId12" Type="http://schemas.openxmlformats.org/officeDocument/2006/relationships/hyperlink" Target="https://search.ebscohost.com/login.aspx?direct=true&amp;db=mdc&amp;AN=20479482&amp;site=ehost-live" TargetMode="External"/><Relationship Id="rId17" Type="http://schemas.openxmlformats.org/officeDocument/2006/relationships/hyperlink" Target="https://search.ebscohost.com/login.aspx?direct=true&amp;db=mdc&amp;AN=20861524&amp;site=ehost-live" TargetMode="External"/><Relationship Id="rId25" Type="http://schemas.openxmlformats.org/officeDocument/2006/relationships/hyperlink" Target="https://search.ebscohost.com/login.aspx?direct=true&amp;db=mdc&amp;AN=20885195&amp;site=ehost-live" TargetMode="External"/><Relationship Id="rId33" Type="http://schemas.openxmlformats.org/officeDocument/2006/relationships/table" Target="../tables/table13.xml"/><Relationship Id="rId2" Type="http://schemas.openxmlformats.org/officeDocument/2006/relationships/hyperlink" Target="https://search.ebscohost.com/login.aspx?direct=true&amp;db=mdc&amp;AN=20371566&amp;site=ehost-live" TargetMode="External"/><Relationship Id="rId16" Type="http://schemas.openxmlformats.org/officeDocument/2006/relationships/hyperlink" Target="https://search.ebscohost.com/login.aspx?direct=true&amp;db=mdc&amp;AN=20625195&amp;site=ehost-live" TargetMode="External"/><Relationship Id="rId20" Type="http://schemas.openxmlformats.org/officeDocument/2006/relationships/hyperlink" Target="https://search.ebscohost.com/login.aspx?direct=true&amp;db=mdc&amp;AN=18523036&amp;site=ehost-live" TargetMode="External"/><Relationship Id="rId29" Type="http://schemas.openxmlformats.org/officeDocument/2006/relationships/hyperlink" Target="https://search.ebscohost.com/login.aspx?direct=true&amp;db=mdc&amp;AN=20446639&amp;site=ehost-live" TargetMode="External"/><Relationship Id="rId1" Type="http://schemas.openxmlformats.org/officeDocument/2006/relationships/hyperlink" Target="https://search.ebscohost.com/login.aspx?direct=true&amp;db=mdc&amp;AN=21266736&amp;site=ehost-live" TargetMode="External"/><Relationship Id="rId6" Type="http://schemas.openxmlformats.org/officeDocument/2006/relationships/hyperlink" Target="https://search.ebscohost.com/login.aspx?direct=true&amp;db=mdc&amp;AN=20072049&amp;site=ehost-live" TargetMode="External"/><Relationship Id="rId11" Type="http://schemas.openxmlformats.org/officeDocument/2006/relationships/hyperlink" Target="https://search.ebscohost.com/login.aspx?direct=true&amp;db=mdc&amp;AN=20640439&amp;site=ehost-live" TargetMode="External"/><Relationship Id="rId24" Type="http://schemas.openxmlformats.org/officeDocument/2006/relationships/hyperlink" Target="https://search.ebscohost.com/login.aspx?direct=true&amp;db=mdc&amp;AN=18499767&amp;site=ehost-live" TargetMode="External"/><Relationship Id="rId32" Type="http://schemas.openxmlformats.org/officeDocument/2006/relationships/hyperlink" Target="https://search.ebscohost.com/login.aspx?direct=true&amp;db=mdc&amp;AN=20601713&amp;site=ehost-live" TargetMode="External"/><Relationship Id="rId5" Type="http://schemas.openxmlformats.org/officeDocument/2006/relationships/hyperlink" Target="https://search.ebscohost.com/login.aspx?direct=true&amp;db=mdc&amp;AN=20503055&amp;site=ehost-live" TargetMode="External"/><Relationship Id="rId15" Type="http://schemas.openxmlformats.org/officeDocument/2006/relationships/hyperlink" Target="https://search.ebscohost.com/login.aspx?direct=true&amp;db=mdc&amp;AN=21266737&amp;site=ehost-live" TargetMode="External"/><Relationship Id="rId23" Type="http://schemas.openxmlformats.org/officeDocument/2006/relationships/hyperlink" Target="https://search.ebscohost.com/login.aspx?direct=true&amp;db=mdc&amp;AN=20480427&amp;site=ehost-live" TargetMode="External"/><Relationship Id="rId28" Type="http://schemas.openxmlformats.org/officeDocument/2006/relationships/hyperlink" Target="https://search.ebscohost.com/login.aspx?direct=true&amp;db=mdc&amp;AN=20072051&amp;site=ehost-live" TargetMode="External"/><Relationship Id="rId10" Type="http://schemas.openxmlformats.org/officeDocument/2006/relationships/hyperlink" Target="https://search.ebscohost.com/login.aspx?direct=true&amp;db=mdc&amp;AN=20840562&amp;site=ehost-live" TargetMode="External"/><Relationship Id="rId19" Type="http://schemas.openxmlformats.org/officeDocument/2006/relationships/hyperlink" Target="https://search.ebscohost.com/login.aspx?direct=true&amp;db=mdc&amp;AN=19927018&amp;site=ehost-live" TargetMode="External"/><Relationship Id="rId31" Type="http://schemas.openxmlformats.org/officeDocument/2006/relationships/hyperlink" Target="https://search.ebscohost.com/login.aspx?direct=true&amp;db=mdc&amp;AN=20625193&amp;site=ehost-live" TargetMode="External"/><Relationship Id="rId4" Type="http://schemas.openxmlformats.org/officeDocument/2006/relationships/hyperlink" Target="https://search.ebscohost.com/login.aspx?direct=true&amp;db=mdc&amp;AN=20466803&amp;site=ehost-live" TargetMode="External"/><Relationship Id="rId9" Type="http://schemas.openxmlformats.org/officeDocument/2006/relationships/hyperlink" Target="https://search.ebscohost.com/login.aspx?direct=true&amp;db=mdc&amp;AN=20460259&amp;site=ehost-live" TargetMode="External"/><Relationship Id="rId14" Type="http://schemas.openxmlformats.org/officeDocument/2006/relationships/hyperlink" Target="https://search.ebscohost.com/login.aspx?direct=true&amp;db=mdc&amp;AN=18272539&amp;site=ehost-live" TargetMode="External"/><Relationship Id="rId22" Type="http://schemas.openxmlformats.org/officeDocument/2006/relationships/hyperlink" Target="https://search.ebscohost.com/login.aspx?direct=true&amp;db=mdc&amp;AN=20445361&amp;site=ehost-live" TargetMode="External"/><Relationship Id="rId27" Type="http://schemas.openxmlformats.org/officeDocument/2006/relationships/hyperlink" Target="https://search.ebscohost.com/login.aspx?direct=true&amp;db=mdc&amp;AN=20301046&amp;site=ehost-live" TargetMode="External"/><Relationship Id="rId30" Type="http://schemas.openxmlformats.org/officeDocument/2006/relationships/hyperlink" Target="https://search.ebscohost.com/login.aspx?direct=true&amp;db=mdc&amp;AN=20419553&amp;site=ehost-live" TargetMode="External"/><Relationship Id="rId8" Type="http://schemas.openxmlformats.org/officeDocument/2006/relationships/hyperlink" Target="https://search.ebscohost.com/login.aspx?direct=true&amp;db=mdc&amp;AN=20364873&amp;site=ehost-live"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https://search.ebscohost.com/login.aspx?direct=true&amp;db=mdc&amp;AN=19376472&amp;site=ehost-live" TargetMode="External"/><Relationship Id="rId13" Type="http://schemas.openxmlformats.org/officeDocument/2006/relationships/hyperlink" Target="https://search.ebscohost.com/login.aspx?direct=true&amp;db=mdc&amp;AN=19153861&amp;site=ehost-live" TargetMode="External"/><Relationship Id="rId18" Type="http://schemas.openxmlformats.org/officeDocument/2006/relationships/hyperlink" Target="https://search.ebscohost.com/login.aspx?direct=true&amp;db=mdc&amp;AN=19891201&amp;site=ehost-live" TargetMode="External"/><Relationship Id="rId3" Type="http://schemas.openxmlformats.org/officeDocument/2006/relationships/hyperlink" Target="https://search.ebscohost.com/login.aspx?direct=true&amp;db=mdc&amp;AN=19955167&amp;site=ehost-live" TargetMode="External"/><Relationship Id="rId21" Type="http://schemas.openxmlformats.org/officeDocument/2006/relationships/hyperlink" Target="https://search.ebscohost.com/login.aspx?direct=true&amp;db=mdc&amp;AN=19593221&amp;site=ehost-live" TargetMode="External"/><Relationship Id="rId7" Type="http://schemas.openxmlformats.org/officeDocument/2006/relationships/hyperlink" Target="https://search.ebscohost.com/login.aspx?direct=true&amp;db=mdc&amp;AN=19519223&amp;site=ehost-live" TargetMode="External"/><Relationship Id="rId12" Type="http://schemas.openxmlformats.org/officeDocument/2006/relationships/hyperlink" Target="https://search.ebscohost.com/login.aspx?direct=true&amp;db=mdc&amp;AN=18768355&amp;site=ehost-live" TargetMode="External"/><Relationship Id="rId17" Type="http://schemas.openxmlformats.org/officeDocument/2006/relationships/hyperlink" Target="https://search.ebscohost.com/login.aspx?direct=true&amp;db=mdc&amp;AN=19191166&amp;site=ehost-live" TargetMode="External"/><Relationship Id="rId25" Type="http://schemas.openxmlformats.org/officeDocument/2006/relationships/table" Target="../tables/table14.xml"/><Relationship Id="rId2" Type="http://schemas.openxmlformats.org/officeDocument/2006/relationships/hyperlink" Target="https://search.ebscohost.com/login.aspx?direct=true&amp;db=mdc&amp;AN=19214862&amp;site=ehost-live" TargetMode="External"/><Relationship Id="rId16" Type="http://schemas.openxmlformats.org/officeDocument/2006/relationships/hyperlink" Target="https://search.ebscohost.com/login.aspx?direct=true&amp;db=mdc&amp;AN=18296113&amp;site=ehost-live" TargetMode="External"/><Relationship Id="rId20" Type="http://schemas.openxmlformats.org/officeDocument/2006/relationships/hyperlink" Target="https://search.ebscohost.com/login.aspx?direct=true&amp;db=mdc&amp;AN=19855336&amp;site=ehost-live" TargetMode="External"/><Relationship Id="rId1" Type="http://schemas.openxmlformats.org/officeDocument/2006/relationships/hyperlink" Target="https://search.ebscohost.com/login.aspx?direct=true&amp;db=mdc&amp;AN=19910656&amp;site=ehost-live" TargetMode="External"/><Relationship Id="rId6" Type="http://schemas.openxmlformats.org/officeDocument/2006/relationships/hyperlink" Target="https://search.ebscohost.com/login.aspx?direct=true&amp;db=mdc&amp;AN=19705764&amp;site=ehost-live" TargetMode="External"/><Relationship Id="rId11" Type="http://schemas.openxmlformats.org/officeDocument/2006/relationships/hyperlink" Target="https://search.ebscohost.com/login.aspx?direct=true&amp;db=mdc&amp;AN=19598055&amp;site=ehost-live" TargetMode="External"/><Relationship Id="rId24" Type="http://schemas.openxmlformats.org/officeDocument/2006/relationships/hyperlink" Target="https://search.ebscohost.com/login.aspx?direct=true&amp;db=mdc&amp;AN=19219736&amp;site=ehost-live" TargetMode="External"/><Relationship Id="rId5" Type="http://schemas.openxmlformats.org/officeDocument/2006/relationships/hyperlink" Target="https://search.ebscohost.com/login.aspx?direct=true&amp;db=mdc&amp;AN=19235005&amp;site=ehost-live" TargetMode="External"/><Relationship Id="rId15" Type="http://schemas.openxmlformats.org/officeDocument/2006/relationships/hyperlink" Target="https://search.ebscohost.com/login.aspx?direct=true&amp;db=mdc&amp;AN=19693532&amp;site=ehost-live" TargetMode="External"/><Relationship Id="rId23" Type="http://schemas.openxmlformats.org/officeDocument/2006/relationships/hyperlink" Target="https://search.ebscohost.com/login.aspx?direct=true&amp;db=mdc&amp;AN=19642049&amp;site=ehost-live" TargetMode="External"/><Relationship Id="rId10" Type="http://schemas.openxmlformats.org/officeDocument/2006/relationships/hyperlink" Target="https://search.ebscohost.com/login.aspx?direct=true&amp;db=mdc&amp;AN=18069063&amp;site=ehost-live" TargetMode="External"/><Relationship Id="rId19" Type="http://schemas.openxmlformats.org/officeDocument/2006/relationships/hyperlink" Target="https://search.ebscohost.com/login.aspx?direct=true&amp;db=mdc&amp;AN=19294411&amp;site=ehost-live" TargetMode="External"/><Relationship Id="rId4" Type="http://schemas.openxmlformats.org/officeDocument/2006/relationships/hyperlink" Target="https://search.ebscohost.com/login.aspx?direct=true&amp;db=mdc&amp;AN=19705762&amp;site=ehost-live" TargetMode="External"/><Relationship Id="rId9" Type="http://schemas.openxmlformats.org/officeDocument/2006/relationships/hyperlink" Target="https://search.ebscohost.com/login.aspx?direct=true&amp;db=mdc&amp;AN=19417235&amp;site=ehost-live" TargetMode="External"/><Relationship Id="rId14" Type="http://schemas.openxmlformats.org/officeDocument/2006/relationships/hyperlink" Target="https://search.ebscohost.com/login.aspx?direct=true&amp;db=mdc&amp;AN=19787541&amp;site=ehost-live" TargetMode="External"/><Relationship Id="rId22" Type="http://schemas.openxmlformats.org/officeDocument/2006/relationships/hyperlink" Target="https://search.ebscohost.com/login.aspx?direct=true&amp;db=mdc&amp;AN=19953825&amp;site=ehost-live"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https://search.ebscohost.com/login.aspx?direct=true&amp;db=mdc&amp;AN=18341134&amp;site=ehost-live" TargetMode="External"/><Relationship Id="rId13" Type="http://schemas.openxmlformats.org/officeDocument/2006/relationships/hyperlink" Target="https://search.ebscohost.com/login.aspx?direct=true&amp;db=mdc&amp;AN=18058595&amp;site=ehost-live" TargetMode="External"/><Relationship Id="rId18" Type="http://schemas.openxmlformats.org/officeDocument/2006/relationships/hyperlink" Target="https://search.ebscohost.com/login.aspx?direct=true&amp;db=mdc&amp;AN=18949661&amp;site=ehost-live" TargetMode="External"/><Relationship Id="rId26" Type="http://schemas.openxmlformats.org/officeDocument/2006/relationships/hyperlink" Target="https://search.ebscohost.com/login.aspx?direct=true&amp;db=mdc&amp;AN=18320711&amp;site=ehost-live" TargetMode="External"/><Relationship Id="rId3" Type="http://schemas.openxmlformats.org/officeDocument/2006/relationships/hyperlink" Target="https://search.ebscohost.com/login.aspx?direct=true&amp;db=mdc&amp;AN=18077212&amp;site=ehost-live" TargetMode="External"/><Relationship Id="rId21" Type="http://schemas.openxmlformats.org/officeDocument/2006/relationships/hyperlink" Target="https://search.ebscohost.com/login.aspx?direct=true&amp;db=mdc&amp;AN=18714221&amp;site=ehost-live" TargetMode="External"/><Relationship Id="rId7" Type="http://schemas.openxmlformats.org/officeDocument/2006/relationships/hyperlink" Target="https://search.ebscohost.com/login.aspx?direct=true&amp;db=mdc&amp;AN=19088794&amp;site=ehost-live" TargetMode="External"/><Relationship Id="rId12" Type="http://schemas.openxmlformats.org/officeDocument/2006/relationships/hyperlink" Target="https://search.ebscohost.com/login.aspx?direct=true&amp;db=mdc&amp;AN=18274940&amp;site=ehost-live" TargetMode="External"/><Relationship Id="rId17" Type="http://schemas.openxmlformats.org/officeDocument/2006/relationships/hyperlink" Target="https://search.ebscohost.com/login.aspx?direct=true&amp;db=mdc&amp;AN=19211945&amp;site=ehost-live" TargetMode="External"/><Relationship Id="rId25" Type="http://schemas.openxmlformats.org/officeDocument/2006/relationships/hyperlink" Target="https://search.ebscohost.com/login.aspx?direct=true&amp;db=mdc&amp;AN=18274951&amp;site=ehost-live" TargetMode="External"/><Relationship Id="rId2" Type="http://schemas.openxmlformats.org/officeDocument/2006/relationships/hyperlink" Target="https://search.ebscohost.com/login.aspx?direct=true&amp;db=mdc&amp;AN=18620463&amp;site=ehost-live" TargetMode="External"/><Relationship Id="rId16" Type="http://schemas.openxmlformats.org/officeDocument/2006/relationships/hyperlink" Target="https://search.ebscohost.com/login.aspx?direct=true&amp;db=mdc&amp;AN=18550987&amp;site=ehost-live" TargetMode="External"/><Relationship Id="rId20" Type="http://schemas.openxmlformats.org/officeDocument/2006/relationships/hyperlink" Target="https://search.ebscohost.com/login.aspx?direct=true&amp;db=mdc&amp;AN=18665956&amp;site=ehost-live" TargetMode="External"/><Relationship Id="rId29" Type="http://schemas.openxmlformats.org/officeDocument/2006/relationships/hyperlink" Target="https://search.ebscohost.com/login.aspx?direct=true&amp;db=mdc&amp;AN=18608847&amp;site=ehost-live" TargetMode="External"/><Relationship Id="rId1" Type="http://schemas.openxmlformats.org/officeDocument/2006/relationships/hyperlink" Target="https://search.ebscohost.com/login.aspx?direct=true&amp;db=mdc&amp;AN=18708690&amp;site=ehost-live" TargetMode="External"/><Relationship Id="rId6" Type="http://schemas.openxmlformats.org/officeDocument/2006/relationships/hyperlink" Target="https://search.ebscohost.com/login.aspx?direct=true&amp;db=mdc&amp;AN=18545172&amp;site=ehost-live" TargetMode="External"/><Relationship Id="rId11" Type="http://schemas.openxmlformats.org/officeDocument/2006/relationships/hyperlink" Target="https://search.ebscohost.com/login.aspx?direct=true&amp;db=mdc&amp;AN=19618573&amp;site=ehost-live" TargetMode="External"/><Relationship Id="rId24" Type="http://schemas.openxmlformats.org/officeDocument/2006/relationships/hyperlink" Target="https://search.ebscohost.com/login.aspx?direct=true&amp;db=mdc&amp;AN=17543581&amp;site=ehost-live" TargetMode="External"/><Relationship Id="rId32" Type="http://schemas.openxmlformats.org/officeDocument/2006/relationships/table" Target="../tables/table15.xml"/><Relationship Id="rId5" Type="http://schemas.openxmlformats.org/officeDocument/2006/relationships/hyperlink" Target="https://search.ebscohost.com/login.aspx?direct=true&amp;db=mdc&amp;AN=18545165&amp;site=ehost-live" TargetMode="External"/><Relationship Id="rId15" Type="http://schemas.openxmlformats.org/officeDocument/2006/relationships/hyperlink" Target="https://search.ebscohost.com/login.aspx?direct=true&amp;db=mdc&amp;AN=17496073&amp;site=ehost-live" TargetMode="External"/><Relationship Id="rId23" Type="http://schemas.openxmlformats.org/officeDocument/2006/relationships/hyperlink" Target="https://search.ebscohost.com/login.aspx?direct=true&amp;db=mdc&amp;AN=18351377&amp;site=ehost-live" TargetMode="External"/><Relationship Id="rId28" Type="http://schemas.openxmlformats.org/officeDocument/2006/relationships/hyperlink" Target="https://search.ebscohost.com/login.aspx?direct=true&amp;db=mdc&amp;AN=18070805&amp;site=ehost-live" TargetMode="External"/><Relationship Id="rId10" Type="http://schemas.openxmlformats.org/officeDocument/2006/relationships/hyperlink" Target="https://search.ebscohost.com/login.aspx?direct=true&amp;db=mdc&amp;AN=18806552&amp;site=ehost-live" TargetMode="External"/><Relationship Id="rId19" Type="http://schemas.openxmlformats.org/officeDocument/2006/relationships/hyperlink" Target="https://search.ebscohost.com/login.aspx?direct=true&amp;db=mdc&amp;AN=18615388&amp;site=ehost-live" TargetMode="External"/><Relationship Id="rId31" Type="http://schemas.openxmlformats.org/officeDocument/2006/relationships/hyperlink" Target="https://search.ebscohost.com/login.aspx?direct=true&amp;db=mdc&amp;AN=18332692&amp;site=ehost-live" TargetMode="External"/><Relationship Id="rId4" Type="http://schemas.openxmlformats.org/officeDocument/2006/relationships/hyperlink" Target="https://search.ebscohost.com/login.aspx?direct=true&amp;db=mdc&amp;AN=17852674&amp;site=ehost-live" TargetMode="External"/><Relationship Id="rId9" Type="http://schemas.openxmlformats.org/officeDocument/2006/relationships/hyperlink" Target="https://search.ebscohost.com/login.aspx?direct=true&amp;db=mdc&amp;AN=18972884&amp;site=ehost-live" TargetMode="External"/><Relationship Id="rId14" Type="http://schemas.openxmlformats.org/officeDocument/2006/relationships/hyperlink" Target="https://search.ebscohost.com/login.aspx?direct=true&amp;db=mdc&amp;AN=17978833&amp;site=ehost-live" TargetMode="External"/><Relationship Id="rId22" Type="http://schemas.openxmlformats.org/officeDocument/2006/relationships/hyperlink" Target="https://search.ebscohost.com/login.aspx?direct=true&amp;db=mdc&amp;AN=18438243&amp;site=ehost-live" TargetMode="External"/><Relationship Id="rId27" Type="http://schemas.openxmlformats.org/officeDocument/2006/relationships/hyperlink" Target="https://search.ebscohost.com/login.aspx?direct=true&amp;db=mdc&amp;AN=18317390&amp;site=ehost-live" TargetMode="External"/><Relationship Id="rId30" Type="http://schemas.openxmlformats.org/officeDocument/2006/relationships/hyperlink" Target="https://search.ebscohost.com/login.aspx?direct=true&amp;db=mdc&amp;AN=19211951&amp;site=ehost-live" TargetMode="External"/></Relationships>
</file>

<file path=xl/worksheets/_rels/sheet18.xml.rels><?xml version="1.0" encoding="UTF-8" standalone="yes"?>
<Relationships xmlns="http://schemas.openxmlformats.org/package/2006/relationships"><Relationship Id="rId8" Type="http://schemas.openxmlformats.org/officeDocument/2006/relationships/hyperlink" Target="https://search.ebscohost.com/login.aspx?direct=true&amp;db=mdc&amp;AN=17986898&amp;site=ehost-live" TargetMode="External"/><Relationship Id="rId13" Type="http://schemas.openxmlformats.org/officeDocument/2006/relationships/hyperlink" Target="https://search.ebscohost.com/login.aspx?direct=true&amp;db=mdc&amp;AN=17277597&amp;site=ehost-live" TargetMode="External"/><Relationship Id="rId18" Type="http://schemas.openxmlformats.org/officeDocument/2006/relationships/hyperlink" Target="https://search.ebscohost.com/login.aspx?direct=true&amp;db=mdc&amp;AN=17805094&amp;site=ehost-live" TargetMode="External"/><Relationship Id="rId26" Type="http://schemas.openxmlformats.org/officeDocument/2006/relationships/hyperlink" Target="https://search.ebscohost.com/login.aspx?direct=true&amp;db=mdc&amp;AN=19168933&amp;site=ehost-live" TargetMode="External"/><Relationship Id="rId3" Type="http://schemas.openxmlformats.org/officeDocument/2006/relationships/hyperlink" Target="https://search.ebscohost.com/login.aspx?direct=true&amp;db=mdc&amp;AN=17472999&amp;site=ehost-live" TargetMode="External"/><Relationship Id="rId21" Type="http://schemas.openxmlformats.org/officeDocument/2006/relationships/hyperlink" Target="https://search.ebscohost.com/login.aspx?direct=true&amp;db=mdc&amp;AN=17852663&amp;site=ehost-live" TargetMode="External"/><Relationship Id="rId7" Type="http://schemas.openxmlformats.org/officeDocument/2006/relationships/hyperlink" Target="https://search.ebscohost.com/login.aspx?direct=true&amp;db=mdc&amp;AN=17892093&amp;site=ehost-live" TargetMode="External"/><Relationship Id="rId12" Type="http://schemas.openxmlformats.org/officeDocument/2006/relationships/hyperlink" Target="https://search.ebscohost.com/login.aspx?direct=true&amp;db=mdc&amp;AN=19255455&amp;site=ehost-live" TargetMode="External"/><Relationship Id="rId17" Type="http://schemas.openxmlformats.org/officeDocument/2006/relationships/hyperlink" Target="https://search.ebscohost.com/login.aspx?direct=true&amp;db=mdc&amp;AN=19202658&amp;site=ehost-live" TargetMode="External"/><Relationship Id="rId25" Type="http://schemas.openxmlformats.org/officeDocument/2006/relationships/hyperlink" Target="https://search.ebscohost.com/login.aspx?direct=true&amp;db=mdc&amp;AN=17685683&amp;site=ehost-live" TargetMode="External"/><Relationship Id="rId2" Type="http://schemas.openxmlformats.org/officeDocument/2006/relationships/hyperlink" Target="https://search.ebscohost.com/login.aspx?direct=true&amp;db=mdc&amp;AN=17000134&amp;site=ehost-live" TargetMode="External"/><Relationship Id="rId16" Type="http://schemas.openxmlformats.org/officeDocument/2006/relationships/hyperlink" Target="https://search.ebscohost.com/login.aspx?direct=true&amp;db=mdc&amp;AN=17341587&amp;site=ehost-live" TargetMode="External"/><Relationship Id="rId20" Type="http://schemas.openxmlformats.org/officeDocument/2006/relationships/hyperlink" Target="https://search.ebscohost.com/login.aspx?direct=true&amp;db=mdc&amp;AN=17465604&amp;site=ehost-live" TargetMode="External"/><Relationship Id="rId1" Type="http://schemas.openxmlformats.org/officeDocument/2006/relationships/hyperlink" Target="https://search.ebscohost.com/login.aspx?direct=true&amp;db=mdc&amp;AN=17933196&amp;site=ehost-live" TargetMode="External"/><Relationship Id="rId6" Type="http://schemas.openxmlformats.org/officeDocument/2006/relationships/hyperlink" Target="https://search.ebscohost.com/login.aspx?direct=true&amp;db=mdc&amp;AN=19171960&amp;site=ehost-live" TargetMode="External"/><Relationship Id="rId11" Type="http://schemas.openxmlformats.org/officeDocument/2006/relationships/hyperlink" Target="https://search.ebscohost.com/login.aspx?direct=true&amp;db=mdc&amp;AN=17326696&amp;site=ehost-live" TargetMode="External"/><Relationship Id="rId24" Type="http://schemas.openxmlformats.org/officeDocument/2006/relationships/hyperlink" Target="https://search.ebscohost.com/login.aspx?direct=true&amp;db=mdc&amp;AN=17882451&amp;site=ehost-live" TargetMode="External"/><Relationship Id="rId5" Type="http://schemas.openxmlformats.org/officeDocument/2006/relationships/hyperlink" Target="https://search.ebscohost.com/login.aspx?direct=true&amp;db=mdc&amp;AN=17062653&amp;site=ehost-live" TargetMode="External"/><Relationship Id="rId15" Type="http://schemas.openxmlformats.org/officeDocument/2006/relationships/hyperlink" Target="https://search.ebscohost.com/login.aspx?direct=true&amp;db=mdc&amp;AN=17562069&amp;site=ehost-live" TargetMode="External"/><Relationship Id="rId23" Type="http://schemas.openxmlformats.org/officeDocument/2006/relationships/hyperlink" Target="https://search.ebscohost.com/login.aspx?direct=true&amp;db=mdc&amp;AN=17620793&amp;site=ehost-live" TargetMode="External"/><Relationship Id="rId10" Type="http://schemas.openxmlformats.org/officeDocument/2006/relationships/hyperlink" Target="https://search.ebscohost.com/login.aspx?direct=true&amp;db=mdc&amp;AN=17473002&amp;site=ehost-live" TargetMode="External"/><Relationship Id="rId19" Type="http://schemas.openxmlformats.org/officeDocument/2006/relationships/hyperlink" Target="https://search.ebscohost.com/login.aspx?direct=true&amp;db=mdc&amp;AN=18049981&amp;site=ehost-live" TargetMode="External"/><Relationship Id="rId4" Type="http://schemas.openxmlformats.org/officeDocument/2006/relationships/hyperlink" Target="https://search.ebscohost.com/login.aspx?direct=true&amp;db=mdc&amp;AN=19255457&amp;site=ehost-live" TargetMode="External"/><Relationship Id="rId9" Type="http://schemas.openxmlformats.org/officeDocument/2006/relationships/hyperlink" Target="https://search.ebscohost.com/login.aspx?direct=true&amp;db=mdc&amp;AN=19168929&amp;site=ehost-live" TargetMode="External"/><Relationship Id="rId14" Type="http://schemas.openxmlformats.org/officeDocument/2006/relationships/hyperlink" Target="https://search.ebscohost.com/login.aspx?direct=true&amp;db=mdc&amp;AN=17218901&amp;site=ehost-live" TargetMode="External"/><Relationship Id="rId22" Type="http://schemas.openxmlformats.org/officeDocument/2006/relationships/hyperlink" Target="https://search.ebscohost.com/login.aspx?direct=true&amp;db=mdc&amp;AN=19171954&amp;site=ehost-live" TargetMode="External"/><Relationship Id="rId27" Type="http://schemas.openxmlformats.org/officeDocument/2006/relationships/table" Target="../tables/table16.xml"/></Relationships>
</file>

<file path=xl/worksheets/_rels/sheet19.xml.rels><?xml version="1.0" encoding="UTF-8" standalone="yes"?>
<Relationships xmlns="http://schemas.openxmlformats.org/package/2006/relationships"><Relationship Id="rId8" Type="http://schemas.openxmlformats.org/officeDocument/2006/relationships/hyperlink" Target="https://search.ebscohost.com/login.aspx?direct=true&amp;db=mdc&amp;AN=16547143&amp;site=ehost-live" TargetMode="External"/><Relationship Id="rId13" Type="http://schemas.openxmlformats.org/officeDocument/2006/relationships/hyperlink" Target="https://search.ebscohost.com/login.aspx?direct=true&amp;db=mdc&amp;AN=16394966&amp;site=ehost-live" TargetMode="External"/><Relationship Id="rId18" Type="http://schemas.openxmlformats.org/officeDocument/2006/relationships/hyperlink" Target="https://search.ebscohost.com/login.aspx?direct=true&amp;db=mdc&amp;AN=19114740&amp;site=ehost-live" TargetMode="External"/><Relationship Id="rId26" Type="http://schemas.openxmlformats.org/officeDocument/2006/relationships/hyperlink" Target="https://search.ebscohost.com/login.aspx?direct=true&amp;db=mdc&amp;AN=16686548&amp;site=ehost-live" TargetMode="External"/><Relationship Id="rId3" Type="http://schemas.openxmlformats.org/officeDocument/2006/relationships/hyperlink" Target="https://search.ebscohost.com/login.aspx?direct=true&amp;db=s3h&amp;AN=SPHS-1036922&amp;site=ehost-live" TargetMode="External"/><Relationship Id="rId21" Type="http://schemas.openxmlformats.org/officeDocument/2006/relationships/hyperlink" Target="https://search.ebscohost.com/login.aspx?direct=true&amp;db=mdc&amp;AN=16676707&amp;site=ehost-live" TargetMode="External"/><Relationship Id="rId7" Type="http://schemas.openxmlformats.org/officeDocument/2006/relationships/hyperlink" Target="https://search.ebscohost.com/login.aspx?direct=true&amp;db=s3h&amp;AN=SPHS-1044473&amp;site=ehost-live" TargetMode="External"/><Relationship Id="rId12" Type="http://schemas.openxmlformats.org/officeDocument/2006/relationships/hyperlink" Target="https://search.ebscohost.com/login.aspx?direct=true&amp;db=mdc&amp;AN=16778580&amp;site=ehost-live" TargetMode="External"/><Relationship Id="rId17" Type="http://schemas.openxmlformats.org/officeDocument/2006/relationships/hyperlink" Target="https://search.ebscohost.com/login.aspx?direct=true&amp;db=mdc&amp;AN=16603880&amp;site=ehost-live" TargetMode="External"/><Relationship Id="rId25" Type="http://schemas.openxmlformats.org/officeDocument/2006/relationships/hyperlink" Target="https://search.ebscohost.com/login.aspx?direct=true&amp;db=mdc&amp;AN=16815774&amp;site=ehost-live" TargetMode="External"/><Relationship Id="rId2" Type="http://schemas.openxmlformats.org/officeDocument/2006/relationships/hyperlink" Target="https://search.ebscohost.com/login.aspx?direct=true&amp;db=mdc&amp;AN=16882626&amp;site=ehost-live" TargetMode="External"/><Relationship Id="rId16" Type="http://schemas.openxmlformats.org/officeDocument/2006/relationships/hyperlink" Target="https://search.ebscohost.com/login.aspx?direct=true&amp;db=mdc&amp;AN=16432001&amp;site=ehost-live" TargetMode="External"/><Relationship Id="rId20" Type="http://schemas.openxmlformats.org/officeDocument/2006/relationships/hyperlink" Target="https://search.ebscohost.com/login.aspx?direct=true&amp;db=mdc&amp;AN=19124890&amp;site=ehost-live" TargetMode="External"/><Relationship Id="rId29" Type="http://schemas.openxmlformats.org/officeDocument/2006/relationships/hyperlink" Target="https://search.ebscohost.com/login.aspx?direct=true&amp;db=mdc&amp;AN=16778558&amp;site=ehost-live" TargetMode="External"/><Relationship Id="rId1" Type="http://schemas.openxmlformats.org/officeDocument/2006/relationships/hyperlink" Target="https://search.ebscohost.com/login.aspx?direct=true&amp;db=mdc&amp;AN=16371492&amp;site=ehost-live" TargetMode="External"/><Relationship Id="rId6" Type="http://schemas.openxmlformats.org/officeDocument/2006/relationships/hyperlink" Target="https://search.ebscohost.com/login.aspx?direct=true&amp;db=s3h&amp;AN=SPHS-1044489&amp;site=ehost-live" TargetMode="External"/><Relationship Id="rId11" Type="http://schemas.openxmlformats.org/officeDocument/2006/relationships/hyperlink" Target="https://search.ebscohost.com/login.aspx?direct=true&amp;db=mdc&amp;AN=16766497&amp;site=ehost-live" TargetMode="External"/><Relationship Id="rId24" Type="http://schemas.openxmlformats.org/officeDocument/2006/relationships/hyperlink" Target="https://search.ebscohost.com/login.aspx?direct=true&amp;db=mdc&amp;AN=16506864&amp;site=ehost-live" TargetMode="External"/><Relationship Id="rId5" Type="http://schemas.openxmlformats.org/officeDocument/2006/relationships/hyperlink" Target="https://search.ebscohost.com/login.aspx?direct=true&amp;db=mdc&amp;AN=16937976&amp;site=ehost-live" TargetMode="External"/><Relationship Id="rId15" Type="http://schemas.openxmlformats.org/officeDocument/2006/relationships/hyperlink" Target="https://search.ebscohost.com/login.aspx?direct=true&amp;db=mdc&amp;AN=19114734&amp;site=ehost-live" TargetMode="External"/><Relationship Id="rId23" Type="http://schemas.openxmlformats.org/officeDocument/2006/relationships/hyperlink" Target="https://search.ebscohost.com/login.aspx?direct=true&amp;db=mdc&amp;AN=17149987&amp;site=ehost-live" TargetMode="External"/><Relationship Id="rId28" Type="http://schemas.openxmlformats.org/officeDocument/2006/relationships/hyperlink" Target="https://search.ebscohost.com/login.aspx?direct=true&amp;db=mdc&amp;AN=16775562&amp;site=ehost-live" TargetMode="External"/><Relationship Id="rId10" Type="http://schemas.openxmlformats.org/officeDocument/2006/relationships/hyperlink" Target="https://search.ebscohost.com/login.aspx?direct=true&amp;db=mdc&amp;AN=16503678&amp;site=ehost-live" TargetMode="External"/><Relationship Id="rId19" Type="http://schemas.openxmlformats.org/officeDocument/2006/relationships/hyperlink" Target="https://search.ebscohost.com/login.aspx?direct=true&amp;db=mdc&amp;AN=16580878&amp;site=ehost-live" TargetMode="External"/><Relationship Id="rId31" Type="http://schemas.openxmlformats.org/officeDocument/2006/relationships/table" Target="../tables/table17.xml"/><Relationship Id="rId4" Type="http://schemas.openxmlformats.org/officeDocument/2006/relationships/hyperlink" Target="https://search.ebscohost.com/login.aspx?direct=true&amp;db=mdc&amp;AN=16844413&amp;site=ehost-live" TargetMode="External"/><Relationship Id="rId9" Type="http://schemas.openxmlformats.org/officeDocument/2006/relationships/hyperlink" Target="https://search.ebscohost.com/login.aspx?direct=true&amp;db=mdc&amp;AN=16869709&amp;site=ehost-live" TargetMode="External"/><Relationship Id="rId14" Type="http://schemas.openxmlformats.org/officeDocument/2006/relationships/hyperlink" Target="https://search.ebscohost.com/login.aspx?direct=true&amp;db=mdc&amp;AN=16794028&amp;site=ehost-live" TargetMode="External"/><Relationship Id="rId22" Type="http://schemas.openxmlformats.org/officeDocument/2006/relationships/hyperlink" Target="https://search.ebscohost.com/login.aspx?direct=true&amp;db=mdc&amp;AN=19114738&amp;site=ehost-live" TargetMode="External"/><Relationship Id="rId27" Type="http://schemas.openxmlformats.org/officeDocument/2006/relationships/hyperlink" Target="https://search.ebscohost.com/login.aspx?direct=true&amp;db=mdc&amp;AN=19114735&amp;site=ehost-live" TargetMode="External"/><Relationship Id="rId30" Type="http://schemas.openxmlformats.org/officeDocument/2006/relationships/hyperlink" Target="https://search.ebscohost.com/login.aspx?direct=true&amp;db=mdc&amp;AN=16505075&amp;site=ehost-live" TargetMode="External"/></Relationships>
</file>

<file path=xl/worksheets/_rels/sheet20.xml.rels><?xml version="1.0" encoding="UTF-8" standalone="yes"?>
<Relationships xmlns="http://schemas.openxmlformats.org/package/2006/relationships"><Relationship Id="rId8" Type="http://schemas.openxmlformats.org/officeDocument/2006/relationships/hyperlink" Target="https://search.ebscohost.com/login.aspx?direct=true&amp;db=mdc&amp;AN=16360738&amp;site=ehost-live" TargetMode="External"/><Relationship Id="rId13" Type="http://schemas.openxmlformats.org/officeDocument/2006/relationships/hyperlink" Target="https://search.ebscohost.com/login.aspx?direct=true&amp;db=s3h&amp;AN=SPHS-994885&amp;site=ehost-live" TargetMode="External"/><Relationship Id="rId18" Type="http://schemas.openxmlformats.org/officeDocument/2006/relationships/hyperlink" Target="https://search.ebscohost.com/login.aspx?direct=true&amp;db=mdc&amp;AN=16183770&amp;site=ehost-live" TargetMode="External"/><Relationship Id="rId26" Type="http://schemas.openxmlformats.org/officeDocument/2006/relationships/hyperlink" Target="https://search.ebscohost.com/login.aspx?direct=true&amp;db=mdc&amp;AN=16195000&amp;site=ehost-live" TargetMode="External"/><Relationship Id="rId3" Type="http://schemas.openxmlformats.org/officeDocument/2006/relationships/hyperlink" Target="https://search.ebscohost.com/login.aspx?direct=true&amp;db=mdc&amp;AN=16227464&amp;site=ehost-live" TargetMode="External"/><Relationship Id="rId21" Type="http://schemas.openxmlformats.org/officeDocument/2006/relationships/hyperlink" Target="https://search.ebscohost.com/login.aspx?direct=true&amp;db=s3h&amp;AN=SPHS-1003803&amp;site=ehost-live" TargetMode="External"/><Relationship Id="rId7" Type="http://schemas.openxmlformats.org/officeDocument/2006/relationships/hyperlink" Target="https://search.ebscohost.com/login.aspx?direct=true&amp;db=mdc&amp;AN=15976358&amp;site=ehost-live" TargetMode="External"/><Relationship Id="rId12" Type="http://schemas.openxmlformats.org/officeDocument/2006/relationships/hyperlink" Target="https://search.ebscohost.com/login.aspx?direct=true&amp;db=mdc&amp;AN=16118587&amp;site=ehost-live" TargetMode="External"/><Relationship Id="rId17" Type="http://schemas.openxmlformats.org/officeDocument/2006/relationships/hyperlink" Target="https://search.ebscohost.com/login.aspx?direct=true&amp;db=mdc&amp;AN=15807374&amp;site=ehost-live" TargetMode="External"/><Relationship Id="rId25" Type="http://schemas.openxmlformats.org/officeDocument/2006/relationships/hyperlink" Target="https://search.ebscohost.com/login.aspx?direct=true&amp;db=mdc&amp;AN=15887901&amp;site=ehost-live" TargetMode="External"/><Relationship Id="rId2" Type="http://schemas.openxmlformats.org/officeDocument/2006/relationships/hyperlink" Target="https://search.ebscohost.com/login.aspx?direct=true&amp;db=mdc&amp;AN=16183773&amp;site=ehost-live" TargetMode="External"/><Relationship Id="rId16" Type="http://schemas.openxmlformats.org/officeDocument/2006/relationships/hyperlink" Target="https://search.ebscohost.com/login.aspx?direct=true&amp;db=s3h&amp;AN=SPHS-1012950&amp;site=ehost-live" TargetMode="External"/><Relationship Id="rId20" Type="http://schemas.openxmlformats.org/officeDocument/2006/relationships/hyperlink" Target="https://search.ebscohost.com/login.aspx?direct=true&amp;db=mdc&amp;AN=16239719&amp;site=ehost-live" TargetMode="External"/><Relationship Id="rId1" Type="http://schemas.openxmlformats.org/officeDocument/2006/relationships/hyperlink" Target="https://search.ebscohost.com/login.aspx?direct=true&amp;db=mdc&amp;AN=15870642&amp;site=ehost-live" TargetMode="External"/><Relationship Id="rId6" Type="http://schemas.openxmlformats.org/officeDocument/2006/relationships/hyperlink" Target="https://search.ebscohost.com/login.aspx?direct=true&amp;db=mdc&amp;AN=15665203&amp;site=ehost-live" TargetMode="External"/><Relationship Id="rId11" Type="http://schemas.openxmlformats.org/officeDocument/2006/relationships/hyperlink" Target="https://search.ebscohost.com/login.aspx?direct=true&amp;db=mdc&amp;AN=15681682&amp;site=ehost-live" TargetMode="External"/><Relationship Id="rId24" Type="http://schemas.openxmlformats.org/officeDocument/2006/relationships/hyperlink" Target="https://search.ebscohost.com/login.aspx?direct=true&amp;db=mdc&amp;AN=16075782&amp;site=ehost-live" TargetMode="External"/><Relationship Id="rId5" Type="http://schemas.openxmlformats.org/officeDocument/2006/relationships/hyperlink" Target="https://search.ebscohost.com/login.aspx?direct=true&amp;db=mdc&amp;AN=16521844&amp;site=ehost-live" TargetMode="External"/><Relationship Id="rId15" Type="http://schemas.openxmlformats.org/officeDocument/2006/relationships/hyperlink" Target="https://search.ebscohost.com/login.aspx?direct=true&amp;db=s3h&amp;AN=SPHS-1000781&amp;site=ehost-live" TargetMode="External"/><Relationship Id="rId23" Type="http://schemas.openxmlformats.org/officeDocument/2006/relationships/hyperlink" Target="https://search.ebscohost.com/login.aspx?direct=true&amp;db=mdc&amp;AN=15940534&amp;site=ehost-live" TargetMode="External"/><Relationship Id="rId28" Type="http://schemas.openxmlformats.org/officeDocument/2006/relationships/table" Target="../tables/table18.xml"/><Relationship Id="rId10" Type="http://schemas.openxmlformats.org/officeDocument/2006/relationships/hyperlink" Target="https://search.ebscohost.com/login.aspx?direct=true&amp;db=mdc&amp;AN=15618325&amp;site=ehost-live" TargetMode="External"/><Relationship Id="rId19" Type="http://schemas.openxmlformats.org/officeDocument/2006/relationships/hyperlink" Target="https://search.ebscohost.com/login.aspx?direct=true&amp;db=mdc&amp;AN=16151832&amp;site=ehost-live" TargetMode="External"/><Relationship Id="rId4" Type="http://schemas.openxmlformats.org/officeDocument/2006/relationships/hyperlink" Target="https://search.ebscohost.com/login.aspx?direct=true&amp;db=s3h&amp;AN=SPHS-1003806&amp;site=ehost-live" TargetMode="External"/><Relationship Id="rId9" Type="http://schemas.openxmlformats.org/officeDocument/2006/relationships/hyperlink" Target="https://search.ebscohost.com/login.aspx?direct=true&amp;db=mdc&amp;AN=16248473&amp;site=ehost-live" TargetMode="External"/><Relationship Id="rId14" Type="http://schemas.openxmlformats.org/officeDocument/2006/relationships/hyperlink" Target="https://search.ebscohost.com/login.aspx?direct=true&amp;db=mdc&amp;AN=16003039&amp;site=ehost-live" TargetMode="External"/><Relationship Id="rId22" Type="http://schemas.openxmlformats.org/officeDocument/2006/relationships/hyperlink" Target="https://search.ebscohost.com/login.aspx?direct=true&amp;db=s3h&amp;AN=SPHS-1003805&amp;site=ehost-live" TargetMode="External"/><Relationship Id="rId27" Type="http://schemas.openxmlformats.org/officeDocument/2006/relationships/hyperlink" Target="https://search.ebscohost.com/login.aspx?direct=true&amp;db=mdc&amp;AN=15903379&amp;site=ehost-live" TargetMode="External"/></Relationships>
</file>

<file path=xl/worksheets/_rels/sheet21.xml.rels><?xml version="1.0" encoding="UTF-8" standalone="yes"?>
<Relationships xmlns="http://schemas.openxmlformats.org/package/2006/relationships"><Relationship Id="rId8" Type="http://schemas.openxmlformats.org/officeDocument/2006/relationships/hyperlink" Target="https://search.ebscohost.com/login.aspx?direct=true&amp;db=mdc&amp;AN=15155717&amp;site=ehost-live" TargetMode="External"/><Relationship Id="rId13" Type="http://schemas.openxmlformats.org/officeDocument/2006/relationships/hyperlink" Target="https://search.ebscohost.com/login.aspx?direct=true&amp;db=s3h&amp;AN=SPHS-973976&amp;site=ehost-live" TargetMode="External"/><Relationship Id="rId18" Type="http://schemas.openxmlformats.org/officeDocument/2006/relationships/hyperlink" Target="https://search.ebscohost.com/login.aspx?direct=true&amp;db=mdc&amp;AN=15523208&amp;site=ehost-live" TargetMode="External"/><Relationship Id="rId26" Type="http://schemas.openxmlformats.org/officeDocument/2006/relationships/hyperlink" Target="https://search.ebscohost.com/login.aspx?direct=true&amp;db=mdc&amp;AN=15758847&amp;site=ehost-live" TargetMode="External"/><Relationship Id="rId3" Type="http://schemas.openxmlformats.org/officeDocument/2006/relationships/hyperlink" Target="https://search.ebscohost.com/login.aspx?direct=true&amp;db=mdc&amp;AN=15235334&amp;site=ehost-live" TargetMode="External"/><Relationship Id="rId21" Type="http://schemas.openxmlformats.org/officeDocument/2006/relationships/hyperlink" Target="https://search.ebscohost.com/login.aspx?direct=true&amp;db=mdc&amp;AN=15370491&amp;site=ehost-live" TargetMode="External"/><Relationship Id="rId7" Type="http://schemas.openxmlformats.org/officeDocument/2006/relationships/hyperlink" Target="https://search.ebscohost.com/login.aspx?direct=true&amp;db=mdc&amp;AN=15571428&amp;site=ehost-live" TargetMode="External"/><Relationship Id="rId12" Type="http://schemas.openxmlformats.org/officeDocument/2006/relationships/hyperlink" Target="https://search.ebscohost.com/login.aspx?direct=true&amp;db=s3h&amp;AN=SPHS-973975&amp;site=ehost-live" TargetMode="External"/><Relationship Id="rId17" Type="http://schemas.openxmlformats.org/officeDocument/2006/relationships/hyperlink" Target="https://search.ebscohost.com/login.aspx?direct=true&amp;db=mdc&amp;AN=14607850&amp;site=ehost-live" TargetMode="External"/><Relationship Id="rId25" Type="http://schemas.openxmlformats.org/officeDocument/2006/relationships/hyperlink" Target="https://search.ebscohost.com/login.aspx?direct=true&amp;db=s3h&amp;AN=SPHS-946434&amp;site=ehost-live" TargetMode="External"/><Relationship Id="rId2" Type="http://schemas.openxmlformats.org/officeDocument/2006/relationships/hyperlink" Target="https://search.ebscohost.com/login.aspx?direct=true&amp;db=s3h&amp;AN=SPHS-1031135&amp;site=ehost-live" TargetMode="External"/><Relationship Id="rId16" Type="http://schemas.openxmlformats.org/officeDocument/2006/relationships/hyperlink" Target="https://search.ebscohost.com/login.aspx?direct=true&amp;db=s3h&amp;AN=SPHS-1036818&amp;site=ehost-live" TargetMode="External"/><Relationship Id="rId20" Type="http://schemas.openxmlformats.org/officeDocument/2006/relationships/hyperlink" Target="https://search.ebscohost.com/login.aspx?direct=true&amp;db=mdc&amp;AN=15562176&amp;site=ehost-live" TargetMode="External"/><Relationship Id="rId29" Type="http://schemas.openxmlformats.org/officeDocument/2006/relationships/hyperlink" Target="https://search.ebscohost.com/login.aspx?direct=true&amp;db=mdc&amp;AN=15166903&amp;site=ehost-live" TargetMode="External"/><Relationship Id="rId1" Type="http://schemas.openxmlformats.org/officeDocument/2006/relationships/hyperlink" Target="https://search.ebscohost.com/login.aspx?direct=true&amp;db=mdc&amp;AN=15273169&amp;site=ehost-live" TargetMode="External"/><Relationship Id="rId6" Type="http://schemas.openxmlformats.org/officeDocument/2006/relationships/hyperlink" Target="https://search.ebscohost.com/login.aspx?direct=true&amp;db=s3h&amp;AN=SPHS-968371&amp;site=ehost-live" TargetMode="External"/><Relationship Id="rId11" Type="http://schemas.openxmlformats.org/officeDocument/2006/relationships/hyperlink" Target="https://search.ebscohost.com/login.aspx?direct=true&amp;db=s3h&amp;AN=SPHS-973973&amp;site=ehost-live" TargetMode="External"/><Relationship Id="rId24" Type="http://schemas.openxmlformats.org/officeDocument/2006/relationships/hyperlink" Target="https://search.ebscohost.com/login.aspx?direct=true&amp;db=mdc&amp;AN=15377970&amp;site=ehost-live" TargetMode="External"/><Relationship Id="rId5" Type="http://schemas.openxmlformats.org/officeDocument/2006/relationships/hyperlink" Target="https://search.ebscohost.com/login.aspx?direct=true&amp;db=mdc&amp;AN=14971430&amp;site=ehost-live" TargetMode="External"/><Relationship Id="rId15" Type="http://schemas.openxmlformats.org/officeDocument/2006/relationships/hyperlink" Target="https://search.ebscohost.com/login.aspx?direct=true&amp;db=s3h&amp;AN=SPHS-973978&amp;site=ehost-live" TargetMode="External"/><Relationship Id="rId23" Type="http://schemas.openxmlformats.org/officeDocument/2006/relationships/hyperlink" Target="https://search.ebscohost.com/login.aspx?direct=true&amp;db=mdc&amp;AN=15514515&amp;site=ehost-live" TargetMode="External"/><Relationship Id="rId28" Type="http://schemas.openxmlformats.org/officeDocument/2006/relationships/hyperlink" Target="https://search.ebscohost.com/login.aspx?direct=true&amp;db=mdc&amp;AN=15273202&amp;site=ehost-live" TargetMode="External"/><Relationship Id="rId10" Type="http://schemas.openxmlformats.org/officeDocument/2006/relationships/hyperlink" Target="https://search.ebscohost.com/login.aspx?direct=true&amp;db=s3h&amp;AN=SPHS-973972&amp;site=ehost-live" TargetMode="External"/><Relationship Id="rId19" Type="http://schemas.openxmlformats.org/officeDocument/2006/relationships/hyperlink" Target="https://search.ebscohost.com/login.aspx?direct=true&amp;db=mdc&amp;AN=14712166&amp;site=ehost-live" TargetMode="External"/><Relationship Id="rId31" Type="http://schemas.openxmlformats.org/officeDocument/2006/relationships/table" Target="../tables/table19.xml"/><Relationship Id="rId4" Type="http://schemas.openxmlformats.org/officeDocument/2006/relationships/hyperlink" Target="https://search.ebscohost.com/login.aspx?direct=true&amp;db=mdc&amp;AN=14767236&amp;site=ehost-live" TargetMode="External"/><Relationship Id="rId9" Type="http://schemas.openxmlformats.org/officeDocument/2006/relationships/hyperlink" Target="https://search.ebscohost.com/login.aspx?direct=true&amp;db=mdc&amp;AN=15233599&amp;site=ehost-live" TargetMode="External"/><Relationship Id="rId14" Type="http://schemas.openxmlformats.org/officeDocument/2006/relationships/hyperlink" Target="https://search.ebscohost.com/login.aspx?direct=true&amp;db=s3h&amp;AN=SPHS-973977&amp;site=ehost-live" TargetMode="External"/><Relationship Id="rId22" Type="http://schemas.openxmlformats.org/officeDocument/2006/relationships/hyperlink" Target="https://search.ebscohost.com/login.aspx?direct=true&amp;db=mdc&amp;AN=15161107&amp;site=ehost-live" TargetMode="External"/><Relationship Id="rId27" Type="http://schemas.openxmlformats.org/officeDocument/2006/relationships/hyperlink" Target="https://search.ebscohost.com/login.aspx?direct=true&amp;db=mdc&amp;AN=15513278&amp;site=ehost-live" TargetMode="External"/><Relationship Id="rId30" Type="http://schemas.openxmlformats.org/officeDocument/2006/relationships/hyperlink" Target="https://search.ebscohost.com/login.aspx?direct=true&amp;db=s3h&amp;AN=SPHS-932636&amp;site=ehost-live" TargetMode="External"/></Relationships>
</file>

<file path=xl/worksheets/_rels/sheet22.xml.rels><?xml version="1.0" encoding="UTF-8" standalone="yes"?>
<Relationships xmlns="http://schemas.openxmlformats.org/package/2006/relationships"><Relationship Id="rId8" Type="http://schemas.openxmlformats.org/officeDocument/2006/relationships/hyperlink" Target="https://search.ebscohost.com/login.aspx?direct=true&amp;db=s3h&amp;AN=SPHS-899429&amp;site=ehost-live" TargetMode="External"/><Relationship Id="rId13" Type="http://schemas.openxmlformats.org/officeDocument/2006/relationships/hyperlink" Target="https://search.ebscohost.com/login.aspx?direct=true&amp;db=mdc&amp;AN=14501313&amp;site=ehost-live" TargetMode="External"/><Relationship Id="rId18" Type="http://schemas.openxmlformats.org/officeDocument/2006/relationships/hyperlink" Target="https://search.ebscohost.com/login.aspx?direct=true&amp;db=mdc&amp;AN=12945826&amp;site=ehost-live" TargetMode="External"/><Relationship Id="rId3" Type="http://schemas.openxmlformats.org/officeDocument/2006/relationships/hyperlink" Target="https://search.ebscohost.com/login.aspx?direct=true&amp;db=s3h&amp;AN=SPHS-871361&amp;site=ehost-live" TargetMode="External"/><Relationship Id="rId7" Type="http://schemas.openxmlformats.org/officeDocument/2006/relationships/hyperlink" Target="https://search.ebscohost.com/login.aspx?direct=true&amp;db=s3h&amp;AN=SPHS-894267&amp;site=ehost-live" TargetMode="External"/><Relationship Id="rId12" Type="http://schemas.openxmlformats.org/officeDocument/2006/relationships/hyperlink" Target="https://search.ebscohost.com/login.aspx?direct=true&amp;db=s3h&amp;AN=SPHS-905110&amp;site=ehost-live" TargetMode="External"/><Relationship Id="rId17" Type="http://schemas.openxmlformats.org/officeDocument/2006/relationships/hyperlink" Target="https://search.ebscohost.com/login.aspx?direct=true&amp;db=mdc&amp;AN=12935982&amp;site=ehost-live" TargetMode="External"/><Relationship Id="rId2" Type="http://schemas.openxmlformats.org/officeDocument/2006/relationships/hyperlink" Target="https://search.ebscohost.com/login.aspx?direct=true&amp;db=mdc&amp;AN=12900688&amp;site=ehost-live" TargetMode="External"/><Relationship Id="rId16" Type="http://schemas.openxmlformats.org/officeDocument/2006/relationships/hyperlink" Target="https://search.ebscohost.com/login.aspx?direct=true&amp;db=s3h&amp;AN=SPHS-871362&amp;site=ehost-live" TargetMode="External"/><Relationship Id="rId1" Type="http://schemas.openxmlformats.org/officeDocument/2006/relationships/hyperlink" Target="https://search.ebscohost.com/login.aspx?direct=true&amp;db=mdc&amp;AN=14606925&amp;site=ehost-live" TargetMode="External"/><Relationship Id="rId6" Type="http://schemas.openxmlformats.org/officeDocument/2006/relationships/hyperlink" Target="https://search.ebscohost.com/login.aspx?direct=true&amp;db=mdc&amp;AN=12740311&amp;site=ehost-live" TargetMode="External"/><Relationship Id="rId11" Type="http://schemas.openxmlformats.org/officeDocument/2006/relationships/hyperlink" Target="https://search.ebscohost.com/login.aspx?direct=true&amp;db=s3h&amp;AN=SPHS-899431&amp;site=ehost-live" TargetMode="External"/><Relationship Id="rId5" Type="http://schemas.openxmlformats.org/officeDocument/2006/relationships/hyperlink" Target="https://search.ebscohost.com/login.aspx?direct=true&amp;db=mdc&amp;AN=14967874&amp;site=ehost-live" TargetMode="External"/><Relationship Id="rId15" Type="http://schemas.openxmlformats.org/officeDocument/2006/relationships/hyperlink" Target="https://search.ebscohost.com/login.aspx?direct=true&amp;db=mdc&amp;AN=14723393&amp;site=ehost-live" TargetMode="External"/><Relationship Id="rId10" Type="http://schemas.openxmlformats.org/officeDocument/2006/relationships/hyperlink" Target="https://search.ebscohost.com/login.aspx?direct=true&amp;db=s3h&amp;AN=SPHS-899434&amp;site=ehost-live" TargetMode="External"/><Relationship Id="rId19" Type="http://schemas.openxmlformats.org/officeDocument/2006/relationships/table" Target="../tables/table20.xml"/><Relationship Id="rId4" Type="http://schemas.openxmlformats.org/officeDocument/2006/relationships/hyperlink" Target="https://search.ebscohost.com/login.aspx?direct=true&amp;db=mdc&amp;AN=14669932&amp;site=ehost-live" TargetMode="External"/><Relationship Id="rId9" Type="http://schemas.openxmlformats.org/officeDocument/2006/relationships/hyperlink" Target="https://search.ebscohost.com/login.aspx?direct=true&amp;db=s3h&amp;AN=SPHS-899430&amp;site=ehost-live" TargetMode="External"/><Relationship Id="rId14" Type="http://schemas.openxmlformats.org/officeDocument/2006/relationships/hyperlink" Target="https://search.ebscohost.com/login.aspx?direct=true&amp;db=mdc&amp;AN=12651273&amp;site=ehost-live"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https://search.ebscohost.com/login.aspx?direct=true&amp;db=mdc&amp;AN=12413035&amp;site=ehost-live" TargetMode="External"/><Relationship Id="rId13" Type="http://schemas.openxmlformats.org/officeDocument/2006/relationships/hyperlink" Target="https://search.ebscohost.com/login.aspx?direct=true&amp;db=mdc&amp;AN=12218744&amp;site=ehost-live" TargetMode="External"/><Relationship Id="rId18" Type="http://schemas.openxmlformats.org/officeDocument/2006/relationships/hyperlink" Target="https://search.ebscohost.com/login.aspx?direct=true&amp;db=s3h&amp;AN=SPHS-894270&amp;site=ehost-live" TargetMode="External"/><Relationship Id="rId26" Type="http://schemas.openxmlformats.org/officeDocument/2006/relationships/hyperlink" Target="https://search.ebscohost.com/login.aspx?direct=true&amp;db=s3h&amp;AN=SPHS-932566&amp;site=ehost-live" TargetMode="External"/><Relationship Id="rId3" Type="http://schemas.openxmlformats.org/officeDocument/2006/relationships/hyperlink" Target="https://search.ebscohost.com/login.aspx?direct=true&amp;db=s3h&amp;AN=SPHS-856834&amp;site=ehost-live" TargetMode="External"/><Relationship Id="rId21" Type="http://schemas.openxmlformats.org/officeDocument/2006/relationships/hyperlink" Target="https://search.ebscohost.com/login.aspx?direct=true&amp;db=s3h&amp;AN=SPHS-871375&amp;site=ehost-live" TargetMode="External"/><Relationship Id="rId7" Type="http://schemas.openxmlformats.org/officeDocument/2006/relationships/hyperlink" Target="https://search.ebscohost.com/login.aspx?direct=true&amp;db=s3h&amp;AN=SPHS-997129&amp;site=ehost-live" TargetMode="External"/><Relationship Id="rId12" Type="http://schemas.openxmlformats.org/officeDocument/2006/relationships/hyperlink" Target="https://search.ebscohost.com/login.aspx?direct=true&amp;db=mdc&amp;AN=11882931&amp;site=ehost-live" TargetMode="External"/><Relationship Id="rId17" Type="http://schemas.openxmlformats.org/officeDocument/2006/relationships/hyperlink" Target="https://search.ebscohost.com/login.aspx?direct=true&amp;db=s3h&amp;AN=SPHS-894265&amp;site=ehost-live" TargetMode="External"/><Relationship Id="rId25" Type="http://schemas.openxmlformats.org/officeDocument/2006/relationships/hyperlink" Target="https://search.ebscohost.com/login.aspx?direct=true&amp;db=mdc&amp;AN=11960964&amp;site=ehost-live" TargetMode="External"/><Relationship Id="rId2" Type="http://schemas.openxmlformats.org/officeDocument/2006/relationships/hyperlink" Target="https://search.ebscohost.com/login.aspx?direct=true&amp;db=s3h&amp;AN=SPHS-852708&amp;site=ehost-live" TargetMode="External"/><Relationship Id="rId16" Type="http://schemas.openxmlformats.org/officeDocument/2006/relationships/hyperlink" Target="https://search.ebscohost.com/login.aspx?direct=true&amp;db=s3h&amp;AN=SPHS-894263&amp;site=ehost-live" TargetMode="External"/><Relationship Id="rId20" Type="http://schemas.openxmlformats.org/officeDocument/2006/relationships/hyperlink" Target="https://search.ebscohost.com/login.aspx?direct=true&amp;db=s3h&amp;AN=SPHS-894272&amp;site=ehost-live" TargetMode="External"/><Relationship Id="rId29" Type="http://schemas.openxmlformats.org/officeDocument/2006/relationships/table" Target="../tables/table21.xml"/><Relationship Id="rId1" Type="http://schemas.openxmlformats.org/officeDocument/2006/relationships/hyperlink" Target="https://search.ebscohost.com/login.aspx?direct=true&amp;db=s3h&amp;AN=SPHS-840849&amp;site=ehost-live" TargetMode="External"/><Relationship Id="rId6" Type="http://schemas.openxmlformats.org/officeDocument/2006/relationships/hyperlink" Target="https://search.ebscohost.com/login.aspx?direct=true&amp;db=mdc&amp;AN=11782652&amp;site=ehost-live" TargetMode="External"/><Relationship Id="rId11" Type="http://schemas.openxmlformats.org/officeDocument/2006/relationships/hyperlink" Target="https://search.ebscohost.com/login.aspx?direct=true&amp;db=mdc&amp;AN=11993625&amp;site=ehost-live" TargetMode="External"/><Relationship Id="rId24" Type="http://schemas.openxmlformats.org/officeDocument/2006/relationships/hyperlink" Target="https://search.ebscohost.com/login.aspx?direct=true&amp;db=mdc&amp;AN=12402177&amp;site=ehost-live" TargetMode="External"/><Relationship Id="rId5" Type="http://schemas.openxmlformats.org/officeDocument/2006/relationships/hyperlink" Target="https://search.ebscohost.com/login.aspx?direct=true&amp;db=mdc&amp;AN=11993621&amp;site=ehost-live" TargetMode="External"/><Relationship Id="rId15" Type="http://schemas.openxmlformats.org/officeDocument/2006/relationships/hyperlink" Target="https://search.ebscohost.com/login.aspx?direct=true&amp;db=s3h&amp;AN=SPHS-894261&amp;site=ehost-live" TargetMode="External"/><Relationship Id="rId23" Type="http://schemas.openxmlformats.org/officeDocument/2006/relationships/hyperlink" Target="https://search.ebscohost.com/login.aspx?direct=true&amp;db=s3h&amp;AN=SPHS-899432&amp;site=ehost-live" TargetMode="External"/><Relationship Id="rId28" Type="http://schemas.openxmlformats.org/officeDocument/2006/relationships/hyperlink" Target="https://search.ebscohost.com/login.aspx?direct=true&amp;db=s3h&amp;AN=SPHS-840974&amp;site=ehost-live" TargetMode="External"/><Relationship Id="rId10" Type="http://schemas.openxmlformats.org/officeDocument/2006/relationships/hyperlink" Target="https://search.ebscohost.com/login.aspx?direct=true&amp;db=mdc&amp;AN=12183495&amp;site=ehost-live" TargetMode="External"/><Relationship Id="rId19" Type="http://schemas.openxmlformats.org/officeDocument/2006/relationships/hyperlink" Target="https://search.ebscohost.com/login.aspx?direct=true&amp;db=s3h&amp;AN=SPHS-894271&amp;site=ehost-live" TargetMode="External"/><Relationship Id="rId4" Type="http://schemas.openxmlformats.org/officeDocument/2006/relationships/hyperlink" Target="https://search.ebscohost.com/login.aspx?direct=true&amp;db=s3h&amp;AN=SPHS-1067565&amp;site=ehost-live" TargetMode="External"/><Relationship Id="rId9" Type="http://schemas.openxmlformats.org/officeDocument/2006/relationships/hyperlink" Target="https://search.ebscohost.com/login.aspx?direct=true&amp;db=mdc&amp;AN=12011725&amp;site=ehost-live" TargetMode="External"/><Relationship Id="rId14" Type="http://schemas.openxmlformats.org/officeDocument/2006/relationships/hyperlink" Target="https://search.ebscohost.com/login.aspx?direct=true&amp;db=s3h&amp;AN=SPHS-856825&amp;site=ehost-live" TargetMode="External"/><Relationship Id="rId22" Type="http://schemas.openxmlformats.org/officeDocument/2006/relationships/hyperlink" Target="https://search.ebscohost.com/login.aspx?direct=true&amp;db=s3h&amp;AN=SPHS-899433&amp;site=ehost-live" TargetMode="External"/><Relationship Id="rId27" Type="http://schemas.openxmlformats.org/officeDocument/2006/relationships/hyperlink" Target="https://search.ebscohost.com/login.aspx?direct=true&amp;db=mdc&amp;AN=11854589&amp;site=ehost-live"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https://search.ebscohost.com/login.aspx?direct=true&amp;db=s3h&amp;AN=SPHS-894259&amp;site=ehost-live" TargetMode="External"/><Relationship Id="rId18" Type="http://schemas.openxmlformats.org/officeDocument/2006/relationships/hyperlink" Target="https://search.ebscohost.com/login.aspx?direct=true&amp;db=s3h&amp;AN=SPHS-894268&amp;site=ehost-live" TargetMode="External"/><Relationship Id="rId26" Type="http://schemas.openxmlformats.org/officeDocument/2006/relationships/hyperlink" Target="https://search.ebscohost.com/login.aspx?direct=true&amp;db=s3h&amp;AN=SPHS-899442&amp;site=ehost-live" TargetMode="External"/><Relationship Id="rId39" Type="http://schemas.openxmlformats.org/officeDocument/2006/relationships/hyperlink" Target="https://search.ebscohost.com/login.aspx?direct=true&amp;db=mdc&amp;AN=11428684&amp;site=ehost-live" TargetMode="External"/><Relationship Id="rId21" Type="http://schemas.openxmlformats.org/officeDocument/2006/relationships/hyperlink" Target="https://search.ebscohost.com/login.aspx?direct=true&amp;db=mdc&amp;AN=11310548&amp;site=ehost-live" TargetMode="External"/><Relationship Id="rId34" Type="http://schemas.openxmlformats.org/officeDocument/2006/relationships/hyperlink" Target="https://search.ebscohost.com/login.aspx?direct=true&amp;db=mdc&amp;AN=11736690&amp;site=ehost-live" TargetMode="External"/><Relationship Id="rId42" Type="http://schemas.openxmlformats.org/officeDocument/2006/relationships/hyperlink" Target="https://search.ebscohost.com/login.aspx?direct=true&amp;db=mdc&amp;AN=11375875&amp;site=ehost-live" TargetMode="External"/><Relationship Id="rId7" Type="http://schemas.openxmlformats.org/officeDocument/2006/relationships/hyperlink" Target="https://search.ebscohost.com/login.aspx?direct=true&amp;db=s3h&amp;AN=SPHS-894253&amp;site=ehost-live" TargetMode="External"/><Relationship Id="rId2" Type="http://schemas.openxmlformats.org/officeDocument/2006/relationships/hyperlink" Target="https://search.ebscohost.com/login.aspx?direct=true&amp;db=mdc&amp;AN=11282321&amp;site=ehost-live" TargetMode="External"/><Relationship Id="rId16" Type="http://schemas.openxmlformats.org/officeDocument/2006/relationships/hyperlink" Target="https://search.ebscohost.com/login.aspx?direct=true&amp;db=s3h&amp;AN=SPHS-894264&amp;site=ehost-live" TargetMode="External"/><Relationship Id="rId29" Type="http://schemas.openxmlformats.org/officeDocument/2006/relationships/hyperlink" Target="https://search.ebscohost.com/login.aspx?direct=true&amp;db=s3h&amp;AN=SPHS-899437&amp;site=ehost-live" TargetMode="External"/><Relationship Id="rId1" Type="http://schemas.openxmlformats.org/officeDocument/2006/relationships/hyperlink" Target="https://search.ebscohost.com/login.aspx?direct=true&amp;db=mdc&amp;AN=11695504&amp;site=ehost-live" TargetMode="External"/><Relationship Id="rId6" Type="http://schemas.openxmlformats.org/officeDocument/2006/relationships/hyperlink" Target="https://search.ebscohost.com/login.aspx?direct=true&amp;db=mdc&amp;AN=11590480&amp;site=ehost-live" TargetMode="External"/><Relationship Id="rId11" Type="http://schemas.openxmlformats.org/officeDocument/2006/relationships/hyperlink" Target="https://search.ebscohost.com/login.aspx?direct=true&amp;db=s3h&amp;AN=SPHS-894257&amp;site=ehost-live" TargetMode="External"/><Relationship Id="rId24" Type="http://schemas.openxmlformats.org/officeDocument/2006/relationships/hyperlink" Target="https://search.ebscohost.com/login.aspx?direct=true&amp;db=s3h&amp;AN=SPHS-899448&amp;site=ehost-live" TargetMode="External"/><Relationship Id="rId32" Type="http://schemas.openxmlformats.org/officeDocument/2006/relationships/hyperlink" Target="https://search.ebscohost.com/login.aspx?direct=true&amp;db=s3h&amp;AN=SPHS-899435&amp;site=ehost-live" TargetMode="External"/><Relationship Id="rId37" Type="http://schemas.openxmlformats.org/officeDocument/2006/relationships/hyperlink" Target="https://search.ebscohost.com/login.aspx?direct=true&amp;db=mdc&amp;AN=11282317&amp;site=ehost-live" TargetMode="External"/><Relationship Id="rId40" Type="http://schemas.openxmlformats.org/officeDocument/2006/relationships/hyperlink" Target="https://search.ebscohost.com/login.aspx?direct=true&amp;db=mdc&amp;AN=11726488&amp;site=ehost-live" TargetMode="External"/><Relationship Id="rId45" Type="http://schemas.openxmlformats.org/officeDocument/2006/relationships/table" Target="../tables/table22.xml"/><Relationship Id="rId5" Type="http://schemas.openxmlformats.org/officeDocument/2006/relationships/hyperlink" Target="https://search.ebscohost.com/login.aspx?direct=true&amp;db=mdc&amp;AN=11897896&amp;site=ehost-live" TargetMode="External"/><Relationship Id="rId15" Type="http://schemas.openxmlformats.org/officeDocument/2006/relationships/hyperlink" Target="https://search.ebscohost.com/login.aspx?direct=true&amp;db=s3h&amp;AN=SPHS-894262&amp;site=ehost-live" TargetMode="External"/><Relationship Id="rId23" Type="http://schemas.openxmlformats.org/officeDocument/2006/relationships/hyperlink" Target="https://search.ebscohost.com/login.aspx?direct=true&amp;db=s3h&amp;AN=SPHS-899440&amp;site=ehost-live" TargetMode="External"/><Relationship Id="rId28" Type="http://schemas.openxmlformats.org/officeDocument/2006/relationships/hyperlink" Target="https://search.ebscohost.com/login.aspx?direct=true&amp;db=s3h&amp;AN=SPHS-899436&amp;site=ehost-live" TargetMode="External"/><Relationship Id="rId36" Type="http://schemas.openxmlformats.org/officeDocument/2006/relationships/hyperlink" Target="https://search.ebscohost.com/login.aspx?direct=true&amp;db=mdc&amp;AN=11252057&amp;site=ehost-live" TargetMode="External"/><Relationship Id="rId10" Type="http://schemas.openxmlformats.org/officeDocument/2006/relationships/hyperlink" Target="https://search.ebscohost.com/login.aspx?direct=true&amp;db=s3h&amp;AN=SPHS-894256&amp;site=ehost-live" TargetMode="External"/><Relationship Id="rId19" Type="http://schemas.openxmlformats.org/officeDocument/2006/relationships/hyperlink" Target="https://search.ebscohost.com/login.aspx?direct=true&amp;db=s3h&amp;AN=SPHS-894269&amp;site=ehost-live" TargetMode="External"/><Relationship Id="rId31" Type="http://schemas.openxmlformats.org/officeDocument/2006/relationships/hyperlink" Target="https://search.ebscohost.com/login.aspx?direct=true&amp;db=s3h&amp;AN=SPHS-899443&amp;site=ehost-live" TargetMode="External"/><Relationship Id="rId44" Type="http://schemas.openxmlformats.org/officeDocument/2006/relationships/hyperlink" Target="https://search.ebscohost.com/login.aspx?direct=true&amp;db=mdc&amp;AN=11428690&amp;site=ehost-live" TargetMode="External"/><Relationship Id="rId4" Type="http://schemas.openxmlformats.org/officeDocument/2006/relationships/hyperlink" Target="https://search.ebscohost.com/login.aspx?direct=true&amp;db=mdc&amp;AN=11224480&amp;site=ehost-live" TargetMode="External"/><Relationship Id="rId9" Type="http://schemas.openxmlformats.org/officeDocument/2006/relationships/hyperlink" Target="https://search.ebscohost.com/login.aspx?direct=true&amp;db=s3h&amp;AN=SPHS-894255&amp;site=ehost-live" TargetMode="External"/><Relationship Id="rId14" Type="http://schemas.openxmlformats.org/officeDocument/2006/relationships/hyperlink" Target="https://search.ebscohost.com/login.aspx?direct=true&amp;db=s3h&amp;AN=SPHS-894260&amp;site=ehost-live" TargetMode="External"/><Relationship Id="rId22" Type="http://schemas.openxmlformats.org/officeDocument/2006/relationships/hyperlink" Target="https://search.ebscohost.com/login.aspx?direct=true&amp;db=s3h&amp;AN=SPHS-899441&amp;site=ehost-live" TargetMode="External"/><Relationship Id="rId27" Type="http://schemas.openxmlformats.org/officeDocument/2006/relationships/hyperlink" Target="https://search.ebscohost.com/login.aspx?direct=true&amp;db=s3h&amp;AN=SPHS-899446&amp;site=ehost-live" TargetMode="External"/><Relationship Id="rId30" Type="http://schemas.openxmlformats.org/officeDocument/2006/relationships/hyperlink" Target="https://search.ebscohost.com/login.aspx?direct=true&amp;db=s3h&amp;AN=SPHS-899438&amp;site=ehost-live" TargetMode="External"/><Relationship Id="rId35" Type="http://schemas.openxmlformats.org/officeDocument/2006/relationships/hyperlink" Target="https://search.ebscohost.com/login.aspx?direct=true&amp;db=mdc&amp;AN=11224820&amp;site=ehost-live" TargetMode="External"/><Relationship Id="rId43" Type="http://schemas.openxmlformats.org/officeDocument/2006/relationships/hyperlink" Target="https://search.ebscohost.com/login.aspx?direct=true&amp;db=mdc&amp;AN=11176144&amp;site=ehost-live" TargetMode="External"/><Relationship Id="rId8" Type="http://schemas.openxmlformats.org/officeDocument/2006/relationships/hyperlink" Target="https://search.ebscohost.com/login.aspx?direct=true&amp;db=s3h&amp;AN=SPHS-894254&amp;site=ehost-live" TargetMode="External"/><Relationship Id="rId3" Type="http://schemas.openxmlformats.org/officeDocument/2006/relationships/hyperlink" Target="https://search.ebscohost.com/login.aspx?direct=true&amp;db=mdc&amp;AN=11428683&amp;site=ehost-live" TargetMode="External"/><Relationship Id="rId12" Type="http://schemas.openxmlformats.org/officeDocument/2006/relationships/hyperlink" Target="https://search.ebscohost.com/login.aspx?direct=true&amp;db=s3h&amp;AN=SPHS-894258&amp;site=ehost-live" TargetMode="External"/><Relationship Id="rId17" Type="http://schemas.openxmlformats.org/officeDocument/2006/relationships/hyperlink" Target="https://search.ebscohost.com/login.aspx?direct=true&amp;db=s3h&amp;AN=SPHS-894266&amp;site=ehost-live" TargetMode="External"/><Relationship Id="rId25" Type="http://schemas.openxmlformats.org/officeDocument/2006/relationships/hyperlink" Target="https://search.ebscohost.com/login.aspx?direct=true&amp;db=s3h&amp;AN=SPHS-899445&amp;site=ehost-live" TargetMode="External"/><Relationship Id="rId33" Type="http://schemas.openxmlformats.org/officeDocument/2006/relationships/hyperlink" Target="https://search.ebscohost.com/login.aspx?direct=true&amp;db=s3h&amp;AN=SPHS-899447&amp;site=ehost-live" TargetMode="External"/><Relationship Id="rId38" Type="http://schemas.openxmlformats.org/officeDocument/2006/relationships/hyperlink" Target="https://search.ebscohost.com/login.aspx?direct=true&amp;db=mdc&amp;AN=11428689&amp;site=ehost-live" TargetMode="External"/><Relationship Id="rId20" Type="http://schemas.openxmlformats.org/officeDocument/2006/relationships/hyperlink" Target="https://search.ebscohost.com/login.aspx?direct=true&amp;db=s3h&amp;AN=SPHS-888167&amp;site=ehost-live" TargetMode="External"/><Relationship Id="rId41" Type="http://schemas.openxmlformats.org/officeDocument/2006/relationships/hyperlink" Target="https://search.ebscohost.com/login.aspx?direct=true&amp;db=s3h&amp;AN=SPHS-799334&amp;site=ehost-live"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https://search.ebscohost.com/login.aspx?direct=true&amp;db=mdc&amp;AN=10879451&amp;site=ehost-live" TargetMode="External"/><Relationship Id="rId13" Type="http://schemas.openxmlformats.org/officeDocument/2006/relationships/hyperlink" Target="https://search.ebscohost.com/login.aspx?direct=true&amp;db=mdc&amp;AN=11235014&amp;site=ehost-live" TargetMode="External"/><Relationship Id="rId18" Type="http://schemas.openxmlformats.org/officeDocument/2006/relationships/hyperlink" Target="https://search.ebscohost.com/login.aspx?direct=true&amp;db=mdc&amp;AN=10694144&amp;site=ehost-live" TargetMode="External"/><Relationship Id="rId3" Type="http://schemas.openxmlformats.org/officeDocument/2006/relationships/hyperlink" Target="https://search.ebscohost.com/login.aspx?direct=true&amp;db=mdc&amp;AN=10966150&amp;site=ehost-live" TargetMode="External"/><Relationship Id="rId21" Type="http://schemas.openxmlformats.org/officeDocument/2006/relationships/hyperlink" Target="https://search.ebscohost.com/login.aspx?direct=true&amp;db=mdc&amp;AN=10893025&amp;site=ehost-live" TargetMode="External"/><Relationship Id="rId7" Type="http://schemas.openxmlformats.org/officeDocument/2006/relationships/hyperlink" Target="https://search.ebscohost.com/login.aspx?direct=true&amp;db=mdc&amp;AN=11090597&amp;site=ehost-live" TargetMode="External"/><Relationship Id="rId12" Type="http://schemas.openxmlformats.org/officeDocument/2006/relationships/hyperlink" Target="https://search.ebscohost.com/login.aspx?direct=true&amp;db=mdc&amp;AN=10839228&amp;site=ehost-live" TargetMode="External"/><Relationship Id="rId17" Type="http://schemas.openxmlformats.org/officeDocument/2006/relationships/hyperlink" Target="https://search.ebscohost.com/login.aspx?direct=true&amp;db=mdc&amp;AN=10751105&amp;site=ehost-live" TargetMode="External"/><Relationship Id="rId2" Type="http://schemas.openxmlformats.org/officeDocument/2006/relationships/hyperlink" Target="https://search.ebscohost.com/login.aspx?direct=true&amp;db=mdc&amp;AN=10839231&amp;site=ehost-live" TargetMode="External"/><Relationship Id="rId16" Type="http://schemas.openxmlformats.org/officeDocument/2006/relationships/hyperlink" Target="https://search.ebscohost.com/login.aspx?direct=true&amp;db=mdc&amp;AN=11071048&amp;site=ehost-live" TargetMode="External"/><Relationship Id="rId20" Type="http://schemas.openxmlformats.org/officeDocument/2006/relationships/hyperlink" Target="https://search.ebscohost.com/login.aspx?direct=true&amp;db=mdc&amp;AN=11043900&amp;site=ehost-live" TargetMode="External"/><Relationship Id="rId1" Type="http://schemas.openxmlformats.org/officeDocument/2006/relationships/hyperlink" Target="https://search.ebscohost.com/login.aspx?direct=true&amp;db=mdc&amp;AN=10870111&amp;site=ehost-live" TargetMode="External"/><Relationship Id="rId6" Type="http://schemas.openxmlformats.org/officeDocument/2006/relationships/hyperlink" Target="https://search.ebscohost.com/login.aspx?direct=true&amp;db=mdc&amp;AN=11049152&amp;site=ehost-live" TargetMode="External"/><Relationship Id="rId11" Type="http://schemas.openxmlformats.org/officeDocument/2006/relationships/hyperlink" Target="https://search.ebscohost.com/login.aspx?direct=true&amp;db=mdc&amp;AN=10805376&amp;site=ehost-live" TargetMode="External"/><Relationship Id="rId5" Type="http://schemas.openxmlformats.org/officeDocument/2006/relationships/hyperlink" Target="https://search.ebscohost.com/login.aspx?direct=true&amp;db=mdc&amp;AN=10959931&amp;site=ehost-live" TargetMode="External"/><Relationship Id="rId15" Type="http://schemas.openxmlformats.org/officeDocument/2006/relationships/hyperlink" Target="https://search.ebscohost.com/login.aspx?direct=true&amp;db=mdc&amp;AN=11235005&amp;site=ehost-live" TargetMode="External"/><Relationship Id="rId10" Type="http://schemas.openxmlformats.org/officeDocument/2006/relationships/hyperlink" Target="https://search.ebscohost.com/login.aspx?direct=true&amp;db=mdc&amp;AN=11125762&amp;site=ehost-live" TargetMode="External"/><Relationship Id="rId19" Type="http://schemas.openxmlformats.org/officeDocument/2006/relationships/hyperlink" Target="https://search.ebscohost.com/login.aspx?direct=true&amp;db=s3h&amp;AN=SPHS-526647&amp;site=ehost-live" TargetMode="External"/><Relationship Id="rId4" Type="http://schemas.openxmlformats.org/officeDocument/2006/relationships/hyperlink" Target="https://search.ebscohost.com/login.aspx?direct=true&amp;db=mdc&amp;AN=10749820&amp;site=ehost-live" TargetMode="External"/><Relationship Id="rId9" Type="http://schemas.openxmlformats.org/officeDocument/2006/relationships/hyperlink" Target="https://search.ebscohost.com/login.aspx?direct=true&amp;db=mdc&amp;AN=10688279&amp;site=ehost-live" TargetMode="External"/><Relationship Id="rId14" Type="http://schemas.openxmlformats.org/officeDocument/2006/relationships/hyperlink" Target="https://search.ebscohost.com/login.aspx?direct=true&amp;db=s3h&amp;AN=SPH361010&amp;site=ehost-live" TargetMode="External"/><Relationship Id="rId22"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DEB96E-280A-4D8D-BF52-54AD29B910D4}">
  <dimension ref="A1:P123"/>
  <sheetViews>
    <sheetView topLeftCell="B1" workbookViewId="0">
      <selection activeCell="I5" sqref="I5"/>
    </sheetView>
  </sheetViews>
  <sheetFormatPr defaultColWidth="9.140625" defaultRowHeight="15" x14ac:dyDescent="0.25"/>
  <cols>
    <col min="1" max="1" width="33.85546875" style="4" customWidth="1"/>
    <col min="2" max="2" width="32.42578125" style="4" customWidth="1"/>
    <col min="3" max="3" width="30" style="4" customWidth="1"/>
    <col min="4" max="4" width="11.140625" style="5" customWidth="1"/>
    <col min="5" max="5" width="18" style="5" bestFit="1" customWidth="1"/>
    <col min="6" max="6" width="10.140625" style="5" customWidth="1"/>
    <col min="7" max="7" width="9.140625" style="5"/>
    <col min="8" max="8" width="11.7109375" style="5" customWidth="1"/>
    <col min="9" max="9" width="13.42578125" style="4" customWidth="1"/>
    <col min="10" max="10" width="22.42578125" style="5" customWidth="1"/>
    <col min="11" max="11" width="17.85546875" style="5" bestFit="1" customWidth="1"/>
    <col min="12" max="12" width="33.28515625" style="4" customWidth="1"/>
    <col min="13" max="14" width="26" style="5" customWidth="1"/>
  </cols>
  <sheetData>
    <row r="1" spans="1:16" s="5" customFormat="1" x14ac:dyDescent="0.25">
      <c r="A1" s="30" t="s">
        <v>0</v>
      </c>
      <c r="B1" s="27" t="s">
        <v>1</v>
      </c>
      <c r="C1" s="27" t="s">
        <v>2</v>
      </c>
      <c r="D1" s="28" t="s">
        <v>3</v>
      </c>
      <c r="E1" s="28" t="s">
        <v>4</v>
      </c>
      <c r="F1" s="28" t="s">
        <v>5</v>
      </c>
      <c r="G1" s="28" t="s">
        <v>6</v>
      </c>
      <c r="H1" s="28" t="s">
        <v>7</v>
      </c>
      <c r="I1" s="27" t="s">
        <v>8</v>
      </c>
      <c r="J1" s="28" t="s">
        <v>9</v>
      </c>
      <c r="K1" s="28" t="s">
        <v>10</v>
      </c>
      <c r="L1" s="27" t="s">
        <v>11</v>
      </c>
      <c r="M1" s="28" t="s">
        <v>12</v>
      </c>
      <c r="N1" s="29" t="s">
        <v>13</v>
      </c>
    </row>
    <row r="2" spans="1:16" s="5" customFormat="1" ht="75" x14ac:dyDescent="0.25">
      <c r="A2" s="19" t="s">
        <v>14</v>
      </c>
      <c r="B2" s="20" t="s">
        <v>15</v>
      </c>
      <c r="C2" s="20" t="s">
        <v>16</v>
      </c>
      <c r="D2" s="21" t="s">
        <v>17</v>
      </c>
      <c r="E2" s="21" t="s">
        <v>18</v>
      </c>
      <c r="F2" s="21">
        <v>23</v>
      </c>
      <c r="G2" s="21">
        <v>1</v>
      </c>
      <c r="H2" s="21">
        <v>58</v>
      </c>
      <c r="I2" s="20" t="s">
        <v>19</v>
      </c>
      <c r="J2" s="21" t="s">
        <v>20</v>
      </c>
      <c r="K2" s="21" t="s">
        <v>21</v>
      </c>
      <c r="L2" s="20" t="s">
        <v>22</v>
      </c>
      <c r="M2" s="21" t="s">
        <v>23</v>
      </c>
      <c r="N2" s="22" t="s">
        <v>24</v>
      </c>
      <c r="O2"/>
      <c r="P2"/>
    </row>
    <row r="3" spans="1:16" s="5" customFormat="1" ht="60" x14ac:dyDescent="0.25">
      <c r="A3" s="23" t="s">
        <v>25</v>
      </c>
      <c r="B3" s="24" t="s">
        <v>26</v>
      </c>
      <c r="C3" s="24" t="s">
        <v>27</v>
      </c>
      <c r="D3" s="25" t="s">
        <v>28</v>
      </c>
      <c r="E3" s="25" t="s">
        <v>29</v>
      </c>
      <c r="F3" s="25"/>
      <c r="G3" s="25"/>
      <c r="H3" s="25">
        <v>1.94173812412553E+16</v>
      </c>
      <c r="I3" s="24" t="s">
        <v>30</v>
      </c>
      <c r="J3" s="25" t="s">
        <v>31</v>
      </c>
      <c r="K3" s="25" t="s">
        <v>21</v>
      </c>
      <c r="L3" s="24"/>
      <c r="M3" s="25" t="s">
        <v>32</v>
      </c>
      <c r="N3" s="26" t="s">
        <v>33</v>
      </c>
      <c r="O3"/>
      <c r="P3"/>
    </row>
    <row r="4" spans="1:16" ht="180" x14ac:dyDescent="0.25">
      <c r="A4" s="19" t="s">
        <v>34</v>
      </c>
      <c r="B4" s="20" t="s">
        <v>35</v>
      </c>
      <c r="C4" s="20" t="s">
        <v>36</v>
      </c>
      <c r="D4" s="21" t="s">
        <v>37</v>
      </c>
      <c r="E4" s="21" t="s">
        <v>38</v>
      </c>
      <c r="F4" s="21">
        <v>34</v>
      </c>
      <c r="G4" s="21">
        <v>4</v>
      </c>
      <c r="H4" s="21">
        <v>207</v>
      </c>
      <c r="I4" s="20" t="s">
        <v>39</v>
      </c>
      <c r="J4" s="21" t="s">
        <v>40</v>
      </c>
      <c r="K4" s="21" t="s">
        <v>21</v>
      </c>
      <c r="L4" s="20" t="s">
        <v>41</v>
      </c>
      <c r="M4" s="21" t="s">
        <v>42</v>
      </c>
      <c r="N4" s="22" t="s">
        <v>43</v>
      </c>
    </row>
    <row r="5" spans="1:16" ht="90" x14ac:dyDescent="0.25">
      <c r="A5" s="23" t="s">
        <v>44</v>
      </c>
      <c r="B5" s="24" t="s">
        <v>45</v>
      </c>
      <c r="C5" s="24" t="s">
        <v>46</v>
      </c>
      <c r="D5" s="25" t="s">
        <v>47</v>
      </c>
      <c r="E5" s="25" t="s">
        <v>48</v>
      </c>
      <c r="F5" s="25"/>
      <c r="G5" s="25"/>
      <c r="H5" s="25"/>
      <c r="I5" s="24" t="s">
        <v>49</v>
      </c>
      <c r="J5" s="25" t="s">
        <v>50</v>
      </c>
      <c r="K5" s="25" t="s">
        <v>21</v>
      </c>
      <c r="L5" s="24"/>
      <c r="M5" s="25" t="s">
        <v>51</v>
      </c>
      <c r="N5" s="26" t="s">
        <v>52</v>
      </c>
    </row>
    <row r="6" spans="1:16" ht="60" x14ac:dyDescent="0.25">
      <c r="A6" s="19" t="s">
        <v>53</v>
      </c>
      <c r="B6" s="20" t="s">
        <v>54</v>
      </c>
      <c r="C6" s="20" t="s">
        <v>55</v>
      </c>
      <c r="D6" s="21" t="s">
        <v>56</v>
      </c>
      <c r="E6" s="21" t="s">
        <v>57</v>
      </c>
      <c r="F6" s="21">
        <v>27</v>
      </c>
      <c r="G6" s="21">
        <v>5</v>
      </c>
      <c r="H6" s="21">
        <v>307</v>
      </c>
      <c r="I6" s="20" t="s">
        <v>58</v>
      </c>
      <c r="J6" s="21" t="s">
        <v>59</v>
      </c>
      <c r="K6" s="21" t="s">
        <v>21</v>
      </c>
      <c r="L6" s="20" t="s">
        <v>60</v>
      </c>
      <c r="M6" s="21" t="s">
        <v>61</v>
      </c>
      <c r="N6" s="22" t="s">
        <v>62</v>
      </c>
    </row>
    <row r="7" spans="1:16" ht="105" x14ac:dyDescent="0.25">
      <c r="A7" s="23" t="s">
        <v>63</v>
      </c>
      <c r="B7" s="24" t="s">
        <v>64</v>
      </c>
      <c r="C7" s="24" t="s">
        <v>65</v>
      </c>
      <c r="D7" s="25" t="s">
        <v>66</v>
      </c>
      <c r="E7" s="25" t="s">
        <v>67</v>
      </c>
      <c r="F7" s="25">
        <v>10</v>
      </c>
      <c r="G7" s="25">
        <v>2</v>
      </c>
      <c r="H7" s="25" t="s">
        <v>68</v>
      </c>
      <c r="I7" s="24" t="s">
        <v>69</v>
      </c>
      <c r="J7" s="25" t="s">
        <v>70</v>
      </c>
      <c r="K7" s="25" t="s">
        <v>21</v>
      </c>
      <c r="L7" s="24"/>
      <c r="M7" s="25" t="s">
        <v>71</v>
      </c>
      <c r="N7" s="26" t="s">
        <v>72</v>
      </c>
    </row>
    <row r="8" spans="1:16" ht="75" x14ac:dyDescent="0.25">
      <c r="A8" s="19" t="s">
        <v>73</v>
      </c>
      <c r="B8" s="20" t="s">
        <v>74</v>
      </c>
      <c r="C8" s="20" t="s">
        <v>55</v>
      </c>
      <c r="D8" s="21" t="s">
        <v>56</v>
      </c>
      <c r="E8" s="21" t="s">
        <v>75</v>
      </c>
      <c r="F8" s="21">
        <v>27</v>
      </c>
      <c r="G8" s="21">
        <v>3</v>
      </c>
      <c r="H8" s="21">
        <v>197</v>
      </c>
      <c r="I8" s="20" t="s">
        <v>76</v>
      </c>
      <c r="J8" s="21" t="s">
        <v>59</v>
      </c>
      <c r="K8" s="21" t="s">
        <v>21</v>
      </c>
      <c r="L8" s="20" t="s">
        <v>77</v>
      </c>
      <c r="M8" s="21" t="s">
        <v>78</v>
      </c>
      <c r="N8" s="22" t="s">
        <v>79</v>
      </c>
    </row>
    <row r="9" spans="1:16" ht="90" x14ac:dyDescent="0.25">
      <c r="A9" s="23" t="s">
        <v>80</v>
      </c>
      <c r="B9" s="24" t="s">
        <v>81</v>
      </c>
      <c r="C9" s="24" t="s">
        <v>82</v>
      </c>
      <c r="D9" s="25" t="s">
        <v>83</v>
      </c>
      <c r="E9" s="25" t="s">
        <v>18</v>
      </c>
      <c r="F9" s="25">
        <v>34</v>
      </c>
      <c r="G9" s="25">
        <v>1</v>
      </c>
      <c r="H9" s="25" t="s">
        <v>84</v>
      </c>
      <c r="I9" s="24" t="s">
        <v>85</v>
      </c>
      <c r="J9" s="25" t="s">
        <v>86</v>
      </c>
      <c r="K9" s="25" t="s">
        <v>21</v>
      </c>
      <c r="L9" s="24" t="s">
        <v>87</v>
      </c>
      <c r="M9" s="25" t="s">
        <v>88</v>
      </c>
      <c r="N9" s="26" t="s">
        <v>89</v>
      </c>
    </row>
    <row r="10" spans="1:16" ht="60" x14ac:dyDescent="0.25">
      <c r="A10" s="19" t="s">
        <v>90</v>
      </c>
      <c r="B10" s="20" t="s">
        <v>91</v>
      </c>
      <c r="C10" s="20" t="s">
        <v>92</v>
      </c>
      <c r="D10" s="21" t="s">
        <v>93</v>
      </c>
      <c r="E10" s="21" t="s">
        <v>75</v>
      </c>
      <c r="F10" s="21">
        <v>13</v>
      </c>
      <c r="G10" s="21">
        <v>2</v>
      </c>
      <c r="H10" s="21">
        <v>172</v>
      </c>
      <c r="I10" s="20" t="s">
        <v>94</v>
      </c>
      <c r="J10" s="21" t="s">
        <v>95</v>
      </c>
      <c r="K10" s="21" t="s">
        <v>96</v>
      </c>
      <c r="L10" s="20" t="s">
        <v>97</v>
      </c>
      <c r="M10" s="21" t="s">
        <v>98</v>
      </c>
      <c r="N10" s="22" t="s">
        <v>99</v>
      </c>
    </row>
    <row r="11" spans="1:16" ht="195" x14ac:dyDescent="0.25">
      <c r="A11" s="23" t="s">
        <v>100</v>
      </c>
      <c r="B11" s="24" t="s">
        <v>101</v>
      </c>
      <c r="C11" s="24" t="s">
        <v>102</v>
      </c>
      <c r="D11" s="25" t="s">
        <v>103</v>
      </c>
      <c r="E11" s="25" t="s">
        <v>104</v>
      </c>
      <c r="F11" s="25">
        <v>58</v>
      </c>
      <c r="G11" s="25">
        <v>9</v>
      </c>
      <c r="H11" s="25">
        <v>470</v>
      </c>
      <c r="I11" s="24" t="s">
        <v>105</v>
      </c>
      <c r="J11" s="25" t="s">
        <v>106</v>
      </c>
      <c r="K11" s="25" t="s">
        <v>21</v>
      </c>
      <c r="L11" s="24" t="s">
        <v>107</v>
      </c>
      <c r="M11" s="25" t="s">
        <v>108</v>
      </c>
      <c r="N11" s="26" t="s">
        <v>109</v>
      </c>
    </row>
    <row r="12" spans="1:16" ht="105" x14ac:dyDescent="0.25">
      <c r="A12" s="19" t="s">
        <v>110</v>
      </c>
      <c r="B12" s="20" t="s">
        <v>111</v>
      </c>
      <c r="C12" s="20" t="s">
        <v>112</v>
      </c>
      <c r="D12" s="21" t="s">
        <v>113</v>
      </c>
      <c r="E12" s="21" t="s">
        <v>114</v>
      </c>
      <c r="F12" s="21">
        <v>34</v>
      </c>
      <c r="G12" s="21">
        <v>1</v>
      </c>
      <c r="H12" s="21">
        <v>44</v>
      </c>
      <c r="I12" s="20" t="s">
        <v>115</v>
      </c>
      <c r="J12" s="21" t="s">
        <v>116</v>
      </c>
      <c r="K12" s="21" t="s">
        <v>21</v>
      </c>
      <c r="L12" s="20" t="s">
        <v>117</v>
      </c>
      <c r="M12" s="21" t="s">
        <v>118</v>
      </c>
      <c r="N12" s="22" t="s">
        <v>119</v>
      </c>
    </row>
    <row r="13" spans="1:16" ht="120" x14ac:dyDescent="0.25">
      <c r="A13" s="23" t="s">
        <v>120</v>
      </c>
      <c r="B13" s="24" t="s">
        <v>121</v>
      </c>
      <c r="C13" s="24" t="s">
        <v>122</v>
      </c>
      <c r="D13" s="25" t="s">
        <v>123</v>
      </c>
      <c r="E13" s="25" t="s">
        <v>124</v>
      </c>
      <c r="F13" s="25">
        <v>12</v>
      </c>
      <c r="G13" s="25"/>
      <c r="H13" s="25" t="s">
        <v>125</v>
      </c>
      <c r="I13" s="24" t="s">
        <v>126</v>
      </c>
      <c r="J13" s="25" t="s">
        <v>127</v>
      </c>
      <c r="K13" s="25" t="s">
        <v>21</v>
      </c>
      <c r="L13" s="24" t="s">
        <v>128</v>
      </c>
      <c r="M13" s="25" t="s">
        <v>129</v>
      </c>
      <c r="N13" s="26" t="s">
        <v>130</v>
      </c>
    </row>
    <row r="14" spans="1:16" ht="75" x14ac:dyDescent="0.25">
      <c r="A14" s="19" t="s">
        <v>131</v>
      </c>
      <c r="B14" s="20" t="s">
        <v>132</v>
      </c>
      <c r="C14" s="20" t="s">
        <v>133</v>
      </c>
      <c r="D14" s="21" t="s">
        <v>134</v>
      </c>
      <c r="E14" s="21" t="s">
        <v>135</v>
      </c>
      <c r="F14" s="21"/>
      <c r="G14" s="21"/>
      <c r="H14" s="21"/>
      <c r="I14" s="20" t="s">
        <v>136</v>
      </c>
      <c r="J14" s="21" t="s">
        <v>137</v>
      </c>
      <c r="K14" s="21" t="s">
        <v>21</v>
      </c>
      <c r="L14" s="20"/>
      <c r="M14" s="21" t="s">
        <v>138</v>
      </c>
      <c r="N14" s="22" t="s">
        <v>139</v>
      </c>
    </row>
    <row r="15" spans="1:16" x14ac:dyDescent="0.25">
      <c r="A15" s="19"/>
      <c r="B15" s="20"/>
      <c r="C15" s="20"/>
      <c r="D15" s="21"/>
      <c r="E15" s="21"/>
      <c r="F15" s="21"/>
      <c r="G15" s="21"/>
      <c r="H15" s="21"/>
      <c r="I15" s="20"/>
      <c r="J15" s="21"/>
      <c r="K15" s="21"/>
      <c r="L15" s="20"/>
      <c r="M15" s="21"/>
      <c r="N15" s="22"/>
    </row>
    <row r="16" spans="1:16" x14ac:dyDescent="0.25">
      <c r="A16" s="23"/>
      <c r="B16" s="24"/>
      <c r="C16" s="24"/>
      <c r="D16" s="25"/>
      <c r="E16" s="25"/>
      <c r="F16" s="25"/>
      <c r="G16" s="25"/>
      <c r="H16" s="25"/>
      <c r="I16" s="24"/>
      <c r="J16" s="25"/>
      <c r="K16" s="25"/>
      <c r="L16" s="24"/>
      <c r="M16" s="25"/>
      <c r="N16" s="26"/>
    </row>
    <row r="17" spans="1:14" x14ac:dyDescent="0.25">
      <c r="A17" s="19"/>
      <c r="B17" s="20"/>
      <c r="C17" s="20"/>
      <c r="D17" s="21"/>
      <c r="E17" s="21"/>
      <c r="F17" s="21"/>
      <c r="G17" s="21"/>
      <c r="H17" s="21"/>
      <c r="I17" s="20"/>
      <c r="J17" s="21"/>
      <c r="K17" s="21"/>
      <c r="L17" s="20"/>
      <c r="M17" s="21"/>
      <c r="N17" s="22"/>
    </row>
    <row r="18" spans="1:14" x14ac:dyDescent="0.25">
      <c r="A18" s="23"/>
      <c r="B18" s="24"/>
      <c r="C18" s="24"/>
      <c r="D18" s="25"/>
      <c r="E18" s="25"/>
      <c r="F18" s="25"/>
      <c r="G18" s="25"/>
      <c r="H18" s="25"/>
      <c r="I18" s="24"/>
      <c r="J18" s="25"/>
      <c r="K18" s="25"/>
      <c r="L18" s="24"/>
      <c r="M18" s="25"/>
      <c r="N18" s="26"/>
    </row>
    <row r="19" spans="1:14" x14ac:dyDescent="0.25">
      <c r="A19" s="19"/>
      <c r="B19" s="20"/>
      <c r="C19" s="20"/>
      <c r="D19" s="21"/>
      <c r="E19" s="21"/>
      <c r="F19" s="21"/>
      <c r="G19" s="21"/>
      <c r="H19" s="21"/>
      <c r="I19" s="20"/>
      <c r="J19" s="21"/>
      <c r="K19" s="21"/>
      <c r="L19" s="20"/>
      <c r="M19" s="21"/>
      <c r="N19" s="22"/>
    </row>
    <row r="20" spans="1:14" x14ac:dyDescent="0.25">
      <c r="A20" s="23"/>
      <c r="B20" s="24"/>
      <c r="C20" s="24"/>
      <c r="D20" s="25"/>
      <c r="E20" s="25"/>
      <c r="F20" s="25"/>
      <c r="G20" s="25"/>
      <c r="H20" s="25"/>
      <c r="I20" s="24"/>
      <c r="J20" s="25"/>
      <c r="K20" s="25"/>
      <c r="L20" s="24"/>
      <c r="M20" s="25"/>
      <c r="N20" s="26"/>
    </row>
    <row r="21" spans="1:14" x14ac:dyDescent="0.25">
      <c r="A21" s="19"/>
      <c r="B21" s="20"/>
      <c r="C21" s="20"/>
      <c r="D21" s="21"/>
      <c r="E21" s="21"/>
      <c r="F21" s="21"/>
      <c r="G21" s="21"/>
      <c r="H21" s="21"/>
      <c r="I21" s="20"/>
      <c r="J21" s="21"/>
      <c r="K21" s="21"/>
      <c r="L21" s="20"/>
      <c r="M21" s="21"/>
      <c r="N21" s="22"/>
    </row>
    <row r="22" spans="1:14" x14ac:dyDescent="0.25">
      <c r="A22" s="23"/>
      <c r="B22" s="24"/>
      <c r="C22" s="24"/>
      <c r="D22" s="25"/>
      <c r="E22" s="25"/>
      <c r="F22" s="25"/>
      <c r="G22" s="25"/>
      <c r="H22" s="25"/>
      <c r="I22" s="24"/>
      <c r="J22" s="25"/>
      <c r="K22" s="25"/>
      <c r="L22" s="24"/>
      <c r="M22" s="25"/>
      <c r="N22" s="26"/>
    </row>
    <row r="23" spans="1:14" x14ac:dyDescent="0.25">
      <c r="A23" s="23"/>
      <c r="B23" s="24"/>
      <c r="C23" s="24"/>
      <c r="D23" s="25"/>
      <c r="E23" s="25"/>
      <c r="F23" s="25"/>
      <c r="G23" s="25"/>
      <c r="H23" s="25"/>
      <c r="I23" s="24"/>
      <c r="J23" s="25"/>
      <c r="K23" s="25"/>
      <c r="L23" s="24"/>
      <c r="M23" s="25"/>
      <c r="N23" s="26"/>
    </row>
    <row r="24" spans="1:14" x14ac:dyDescent="0.25">
      <c r="A24" s="19"/>
      <c r="B24" s="20"/>
      <c r="C24" s="20"/>
      <c r="D24" s="21"/>
      <c r="E24" s="21"/>
      <c r="F24" s="21"/>
      <c r="G24" s="21"/>
      <c r="H24" s="21"/>
      <c r="I24" s="20"/>
      <c r="J24" s="21"/>
      <c r="K24" s="21"/>
      <c r="L24" s="20"/>
      <c r="M24" s="21"/>
      <c r="N24" s="22"/>
    </row>
    <row r="25" spans="1:14" x14ac:dyDescent="0.25">
      <c r="A25" s="23"/>
      <c r="B25" s="24"/>
      <c r="C25" s="24"/>
      <c r="D25" s="25"/>
      <c r="E25" s="25"/>
      <c r="F25" s="25"/>
      <c r="G25" s="25"/>
      <c r="H25" s="25"/>
      <c r="I25" s="24"/>
      <c r="J25" s="25"/>
      <c r="K25" s="25"/>
      <c r="L25" s="24"/>
      <c r="M25" s="25"/>
      <c r="N25" s="26"/>
    </row>
    <row r="26" spans="1:14" x14ac:dyDescent="0.25">
      <c r="A26" s="19"/>
      <c r="B26" s="20"/>
      <c r="C26" s="20"/>
      <c r="D26" s="21"/>
      <c r="E26" s="21"/>
      <c r="F26" s="21"/>
      <c r="G26" s="21"/>
      <c r="H26" s="21"/>
      <c r="I26" s="20"/>
      <c r="J26" s="21"/>
      <c r="K26" s="21"/>
      <c r="L26" s="20"/>
      <c r="M26" s="21"/>
      <c r="N26" s="22"/>
    </row>
    <row r="27" spans="1:14" x14ac:dyDescent="0.25">
      <c r="A27" s="23"/>
      <c r="B27" s="24"/>
      <c r="C27" s="24"/>
      <c r="D27" s="25"/>
      <c r="E27" s="25"/>
      <c r="F27" s="25"/>
      <c r="G27" s="25"/>
      <c r="H27" s="25"/>
      <c r="I27" s="24"/>
      <c r="J27" s="25"/>
      <c r="K27" s="25"/>
      <c r="L27" s="24"/>
      <c r="M27" s="25"/>
      <c r="N27" s="26"/>
    </row>
    <row r="28" spans="1:14" x14ac:dyDescent="0.25">
      <c r="A28" s="19"/>
      <c r="B28" s="20"/>
      <c r="C28" s="20"/>
      <c r="D28" s="21"/>
      <c r="E28" s="21"/>
      <c r="F28" s="21"/>
      <c r="G28" s="21"/>
      <c r="H28" s="21"/>
      <c r="I28" s="20"/>
      <c r="J28" s="21"/>
      <c r="K28" s="21"/>
      <c r="L28" s="20"/>
      <c r="M28" s="21"/>
      <c r="N28" s="22"/>
    </row>
    <row r="29" spans="1:14" x14ac:dyDescent="0.25">
      <c r="A29" s="23"/>
      <c r="B29" s="24"/>
      <c r="C29" s="24"/>
      <c r="D29" s="25"/>
      <c r="E29" s="25"/>
      <c r="F29" s="25"/>
      <c r="G29" s="25"/>
      <c r="H29" s="25"/>
      <c r="I29" s="24"/>
      <c r="J29" s="25"/>
      <c r="K29" s="25"/>
      <c r="L29" s="24"/>
      <c r="M29" s="25"/>
      <c r="N29" s="26"/>
    </row>
    <row r="30" spans="1:14" x14ac:dyDescent="0.25">
      <c r="A30" s="19"/>
      <c r="B30" s="20"/>
      <c r="C30" s="20"/>
      <c r="D30" s="21"/>
      <c r="E30" s="21"/>
      <c r="F30" s="21"/>
      <c r="G30" s="21"/>
      <c r="H30" s="21"/>
      <c r="I30" s="20"/>
      <c r="J30" s="21"/>
      <c r="K30" s="21"/>
      <c r="L30" s="20"/>
      <c r="M30" s="21"/>
      <c r="N30" s="22"/>
    </row>
    <row r="31" spans="1:14" x14ac:dyDescent="0.25">
      <c r="A31" s="23"/>
      <c r="B31" s="24"/>
      <c r="C31" s="24"/>
      <c r="D31" s="25"/>
      <c r="E31" s="25"/>
      <c r="F31" s="25"/>
      <c r="G31" s="25"/>
      <c r="H31" s="25"/>
      <c r="I31" s="24"/>
      <c r="J31" s="25"/>
      <c r="K31" s="25"/>
      <c r="L31" s="24"/>
      <c r="M31" s="25"/>
      <c r="N31" s="26"/>
    </row>
    <row r="32" spans="1:14" x14ac:dyDescent="0.25">
      <c r="A32" s="19"/>
      <c r="B32" s="20"/>
      <c r="C32" s="20"/>
      <c r="D32" s="21"/>
      <c r="E32" s="21"/>
      <c r="F32" s="21"/>
      <c r="G32" s="21"/>
      <c r="H32" s="21"/>
      <c r="I32" s="20"/>
      <c r="J32" s="21"/>
      <c r="K32" s="21"/>
      <c r="L32" s="20"/>
      <c r="M32" s="21"/>
      <c r="N32" s="22"/>
    </row>
    <row r="33" spans="1:14" x14ac:dyDescent="0.25">
      <c r="A33" s="23"/>
      <c r="B33" s="24"/>
      <c r="C33" s="24"/>
      <c r="D33" s="25"/>
      <c r="E33" s="25"/>
      <c r="F33" s="25"/>
      <c r="G33" s="25"/>
      <c r="H33" s="25"/>
      <c r="I33" s="24"/>
      <c r="J33" s="25"/>
      <c r="K33" s="25"/>
      <c r="L33" s="24"/>
      <c r="M33" s="25"/>
      <c r="N33" s="26"/>
    </row>
    <row r="34" spans="1:14" x14ac:dyDescent="0.25">
      <c r="A34" s="19"/>
      <c r="B34" s="20"/>
      <c r="C34" s="20"/>
      <c r="D34" s="21"/>
      <c r="E34" s="21"/>
      <c r="F34" s="21"/>
      <c r="G34" s="21"/>
      <c r="H34" s="21"/>
      <c r="I34" s="20"/>
      <c r="J34" s="21"/>
      <c r="K34" s="21"/>
      <c r="L34" s="20"/>
      <c r="M34" s="21"/>
      <c r="N34" s="22"/>
    </row>
    <row r="35" spans="1:14" x14ac:dyDescent="0.25">
      <c r="A35" s="23"/>
      <c r="B35" s="24"/>
      <c r="C35" s="24"/>
      <c r="D35" s="25"/>
      <c r="E35" s="25"/>
      <c r="F35" s="25"/>
      <c r="G35" s="25"/>
      <c r="H35" s="25"/>
      <c r="I35" s="24"/>
      <c r="J35" s="25"/>
      <c r="K35" s="25"/>
      <c r="L35" s="24"/>
      <c r="M35" s="25"/>
      <c r="N35" s="26"/>
    </row>
    <row r="36" spans="1:14" x14ac:dyDescent="0.25">
      <c r="A36" s="19"/>
      <c r="B36" s="20"/>
      <c r="C36" s="20"/>
      <c r="D36" s="21"/>
      <c r="E36" s="21"/>
      <c r="F36" s="21"/>
      <c r="G36" s="21"/>
      <c r="H36" s="21"/>
      <c r="I36" s="20"/>
      <c r="J36" s="21"/>
      <c r="K36" s="21"/>
      <c r="L36" s="20"/>
      <c r="M36" s="21"/>
      <c r="N36" s="22"/>
    </row>
    <row r="37" spans="1:14" x14ac:dyDescent="0.25">
      <c r="A37" s="23"/>
      <c r="B37" s="24"/>
      <c r="C37" s="24"/>
      <c r="D37" s="25"/>
      <c r="E37" s="25"/>
      <c r="F37" s="25"/>
      <c r="G37" s="25"/>
      <c r="H37" s="25"/>
      <c r="I37" s="24"/>
      <c r="J37" s="25"/>
      <c r="K37" s="25"/>
      <c r="L37" s="24"/>
      <c r="M37" s="25"/>
      <c r="N37" s="26"/>
    </row>
    <row r="38" spans="1:14" x14ac:dyDescent="0.25">
      <c r="A38" s="19"/>
      <c r="B38" s="20"/>
      <c r="C38" s="20"/>
      <c r="D38" s="21"/>
      <c r="E38" s="21"/>
      <c r="F38" s="21"/>
      <c r="G38" s="21"/>
      <c r="H38" s="21"/>
      <c r="I38" s="20"/>
      <c r="J38" s="21"/>
      <c r="K38" s="21"/>
      <c r="L38" s="20"/>
      <c r="M38" s="21"/>
      <c r="N38" s="22"/>
    </row>
    <row r="39" spans="1:14" x14ac:dyDescent="0.25">
      <c r="A39" s="23"/>
      <c r="B39" s="24"/>
      <c r="C39" s="24"/>
      <c r="D39" s="25"/>
      <c r="E39" s="25"/>
      <c r="F39" s="25"/>
      <c r="G39" s="25"/>
      <c r="H39" s="25"/>
      <c r="I39" s="24"/>
      <c r="J39" s="25"/>
      <c r="K39" s="25"/>
      <c r="L39" s="24"/>
      <c r="M39" s="25"/>
      <c r="N39" s="26"/>
    </row>
    <row r="40" spans="1:14" x14ac:dyDescent="0.25">
      <c r="A40" s="19"/>
      <c r="B40" s="20"/>
      <c r="C40" s="20"/>
      <c r="D40" s="21"/>
      <c r="E40" s="21"/>
      <c r="F40" s="21"/>
      <c r="G40" s="21"/>
      <c r="H40" s="21"/>
      <c r="I40" s="20"/>
      <c r="J40" s="21"/>
      <c r="K40" s="21"/>
      <c r="L40" s="20"/>
      <c r="M40" s="21"/>
      <c r="N40" s="22"/>
    </row>
    <row r="41" spans="1:14" x14ac:dyDescent="0.25">
      <c r="A41" s="23"/>
      <c r="B41" s="31"/>
      <c r="C41" s="24"/>
      <c r="D41" s="25"/>
      <c r="E41" s="25"/>
      <c r="F41" s="25"/>
      <c r="G41" s="25"/>
      <c r="H41" s="25"/>
      <c r="I41" s="24"/>
      <c r="J41" s="25"/>
      <c r="K41" s="25"/>
      <c r="L41" s="24"/>
      <c r="M41" s="25"/>
      <c r="N41" s="26"/>
    </row>
    <row r="42" spans="1:14" x14ac:dyDescent="0.25">
      <c r="A42" s="19"/>
      <c r="B42" s="20"/>
      <c r="C42" s="20"/>
      <c r="D42" s="21"/>
      <c r="E42" s="21"/>
      <c r="F42" s="21"/>
      <c r="G42" s="21"/>
      <c r="H42" s="21"/>
      <c r="I42" s="20"/>
      <c r="J42" s="21"/>
      <c r="K42" s="21"/>
      <c r="L42" s="20"/>
      <c r="M42" s="21"/>
      <c r="N42" s="22"/>
    </row>
    <row r="43" spans="1:14" x14ac:dyDescent="0.25">
      <c r="A43" s="23"/>
      <c r="B43" s="24"/>
      <c r="C43" s="24"/>
      <c r="D43" s="25"/>
      <c r="E43" s="25"/>
      <c r="F43" s="25"/>
      <c r="G43" s="25"/>
      <c r="H43" s="25"/>
      <c r="I43" s="24"/>
      <c r="J43" s="25"/>
      <c r="K43" s="25"/>
      <c r="L43" s="24"/>
      <c r="M43" s="25"/>
      <c r="N43" s="26"/>
    </row>
    <row r="44" spans="1:14" x14ac:dyDescent="0.25">
      <c r="A44" s="19"/>
      <c r="B44" s="20"/>
      <c r="C44" s="20"/>
      <c r="D44" s="21"/>
      <c r="E44" s="21"/>
      <c r="F44" s="21"/>
      <c r="G44" s="21"/>
      <c r="H44" s="21"/>
      <c r="I44" s="20"/>
      <c r="J44" s="21"/>
      <c r="K44" s="21"/>
      <c r="L44" s="20"/>
      <c r="M44" s="21"/>
      <c r="N44" s="22"/>
    </row>
    <row r="45" spans="1:14" x14ac:dyDescent="0.25">
      <c r="A45" s="23"/>
      <c r="B45" s="24"/>
      <c r="C45" s="24"/>
      <c r="D45" s="25"/>
      <c r="E45" s="25"/>
      <c r="F45" s="25"/>
      <c r="G45" s="25"/>
      <c r="H45" s="25"/>
      <c r="I45" s="24"/>
      <c r="J45" s="25"/>
      <c r="K45" s="25"/>
      <c r="L45" s="24"/>
      <c r="M45" s="25"/>
      <c r="N45" s="26"/>
    </row>
    <row r="46" spans="1:14" x14ac:dyDescent="0.25">
      <c r="A46" s="19"/>
      <c r="B46" s="20"/>
      <c r="C46" s="20"/>
      <c r="D46" s="21"/>
      <c r="E46" s="21"/>
      <c r="F46" s="21"/>
      <c r="G46" s="21"/>
      <c r="H46" s="21"/>
      <c r="I46" s="20"/>
      <c r="J46" s="21"/>
      <c r="K46" s="21"/>
      <c r="L46" s="20"/>
      <c r="M46" s="21"/>
      <c r="N46" s="22"/>
    </row>
    <row r="47" spans="1:14" ht="15" customHeight="1" x14ac:dyDescent="0.25">
      <c r="A47" s="23"/>
      <c r="B47" s="24"/>
      <c r="C47" s="24"/>
      <c r="D47" s="25"/>
      <c r="E47" s="25"/>
      <c r="F47" s="25"/>
      <c r="G47" s="25"/>
      <c r="H47" s="25"/>
      <c r="I47" s="24"/>
      <c r="J47" s="25"/>
      <c r="K47" s="25"/>
      <c r="L47" s="24"/>
      <c r="M47" s="25"/>
      <c r="N47" s="26"/>
    </row>
    <row r="48" spans="1:14" x14ac:dyDescent="0.25">
      <c r="A48" s="19"/>
      <c r="B48" s="20"/>
      <c r="C48" s="20"/>
      <c r="D48" s="21"/>
      <c r="E48" s="21"/>
      <c r="F48" s="21"/>
      <c r="G48" s="21"/>
      <c r="H48" s="21"/>
      <c r="I48" s="20"/>
      <c r="J48" s="21"/>
      <c r="K48" s="21"/>
      <c r="L48" s="20"/>
      <c r="M48" s="21"/>
      <c r="N48" s="22"/>
    </row>
    <row r="49" spans="1:14" x14ac:dyDescent="0.25">
      <c r="A49" s="23"/>
      <c r="B49" s="24"/>
      <c r="C49" s="24"/>
      <c r="D49" s="25"/>
      <c r="E49" s="25"/>
      <c r="F49" s="25"/>
      <c r="G49" s="25"/>
      <c r="H49" s="25"/>
      <c r="I49" s="24"/>
      <c r="J49" s="25"/>
      <c r="K49" s="25"/>
      <c r="L49" s="24"/>
      <c r="M49" s="25"/>
      <c r="N49" s="26"/>
    </row>
    <row r="50" spans="1:14" x14ac:dyDescent="0.25">
      <c r="A50" s="19"/>
      <c r="B50" s="20"/>
      <c r="C50" s="20"/>
      <c r="D50" s="21"/>
      <c r="E50" s="21"/>
      <c r="F50" s="21"/>
      <c r="G50" s="21"/>
      <c r="H50" s="21"/>
      <c r="I50" s="20"/>
      <c r="J50" s="21"/>
      <c r="K50" s="21"/>
      <c r="L50" s="20"/>
      <c r="M50" s="21"/>
      <c r="N50" s="22"/>
    </row>
    <row r="51" spans="1:14" x14ac:dyDescent="0.25">
      <c r="A51" s="23"/>
      <c r="B51" s="24"/>
      <c r="C51" s="24"/>
      <c r="D51" s="25"/>
      <c r="E51" s="25"/>
      <c r="F51" s="25"/>
      <c r="G51" s="25"/>
      <c r="H51" s="25"/>
      <c r="I51" s="24"/>
      <c r="J51" s="25"/>
      <c r="K51" s="25"/>
      <c r="L51" s="24"/>
      <c r="M51" s="25"/>
      <c r="N51" s="26"/>
    </row>
    <row r="52" spans="1:14" x14ac:dyDescent="0.25">
      <c r="A52" s="19"/>
      <c r="B52" s="20"/>
      <c r="C52" s="20"/>
      <c r="D52" s="21"/>
      <c r="E52" s="21"/>
      <c r="F52" s="21"/>
      <c r="G52" s="21"/>
      <c r="H52" s="21"/>
      <c r="I52" s="20"/>
      <c r="J52" s="21"/>
      <c r="K52" s="21"/>
      <c r="L52" s="20"/>
      <c r="M52" s="21"/>
      <c r="N52" s="22"/>
    </row>
    <row r="53" spans="1:14" x14ac:dyDescent="0.25">
      <c r="A53" s="23"/>
      <c r="B53" s="24"/>
      <c r="C53" s="24"/>
      <c r="D53" s="25"/>
      <c r="E53" s="25"/>
      <c r="F53" s="25"/>
      <c r="G53" s="25"/>
      <c r="H53" s="25"/>
      <c r="I53" s="24"/>
      <c r="J53" s="25"/>
      <c r="K53" s="25"/>
      <c r="L53" s="24"/>
      <c r="M53" s="25"/>
      <c r="N53" s="26"/>
    </row>
    <row r="54" spans="1:14" x14ac:dyDescent="0.25">
      <c r="A54" s="19"/>
      <c r="B54" s="20"/>
      <c r="C54" s="20"/>
      <c r="D54" s="21"/>
      <c r="E54" s="21"/>
      <c r="F54" s="21"/>
      <c r="G54" s="21"/>
      <c r="H54" s="21"/>
      <c r="I54" s="20"/>
      <c r="J54" s="21"/>
      <c r="K54" s="21"/>
      <c r="L54" s="20"/>
      <c r="M54" s="21"/>
      <c r="N54" s="22"/>
    </row>
    <row r="55" spans="1:14" x14ac:dyDescent="0.25">
      <c r="A55" s="23"/>
      <c r="B55" s="24"/>
      <c r="C55" s="24"/>
      <c r="D55" s="25"/>
      <c r="E55" s="25"/>
      <c r="F55" s="25"/>
      <c r="G55" s="25"/>
      <c r="H55" s="25"/>
      <c r="I55" s="24"/>
      <c r="J55" s="25"/>
      <c r="K55" s="25"/>
      <c r="L55" s="24"/>
      <c r="M55" s="25"/>
      <c r="N55" s="26"/>
    </row>
    <row r="56" spans="1:14" x14ac:dyDescent="0.25">
      <c r="A56" s="19"/>
      <c r="B56" s="20"/>
      <c r="C56" s="20"/>
      <c r="D56" s="21"/>
      <c r="E56" s="21"/>
      <c r="F56" s="21"/>
      <c r="G56" s="21"/>
      <c r="H56" s="21"/>
      <c r="I56" s="20"/>
      <c r="J56" s="21"/>
      <c r="K56" s="21"/>
      <c r="L56" s="20"/>
      <c r="M56" s="21"/>
      <c r="N56" s="22"/>
    </row>
    <row r="57" spans="1:14" x14ac:dyDescent="0.25">
      <c r="A57" s="23"/>
      <c r="B57" s="24"/>
      <c r="C57" s="24"/>
      <c r="D57" s="25"/>
      <c r="E57" s="25"/>
      <c r="F57" s="25"/>
      <c r="G57" s="25"/>
      <c r="H57" s="25"/>
      <c r="I57" s="24"/>
      <c r="J57" s="25"/>
      <c r="K57" s="25"/>
      <c r="L57" s="24"/>
      <c r="M57" s="25"/>
      <c r="N57" s="26"/>
    </row>
    <row r="58" spans="1:14" x14ac:dyDescent="0.25">
      <c r="A58" s="19"/>
      <c r="B58" s="20"/>
      <c r="C58" s="20"/>
      <c r="D58" s="21"/>
      <c r="E58" s="21"/>
      <c r="F58" s="21"/>
      <c r="G58" s="21"/>
      <c r="H58" s="21"/>
      <c r="I58" s="20"/>
      <c r="J58" s="21"/>
      <c r="K58" s="21"/>
      <c r="L58" s="20"/>
      <c r="M58" s="21"/>
      <c r="N58" s="22"/>
    </row>
    <row r="59" spans="1:14" x14ac:dyDescent="0.25">
      <c r="A59" s="23"/>
      <c r="B59" s="24"/>
      <c r="C59" s="24"/>
      <c r="D59" s="25"/>
      <c r="E59" s="25"/>
      <c r="F59" s="25"/>
      <c r="G59" s="25"/>
      <c r="H59" s="25"/>
      <c r="I59" s="24"/>
      <c r="J59" s="25"/>
      <c r="K59" s="25"/>
      <c r="L59" s="24"/>
      <c r="M59" s="25"/>
      <c r="N59" s="26"/>
    </row>
    <row r="60" spans="1:14" x14ac:dyDescent="0.25">
      <c r="A60" s="19"/>
      <c r="B60" s="20"/>
      <c r="C60" s="20"/>
      <c r="D60" s="21"/>
      <c r="E60" s="21"/>
      <c r="F60" s="21"/>
      <c r="G60" s="21"/>
      <c r="H60" s="21"/>
      <c r="I60" s="20"/>
      <c r="J60" s="21"/>
      <c r="K60" s="21"/>
      <c r="L60" s="20"/>
      <c r="M60" s="21"/>
      <c r="N60" s="22"/>
    </row>
    <row r="61" spans="1:14" x14ac:dyDescent="0.25">
      <c r="A61" s="23"/>
      <c r="B61" s="24"/>
      <c r="C61" s="24"/>
      <c r="D61" s="25"/>
      <c r="E61" s="25"/>
      <c r="F61" s="25"/>
      <c r="G61" s="25"/>
      <c r="H61" s="25"/>
      <c r="I61" s="24"/>
      <c r="J61" s="25"/>
      <c r="K61" s="25"/>
      <c r="L61" s="24"/>
      <c r="M61" s="25"/>
      <c r="N61" s="26"/>
    </row>
    <row r="62" spans="1:14" x14ac:dyDescent="0.25">
      <c r="A62" s="19"/>
      <c r="B62" s="20"/>
      <c r="C62" s="20"/>
      <c r="D62" s="21"/>
      <c r="E62" s="21"/>
      <c r="F62" s="21"/>
      <c r="G62" s="21"/>
      <c r="H62" s="21"/>
      <c r="I62" s="20"/>
      <c r="J62" s="21"/>
      <c r="K62" s="21"/>
      <c r="L62" s="20"/>
      <c r="M62" s="21"/>
      <c r="N62" s="22"/>
    </row>
    <row r="63" spans="1:14" x14ac:dyDescent="0.25">
      <c r="A63" s="23"/>
      <c r="B63" s="24"/>
      <c r="C63" s="24"/>
      <c r="D63" s="25"/>
      <c r="E63" s="25"/>
      <c r="F63" s="25"/>
      <c r="G63" s="25"/>
      <c r="H63" s="25"/>
      <c r="I63" s="24"/>
      <c r="J63" s="25"/>
      <c r="K63" s="25"/>
      <c r="L63" s="24"/>
      <c r="M63" s="25"/>
      <c r="N63" s="26"/>
    </row>
    <row r="64" spans="1:14" x14ac:dyDescent="0.25">
      <c r="A64" s="19"/>
      <c r="B64" s="20"/>
      <c r="C64" s="20"/>
      <c r="D64" s="21"/>
      <c r="E64" s="21"/>
      <c r="F64" s="21"/>
      <c r="G64" s="21"/>
      <c r="H64" s="21"/>
      <c r="I64" s="20"/>
      <c r="J64" s="21"/>
      <c r="K64" s="21"/>
      <c r="L64" s="20"/>
      <c r="M64" s="21"/>
      <c r="N64" s="22"/>
    </row>
    <row r="65" spans="1:14" x14ac:dyDescent="0.25">
      <c r="A65" s="23"/>
      <c r="B65" s="24"/>
      <c r="C65" s="24"/>
      <c r="D65" s="25"/>
      <c r="E65" s="25"/>
      <c r="F65" s="25"/>
      <c r="G65" s="25"/>
      <c r="H65" s="25"/>
      <c r="I65" s="24"/>
      <c r="J65" s="25"/>
      <c r="K65" s="25"/>
      <c r="L65" s="24"/>
      <c r="M65" s="25"/>
      <c r="N65" s="26"/>
    </row>
    <row r="66" spans="1:14" x14ac:dyDescent="0.25">
      <c r="A66" s="19"/>
      <c r="B66" s="20"/>
      <c r="C66" s="20"/>
      <c r="D66" s="21"/>
      <c r="E66" s="21"/>
      <c r="F66" s="21"/>
      <c r="G66" s="21"/>
      <c r="H66" s="21"/>
      <c r="I66" s="20"/>
      <c r="J66" s="21"/>
      <c r="K66" s="21"/>
      <c r="L66" s="20"/>
      <c r="M66" s="21"/>
      <c r="N66" s="22"/>
    </row>
    <row r="67" spans="1:14" x14ac:dyDescent="0.25">
      <c r="A67" s="23"/>
      <c r="B67" s="24"/>
      <c r="C67" s="24"/>
      <c r="D67" s="25"/>
      <c r="E67" s="25"/>
      <c r="F67" s="25"/>
      <c r="G67" s="25"/>
      <c r="H67" s="25"/>
      <c r="I67" s="24"/>
      <c r="J67" s="25"/>
      <c r="K67" s="25"/>
      <c r="L67" s="24"/>
      <c r="M67" s="25"/>
      <c r="N67" s="26"/>
    </row>
    <row r="68" spans="1:14" x14ac:dyDescent="0.25">
      <c r="A68" s="19"/>
      <c r="B68" s="20"/>
      <c r="C68" s="20"/>
      <c r="D68" s="21"/>
      <c r="E68" s="21"/>
      <c r="F68" s="21"/>
      <c r="G68" s="21"/>
      <c r="H68" s="21"/>
      <c r="I68" s="20"/>
      <c r="J68" s="21"/>
      <c r="K68" s="21"/>
      <c r="L68" s="20"/>
      <c r="M68" s="21"/>
      <c r="N68" s="22"/>
    </row>
    <row r="69" spans="1:14" x14ac:dyDescent="0.25">
      <c r="A69" s="23"/>
      <c r="B69" s="24"/>
      <c r="C69" s="24"/>
      <c r="D69" s="25"/>
      <c r="E69" s="25"/>
      <c r="F69" s="25"/>
      <c r="G69" s="25"/>
      <c r="H69" s="25"/>
      <c r="I69" s="24"/>
      <c r="J69" s="25"/>
      <c r="K69" s="25"/>
      <c r="L69" s="24"/>
      <c r="M69" s="25"/>
      <c r="N69" s="26"/>
    </row>
    <row r="70" spans="1:14" x14ac:dyDescent="0.25">
      <c r="A70" s="19"/>
      <c r="B70" s="20"/>
      <c r="C70" s="20"/>
      <c r="D70" s="21"/>
      <c r="E70" s="21"/>
      <c r="F70" s="21"/>
      <c r="G70" s="21"/>
      <c r="H70" s="21"/>
      <c r="I70" s="20"/>
      <c r="J70" s="21"/>
      <c r="K70" s="21"/>
      <c r="L70" s="20"/>
      <c r="M70" s="21"/>
      <c r="N70" s="22"/>
    </row>
    <row r="71" spans="1:14" x14ac:dyDescent="0.25">
      <c r="A71" s="23"/>
      <c r="B71" s="24"/>
      <c r="C71" s="24"/>
      <c r="D71" s="25"/>
      <c r="E71" s="25"/>
      <c r="F71" s="25"/>
      <c r="G71" s="25"/>
      <c r="H71" s="25"/>
      <c r="I71" s="24"/>
      <c r="J71" s="25"/>
      <c r="K71" s="25"/>
      <c r="L71" s="24"/>
      <c r="M71" s="25"/>
      <c r="N71" s="26"/>
    </row>
    <row r="72" spans="1:14" x14ac:dyDescent="0.25">
      <c r="A72" s="19"/>
      <c r="B72" s="20"/>
      <c r="C72" s="20"/>
      <c r="D72" s="21"/>
      <c r="E72" s="21"/>
      <c r="F72" s="21"/>
      <c r="G72" s="21"/>
      <c r="H72" s="21"/>
      <c r="I72" s="20"/>
      <c r="J72" s="21"/>
      <c r="K72" s="21"/>
      <c r="L72" s="20"/>
      <c r="M72" s="21"/>
      <c r="N72" s="22"/>
    </row>
    <row r="73" spans="1:14" x14ac:dyDescent="0.25">
      <c r="A73" s="23"/>
      <c r="B73" s="24"/>
      <c r="C73" s="24"/>
      <c r="D73" s="25"/>
      <c r="E73" s="25"/>
      <c r="F73" s="25"/>
      <c r="G73" s="25"/>
      <c r="H73" s="25"/>
      <c r="I73" s="24"/>
      <c r="J73" s="25"/>
      <c r="K73" s="25"/>
      <c r="L73" s="24"/>
      <c r="M73" s="25"/>
      <c r="N73" s="26"/>
    </row>
    <row r="74" spans="1:14" x14ac:dyDescent="0.25">
      <c r="A74" s="19"/>
      <c r="B74" s="20"/>
      <c r="C74" s="20"/>
      <c r="D74" s="21"/>
      <c r="E74" s="21"/>
      <c r="F74" s="21"/>
      <c r="G74" s="21"/>
      <c r="H74" s="21"/>
      <c r="I74" s="20"/>
      <c r="J74" s="21"/>
      <c r="K74" s="21"/>
      <c r="L74" s="20"/>
      <c r="M74" s="21"/>
      <c r="N74" s="22"/>
    </row>
    <row r="75" spans="1:14" x14ac:dyDescent="0.25">
      <c r="A75" s="23"/>
      <c r="B75" s="24"/>
      <c r="C75" s="24"/>
      <c r="D75" s="25"/>
      <c r="E75" s="25"/>
      <c r="F75" s="25"/>
      <c r="G75" s="25"/>
      <c r="H75" s="25"/>
      <c r="I75" s="24"/>
      <c r="J75" s="25"/>
      <c r="K75" s="25"/>
      <c r="L75" s="24"/>
      <c r="M75" s="25"/>
      <c r="N75" s="26"/>
    </row>
    <row r="76" spans="1:14" x14ac:dyDescent="0.25">
      <c r="A76" s="19"/>
      <c r="B76" s="20"/>
      <c r="C76" s="20"/>
      <c r="D76" s="21"/>
      <c r="E76" s="21"/>
      <c r="F76" s="21"/>
      <c r="G76" s="21"/>
      <c r="H76" s="21"/>
      <c r="I76" s="20"/>
      <c r="J76" s="21"/>
      <c r="K76" s="21"/>
      <c r="L76" s="20"/>
      <c r="M76" s="21"/>
      <c r="N76" s="22"/>
    </row>
    <row r="77" spans="1:14" x14ac:dyDescent="0.25">
      <c r="A77" s="23"/>
      <c r="B77" s="24"/>
      <c r="C77" s="24"/>
      <c r="D77" s="25"/>
      <c r="E77" s="25"/>
      <c r="F77" s="25"/>
      <c r="G77" s="25"/>
      <c r="H77" s="25"/>
      <c r="I77" s="24"/>
      <c r="J77" s="25"/>
      <c r="K77" s="25"/>
      <c r="L77" s="24"/>
      <c r="M77" s="25"/>
      <c r="N77" s="26"/>
    </row>
    <row r="78" spans="1:14" x14ac:dyDescent="0.25">
      <c r="A78" s="19"/>
      <c r="B78" s="20"/>
      <c r="C78" s="20"/>
      <c r="D78" s="21"/>
      <c r="E78" s="21"/>
      <c r="F78" s="21"/>
      <c r="G78" s="21"/>
      <c r="H78" s="21"/>
      <c r="I78" s="20"/>
      <c r="J78" s="21"/>
      <c r="K78" s="21"/>
      <c r="L78" s="20"/>
      <c r="M78" s="21"/>
      <c r="N78" s="22"/>
    </row>
    <row r="79" spans="1:14" x14ac:dyDescent="0.25">
      <c r="A79" s="23"/>
      <c r="B79" s="24"/>
      <c r="C79" s="24"/>
      <c r="D79" s="25"/>
      <c r="E79" s="25"/>
      <c r="F79" s="25"/>
      <c r="G79" s="25"/>
      <c r="H79" s="25"/>
      <c r="I79" s="24"/>
      <c r="J79" s="25"/>
      <c r="K79" s="25"/>
      <c r="L79" s="24"/>
      <c r="M79" s="25"/>
      <c r="N79" s="26"/>
    </row>
    <row r="80" spans="1:14" x14ac:dyDescent="0.25">
      <c r="A80" s="19"/>
      <c r="B80" s="20"/>
      <c r="C80" s="20"/>
      <c r="D80" s="21"/>
      <c r="E80" s="21"/>
      <c r="F80" s="21"/>
      <c r="G80" s="21"/>
      <c r="H80" s="21"/>
      <c r="I80" s="20"/>
      <c r="J80" s="21"/>
      <c r="K80" s="21"/>
      <c r="L80" s="20"/>
      <c r="M80" s="21"/>
      <c r="N80" s="22"/>
    </row>
    <row r="81" spans="1:14" x14ac:dyDescent="0.25">
      <c r="A81" s="23"/>
      <c r="B81" s="24"/>
      <c r="C81" s="24"/>
      <c r="D81" s="25"/>
      <c r="E81" s="25"/>
      <c r="F81" s="25"/>
      <c r="G81" s="25"/>
      <c r="H81" s="25"/>
      <c r="I81" s="24"/>
      <c r="J81" s="25"/>
      <c r="K81" s="25"/>
      <c r="L81" s="24"/>
      <c r="M81" s="25"/>
      <c r="N81" s="26"/>
    </row>
    <row r="82" spans="1:14" x14ac:dyDescent="0.25">
      <c r="A82" s="19"/>
      <c r="B82" s="20"/>
      <c r="C82" s="20"/>
      <c r="D82" s="21"/>
      <c r="E82" s="21"/>
      <c r="F82" s="21"/>
      <c r="G82" s="21"/>
      <c r="H82" s="21"/>
      <c r="I82" s="20"/>
      <c r="J82" s="21"/>
      <c r="K82" s="21"/>
      <c r="L82" s="20"/>
      <c r="M82" s="21"/>
      <c r="N82" s="22"/>
    </row>
    <row r="83" spans="1:14" x14ac:dyDescent="0.25">
      <c r="A83" s="23"/>
      <c r="B83" s="24"/>
      <c r="C83" s="24"/>
      <c r="D83" s="25"/>
      <c r="E83" s="25"/>
      <c r="F83" s="25"/>
      <c r="G83" s="25"/>
      <c r="H83" s="25"/>
      <c r="I83" s="24"/>
      <c r="J83" s="25"/>
      <c r="K83" s="25"/>
      <c r="L83" s="24"/>
      <c r="M83" s="25"/>
      <c r="N83" s="26"/>
    </row>
    <row r="84" spans="1:14" x14ac:dyDescent="0.25">
      <c r="A84" s="19"/>
      <c r="B84" s="20"/>
      <c r="C84" s="20"/>
      <c r="D84" s="21"/>
      <c r="E84" s="21"/>
      <c r="F84" s="21"/>
      <c r="G84" s="21"/>
      <c r="H84" s="21"/>
      <c r="I84" s="20"/>
      <c r="J84" s="21"/>
      <c r="K84" s="21"/>
      <c r="L84" s="20"/>
      <c r="M84" s="21"/>
      <c r="N84" s="22"/>
    </row>
    <row r="85" spans="1:14" x14ac:dyDescent="0.25">
      <c r="A85" s="23"/>
      <c r="B85" s="24"/>
      <c r="C85" s="24"/>
      <c r="D85" s="25"/>
      <c r="E85" s="25"/>
      <c r="F85" s="25"/>
      <c r="G85" s="25"/>
      <c r="H85" s="25"/>
      <c r="I85" s="24"/>
      <c r="J85" s="25"/>
      <c r="K85" s="25"/>
      <c r="L85" s="24"/>
      <c r="M85" s="25"/>
      <c r="N85" s="26"/>
    </row>
    <row r="86" spans="1:14" x14ac:dyDescent="0.25">
      <c r="A86" s="19"/>
      <c r="B86" s="20"/>
      <c r="C86" s="20"/>
      <c r="D86" s="21"/>
      <c r="E86" s="21"/>
      <c r="F86" s="21"/>
      <c r="G86" s="21"/>
      <c r="H86" s="21"/>
      <c r="I86" s="20"/>
      <c r="J86" s="21"/>
      <c r="K86" s="21"/>
      <c r="L86" s="20"/>
      <c r="M86" s="21"/>
      <c r="N86" s="22"/>
    </row>
    <row r="87" spans="1:14" x14ac:dyDescent="0.25">
      <c r="A87" s="23"/>
      <c r="B87" s="24"/>
      <c r="C87" s="24"/>
      <c r="D87" s="25"/>
      <c r="E87" s="25"/>
      <c r="F87" s="25"/>
      <c r="G87" s="25"/>
      <c r="H87" s="25"/>
      <c r="I87" s="24"/>
      <c r="J87" s="25"/>
      <c r="K87" s="25"/>
      <c r="L87" s="24"/>
      <c r="M87" s="25"/>
      <c r="N87" s="26"/>
    </row>
    <row r="88" spans="1:14" x14ac:dyDescent="0.25">
      <c r="A88" s="19"/>
      <c r="B88" s="20"/>
      <c r="C88" s="20"/>
      <c r="D88" s="21"/>
      <c r="E88" s="21"/>
      <c r="F88" s="21"/>
      <c r="G88" s="21"/>
      <c r="H88" s="21"/>
      <c r="I88" s="20"/>
      <c r="J88" s="21"/>
      <c r="K88" s="21"/>
      <c r="L88" s="20"/>
      <c r="M88" s="21"/>
      <c r="N88" s="22"/>
    </row>
    <row r="89" spans="1:14" x14ac:dyDescent="0.25">
      <c r="A89" s="23"/>
      <c r="B89" s="24"/>
      <c r="C89" s="24"/>
      <c r="D89" s="25"/>
      <c r="E89" s="25"/>
      <c r="F89" s="25"/>
      <c r="G89" s="25"/>
      <c r="H89" s="25"/>
      <c r="I89" s="24"/>
      <c r="J89" s="25"/>
      <c r="K89" s="25"/>
      <c r="L89" s="24"/>
      <c r="M89" s="25"/>
      <c r="N89" s="26"/>
    </row>
    <row r="90" spans="1:14" x14ac:dyDescent="0.25">
      <c r="A90" s="19"/>
      <c r="B90" s="20"/>
      <c r="C90" s="20"/>
      <c r="D90" s="21"/>
      <c r="E90" s="21"/>
      <c r="F90" s="21"/>
      <c r="G90" s="21"/>
      <c r="H90" s="21"/>
      <c r="I90" s="20"/>
      <c r="J90" s="21"/>
      <c r="K90" s="21"/>
      <c r="L90" s="20"/>
      <c r="M90" s="21"/>
      <c r="N90" s="22"/>
    </row>
    <row r="91" spans="1:14" x14ac:dyDescent="0.25">
      <c r="A91" s="23"/>
      <c r="B91" s="24"/>
      <c r="C91" s="24"/>
      <c r="D91" s="25"/>
      <c r="E91" s="25"/>
      <c r="F91" s="25"/>
      <c r="G91" s="25"/>
      <c r="H91" s="25"/>
      <c r="I91" s="24"/>
      <c r="J91" s="25"/>
      <c r="K91" s="25"/>
      <c r="L91" s="24"/>
      <c r="M91" s="25"/>
      <c r="N91" s="26"/>
    </row>
    <row r="92" spans="1:14" x14ac:dyDescent="0.25">
      <c r="A92" s="19"/>
      <c r="B92" s="20"/>
      <c r="C92" s="20"/>
      <c r="D92" s="21"/>
      <c r="E92" s="21"/>
      <c r="F92" s="21"/>
      <c r="G92" s="21"/>
      <c r="H92" s="21"/>
      <c r="I92" s="20"/>
      <c r="J92" s="21"/>
      <c r="K92" s="21"/>
      <c r="L92" s="20"/>
      <c r="M92" s="21"/>
      <c r="N92" s="22"/>
    </row>
    <row r="93" spans="1:14" x14ac:dyDescent="0.25">
      <c r="A93" s="23"/>
      <c r="B93" s="24"/>
      <c r="C93" s="24"/>
      <c r="D93" s="25"/>
      <c r="E93" s="25"/>
      <c r="F93" s="25"/>
      <c r="G93" s="25"/>
      <c r="H93" s="25"/>
      <c r="I93" s="24"/>
      <c r="J93" s="25"/>
      <c r="K93" s="25"/>
      <c r="L93" s="24"/>
      <c r="M93" s="25"/>
      <c r="N93" s="26"/>
    </row>
    <row r="94" spans="1:14" x14ac:dyDescent="0.25">
      <c r="A94" s="19"/>
      <c r="B94" s="20"/>
      <c r="C94" s="20"/>
      <c r="D94" s="21"/>
      <c r="E94" s="21"/>
      <c r="F94" s="21"/>
      <c r="G94" s="21"/>
      <c r="H94" s="21"/>
      <c r="I94" s="20"/>
      <c r="J94" s="21"/>
      <c r="K94" s="21"/>
      <c r="L94" s="20"/>
      <c r="M94" s="21"/>
      <c r="N94" s="22"/>
    </row>
    <row r="95" spans="1:14" x14ac:dyDescent="0.25">
      <c r="A95" s="23"/>
      <c r="B95" s="24"/>
      <c r="C95" s="24"/>
      <c r="D95" s="25"/>
      <c r="E95" s="25"/>
      <c r="F95" s="25"/>
      <c r="G95" s="25"/>
      <c r="H95" s="25"/>
      <c r="I95" s="24"/>
      <c r="J95" s="25"/>
      <c r="K95" s="25"/>
      <c r="L95" s="24"/>
      <c r="M95" s="25"/>
      <c r="N95" s="26"/>
    </row>
    <row r="96" spans="1:14" x14ac:dyDescent="0.25">
      <c r="A96" s="19"/>
      <c r="B96" s="20"/>
      <c r="C96" s="20"/>
      <c r="D96" s="21"/>
      <c r="E96" s="21"/>
      <c r="F96" s="21"/>
      <c r="G96" s="21"/>
      <c r="H96" s="21"/>
      <c r="I96" s="20"/>
      <c r="J96" s="21"/>
      <c r="K96" s="21"/>
      <c r="L96" s="20"/>
      <c r="M96" s="21"/>
      <c r="N96" s="22"/>
    </row>
    <row r="97" spans="1:14" x14ac:dyDescent="0.25">
      <c r="A97" s="23"/>
      <c r="B97" s="24"/>
      <c r="C97" s="24"/>
      <c r="D97" s="25"/>
      <c r="E97" s="25"/>
      <c r="F97" s="25"/>
      <c r="G97" s="25"/>
      <c r="H97" s="25"/>
      <c r="I97" s="24"/>
      <c r="J97" s="25"/>
      <c r="K97" s="25"/>
      <c r="L97" s="24"/>
      <c r="M97" s="25"/>
      <c r="N97" s="26"/>
    </row>
    <row r="98" spans="1:14" x14ac:dyDescent="0.25">
      <c r="A98" s="19"/>
      <c r="B98" s="20"/>
      <c r="C98" s="20"/>
      <c r="D98" s="21"/>
      <c r="E98" s="21"/>
      <c r="F98" s="21"/>
      <c r="G98" s="21"/>
      <c r="H98" s="21"/>
      <c r="I98" s="20"/>
      <c r="J98" s="21"/>
      <c r="K98" s="21"/>
      <c r="L98" s="20"/>
      <c r="M98" s="21"/>
      <c r="N98" s="22"/>
    </row>
    <row r="99" spans="1:14" x14ac:dyDescent="0.25">
      <c r="A99" s="23"/>
      <c r="B99" s="24"/>
      <c r="C99" s="24"/>
      <c r="D99" s="25"/>
      <c r="E99" s="25"/>
      <c r="F99" s="25"/>
      <c r="G99" s="25"/>
      <c r="H99" s="25"/>
      <c r="I99" s="24"/>
      <c r="J99" s="25"/>
      <c r="K99" s="25"/>
      <c r="L99" s="24"/>
      <c r="M99" s="25"/>
      <c r="N99" s="26"/>
    </row>
    <row r="100" spans="1:14" x14ac:dyDescent="0.25">
      <c r="A100" s="19"/>
      <c r="B100" s="20"/>
      <c r="C100" s="20"/>
      <c r="D100" s="21"/>
      <c r="E100" s="21"/>
      <c r="F100" s="21"/>
      <c r="G100" s="21"/>
      <c r="H100" s="21"/>
      <c r="I100" s="20"/>
      <c r="J100" s="21"/>
      <c r="K100" s="21"/>
      <c r="L100" s="20"/>
      <c r="M100" s="21"/>
      <c r="N100" s="22"/>
    </row>
    <row r="101" spans="1:14" x14ac:dyDescent="0.25">
      <c r="A101" s="23"/>
      <c r="B101" s="24"/>
      <c r="C101" s="24"/>
      <c r="D101" s="25"/>
      <c r="E101" s="25"/>
      <c r="F101" s="25"/>
      <c r="G101" s="25"/>
      <c r="H101" s="25"/>
      <c r="I101" s="24"/>
      <c r="J101" s="25"/>
      <c r="K101" s="25"/>
      <c r="L101" s="24"/>
      <c r="M101" s="25"/>
      <c r="N101" s="26"/>
    </row>
    <row r="102" spans="1:14" x14ac:dyDescent="0.25">
      <c r="A102" s="19"/>
      <c r="B102" s="20"/>
      <c r="C102" s="20"/>
      <c r="D102" s="21"/>
      <c r="E102" s="21"/>
      <c r="F102" s="21"/>
      <c r="G102" s="21"/>
      <c r="H102" s="21"/>
      <c r="I102" s="20"/>
      <c r="J102" s="21"/>
      <c r="K102" s="21"/>
      <c r="L102" s="20"/>
      <c r="M102" s="21"/>
      <c r="N102" s="22"/>
    </row>
    <row r="103" spans="1:14" x14ac:dyDescent="0.25">
      <c r="A103" s="23"/>
      <c r="B103" s="24"/>
      <c r="C103" s="24"/>
      <c r="D103" s="25"/>
      <c r="E103" s="25"/>
      <c r="F103" s="25"/>
      <c r="G103" s="25"/>
      <c r="H103" s="25"/>
      <c r="I103" s="24"/>
      <c r="J103" s="25"/>
      <c r="K103" s="25"/>
      <c r="L103" s="24"/>
      <c r="M103" s="25"/>
      <c r="N103" s="26"/>
    </row>
    <row r="104" spans="1:14" x14ac:dyDescent="0.25">
      <c r="A104" s="19"/>
      <c r="B104" s="20"/>
      <c r="C104" s="20"/>
      <c r="D104" s="21"/>
      <c r="E104" s="21"/>
      <c r="F104" s="21"/>
      <c r="G104" s="21"/>
      <c r="H104" s="21"/>
      <c r="I104" s="20"/>
      <c r="J104" s="21"/>
      <c r="K104" s="21"/>
      <c r="L104" s="20"/>
      <c r="M104" s="21"/>
      <c r="N104" s="22"/>
    </row>
    <row r="105" spans="1:14" x14ac:dyDescent="0.25">
      <c r="A105" s="23"/>
      <c r="B105" s="24"/>
      <c r="C105" s="24"/>
      <c r="D105" s="25"/>
      <c r="E105" s="25"/>
      <c r="F105" s="25"/>
      <c r="G105" s="25"/>
      <c r="H105" s="25"/>
      <c r="I105" s="24"/>
      <c r="J105" s="25"/>
      <c r="K105" s="25"/>
      <c r="L105" s="24"/>
      <c r="M105" s="25"/>
      <c r="N105" s="26"/>
    </row>
    <row r="106" spans="1:14" x14ac:dyDescent="0.25">
      <c r="A106" s="19"/>
      <c r="B106" s="20"/>
      <c r="C106" s="20"/>
      <c r="D106" s="21"/>
      <c r="E106" s="21"/>
      <c r="F106" s="21"/>
      <c r="G106" s="21"/>
      <c r="H106" s="21"/>
      <c r="I106" s="20"/>
      <c r="J106" s="21"/>
      <c r="K106" s="21"/>
      <c r="L106" s="20"/>
      <c r="M106" s="21"/>
      <c r="N106" s="22"/>
    </row>
    <row r="107" spans="1:14" x14ac:dyDescent="0.25">
      <c r="A107" s="23"/>
      <c r="B107" s="24"/>
      <c r="C107" s="24"/>
      <c r="D107" s="25"/>
      <c r="E107" s="25"/>
      <c r="F107" s="25"/>
      <c r="G107" s="25"/>
      <c r="H107" s="25"/>
      <c r="I107" s="24"/>
      <c r="J107" s="25"/>
      <c r="K107" s="25"/>
      <c r="L107" s="24"/>
      <c r="M107" s="25"/>
      <c r="N107" s="26"/>
    </row>
    <row r="108" spans="1:14" x14ac:dyDescent="0.25">
      <c r="A108" s="19"/>
      <c r="B108" s="20"/>
      <c r="C108" s="20"/>
      <c r="D108" s="21"/>
      <c r="E108" s="21"/>
      <c r="F108" s="21"/>
      <c r="G108" s="21"/>
      <c r="H108" s="21"/>
      <c r="I108" s="20"/>
      <c r="J108" s="21"/>
      <c r="K108" s="21"/>
      <c r="L108" s="20"/>
      <c r="M108" s="21"/>
      <c r="N108" s="22"/>
    </row>
    <row r="109" spans="1:14" x14ac:dyDescent="0.25">
      <c r="A109" s="23"/>
      <c r="B109" s="24"/>
      <c r="C109" s="24"/>
      <c r="D109" s="25"/>
      <c r="E109" s="25"/>
      <c r="F109" s="25"/>
      <c r="G109" s="25"/>
      <c r="H109" s="25"/>
      <c r="I109" s="24"/>
      <c r="J109" s="25"/>
      <c r="K109" s="25"/>
      <c r="L109" s="24"/>
      <c r="M109" s="25"/>
      <c r="N109" s="26"/>
    </row>
    <row r="110" spans="1:14" x14ac:dyDescent="0.25">
      <c r="A110" s="19"/>
      <c r="B110" s="20"/>
      <c r="C110" s="20"/>
      <c r="D110" s="21"/>
      <c r="E110" s="21"/>
      <c r="F110" s="21"/>
      <c r="G110" s="21"/>
      <c r="H110" s="21"/>
      <c r="I110" s="20"/>
      <c r="J110" s="21"/>
      <c r="K110" s="21"/>
      <c r="L110" s="20"/>
      <c r="M110" s="21"/>
      <c r="N110" s="22"/>
    </row>
    <row r="111" spans="1:14" x14ac:dyDescent="0.25">
      <c r="A111" s="23"/>
      <c r="B111" s="24"/>
      <c r="C111" s="24"/>
      <c r="D111" s="25"/>
      <c r="E111" s="25"/>
      <c r="F111" s="25"/>
      <c r="G111" s="25"/>
      <c r="H111" s="25"/>
      <c r="I111" s="24"/>
      <c r="J111" s="25"/>
      <c r="K111" s="25"/>
      <c r="L111" s="24"/>
      <c r="M111" s="25"/>
      <c r="N111" s="26"/>
    </row>
    <row r="112" spans="1:14" x14ac:dyDescent="0.25">
      <c r="A112" s="19"/>
      <c r="B112" s="20"/>
      <c r="C112" s="20"/>
      <c r="D112" s="21"/>
      <c r="E112" s="21"/>
      <c r="F112" s="21"/>
      <c r="G112" s="21"/>
      <c r="H112" s="21"/>
      <c r="I112" s="20"/>
      <c r="J112" s="21"/>
      <c r="K112" s="21"/>
      <c r="L112" s="20"/>
      <c r="M112" s="21"/>
      <c r="N112" s="22"/>
    </row>
    <row r="113" spans="1:14" x14ac:dyDescent="0.25">
      <c r="A113" s="23"/>
      <c r="B113" s="24"/>
      <c r="C113" s="24"/>
      <c r="D113" s="25"/>
      <c r="E113" s="25"/>
      <c r="F113" s="25"/>
      <c r="G113" s="25"/>
      <c r="H113" s="25"/>
      <c r="I113" s="24"/>
      <c r="J113" s="25"/>
      <c r="K113" s="25"/>
      <c r="L113" s="24"/>
      <c r="M113" s="25"/>
      <c r="N113" s="26"/>
    </row>
    <row r="114" spans="1:14" x14ac:dyDescent="0.25">
      <c r="A114" s="19"/>
      <c r="B114" s="20"/>
      <c r="C114" s="20"/>
      <c r="D114" s="21"/>
      <c r="E114" s="21"/>
      <c r="F114" s="21"/>
      <c r="G114" s="21"/>
      <c r="H114" s="21"/>
      <c r="I114" s="20"/>
      <c r="J114" s="21"/>
      <c r="K114" s="21"/>
      <c r="L114" s="20"/>
      <c r="M114" s="21"/>
      <c r="N114" s="22"/>
    </row>
    <row r="115" spans="1:14" x14ac:dyDescent="0.25">
      <c r="A115" s="23"/>
      <c r="B115" s="24"/>
      <c r="C115" s="24"/>
      <c r="D115" s="25"/>
      <c r="E115" s="25"/>
      <c r="F115" s="25"/>
      <c r="G115" s="25"/>
      <c r="H115" s="25"/>
      <c r="I115" s="24"/>
      <c r="J115" s="25"/>
      <c r="K115" s="25"/>
      <c r="L115" s="24"/>
      <c r="M115" s="25"/>
      <c r="N115" s="26"/>
    </row>
    <row r="116" spans="1:14" x14ac:dyDescent="0.25">
      <c r="A116" s="19"/>
      <c r="B116" s="20"/>
      <c r="C116" s="20"/>
      <c r="D116" s="21"/>
      <c r="E116" s="21"/>
      <c r="F116" s="21"/>
      <c r="G116" s="21"/>
      <c r="H116" s="21"/>
      <c r="I116" s="20"/>
      <c r="J116" s="21"/>
      <c r="K116" s="21"/>
      <c r="L116" s="20"/>
      <c r="M116" s="21"/>
      <c r="N116" s="22"/>
    </row>
    <row r="117" spans="1:14" x14ac:dyDescent="0.25">
      <c r="A117" s="23"/>
      <c r="B117" s="24"/>
      <c r="C117" s="24"/>
      <c r="D117" s="25"/>
      <c r="E117" s="25"/>
      <c r="F117" s="25"/>
      <c r="G117" s="25"/>
      <c r="H117" s="25"/>
      <c r="I117" s="24"/>
      <c r="J117" s="25"/>
      <c r="K117" s="25"/>
      <c r="L117" s="24"/>
      <c r="M117" s="25"/>
      <c r="N117" s="26"/>
    </row>
    <row r="118" spans="1:14" x14ac:dyDescent="0.25">
      <c r="A118" s="19"/>
      <c r="B118" s="20"/>
      <c r="C118" s="20"/>
      <c r="D118" s="21"/>
      <c r="E118" s="21"/>
      <c r="F118" s="21"/>
      <c r="G118" s="21"/>
      <c r="H118" s="21"/>
      <c r="I118" s="20"/>
      <c r="J118" s="21"/>
      <c r="K118" s="21"/>
      <c r="L118" s="20"/>
      <c r="M118" s="21"/>
      <c r="N118" s="22"/>
    </row>
    <row r="119" spans="1:14" x14ac:dyDescent="0.25">
      <c r="A119" s="23"/>
      <c r="B119" s="24"/>
      <c r="C119" s="24"/>
      <c r="D119" s="25"/>
      <c r="E119" s="25"/>
      <c r="F119" s="25"/>
      <c r="G119" s="25"/>
      <c r="H119" s="25"/>
      <c r="I119" s="24"/>
      <c r="J119" s="25"/>
      <c r="K119" s="25"/>
      <c r="L119" s="24"/>
      <c r="M119" s="25"/>
      <c r="N119" s="26"/>
    </row>
    <row r="120" spans="1:14" x14ac:dyDescent="0.25">
      <c r="A120" s="19"/>
      <c r="B120" s="20"/>
      <c r="C120" s="20"/>
      <c r="D120" s="21"/>
      <c r="E120" s="21"/>
      <c r="F120" s="21"/>
      <c r="G120" s="21"/>
      <c r="H120" s="21"/>
      <c r="I120" s="20"/>
      <c r="J120" s="21"/>
      <c r="K120" s="21"/>
      <c r="L120" s="20"/>
      <c r="M120" s="21"/>
      <c r="N120" s="22"/>
    </row>
    <row r="121" spans="1:14" x14ac:dyDescent="0.25">
      <c r="A121" s="23"/>
      <c r="B121" s="24"/>
      <c r="C121" s="24"/>
      <c r="D121" s="25"/>
      <c r="E121" s="25"/>
      <c r="F121" s="25"/>
      <c r="G121" s="25"/>
      <c r="H121" s="25"/>
      <c r="I121" s="24"/>
      <c r="J121" s="25"/>
      <c r="K121" s="25"/>
      <c r="L121" s="24"/>
      <c r="M121" s="25"/>
      <c r="N121" s="26"/>
    </row>
    <row r="122" spans="1:14" x14ac:dyDescent="0.25">
      <c r="A122" s="19"/>
      <c r="B122" s="20"/>
      <c r="C122" s="20"/>
      <c r="D122" s="21"/>
      <c r="E122" s="21"/>
      <c r="F122" s="21"/>
      <c r="G122" s="21"/>
      <c r="H122" s="21"/>
      <c r="I122" s="20"/>
      <c r="J122" s="21"/>
      <c r="K122" s="21"/>
      <c r="L122" s="20"/>
      <c r="M122" s="21"/>
      <c r="N122" s="22"/>
    </row>
    <row r="123" spans="1:14" x14ac:dyDescent="0.25">
      <c r="A123" s="23"/>
      <c r="B123" s="24"/>
      <c r="C123" s="24"/>
      <c r="D123" s="25"/>
      <c r="E123" s="25"/>
      <c r="F123" s="25"/>
      <c r="G123" s="25"/>
      <c r="H123" s="25"/>
      <c r="I123" s="24"/>
      <c r="J123" s="25"/>
      <c r="K123" s="25"/>
      <c r="L123" s="24"/>
      <c r="M123" s="25"/>
      <c r="N123" s="2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9C751A-460C-49CD-BC88-50DCBE626BBB}">
  <dimension ref="A1:P123"/>
  <sheetViews>
    <sheetView tabSelected="1" topLeftCell="A7" workbookViewId="0">
      <selection activeCell="A9" sqref="A9"/>
    </sheetView>
  </sheetViews>
  <sheetFormatPr defaultColWidth="8.85546875" defaultRowHeight="15" x14ac:dyDescent="0.25"/>
  <cols>
    <col min="1" max="1" width="33.85546875" style="4" customWidth="1"/>
    <col min="2" max="2" width="32.42578125" style="4" customWidth="1"/>
    <col min="3" max="3" width="30" style="4" customWidth="1"/>
    <col min="4" max="4" width="11.140625" style="5" customWidth="1"/>
    <col min="5" max="5" width="18" style="5" bestFit="1" customWidth="1"/>
    <col min="6" max="6" width="10.140625" style="5" customWidth="1"/>
    <col min="7" max="7" width="9.140625" style="5"/>
    <col min="8" max="8" width="11.7109375" style="5" customWidth="1"/>
    <col min="9" max="9" width="13.140625" style="5" hidden="1" customWidth="1"/>
    <col min="10" max="10" width="19.42578125" style="5" hidden="1" customWidth="1"/>
    <col min="11" max="11" width="13.42578125" style="4" customWidth="1"/>
    <col min="12" max="12" width="22.42578125" style="5" customWidth="1"/>
    <col min="13" max="13" width="17.85546875" style="5" bestFit="1" customWidth="1"/>
    <col min="14" max="14" width="33.28515625" style="4" customWidth="1"/>
    <col min="15" max="16" width="26" style="5" customWidth="1"/>
  </cols>
  <sheetData>
    <row r="1" spans="1:16" s="5" customFormat="1" x14ac:dyDescent="0.25">
      <c r="A1" s="30" t="s">
        <v>0</v>
      </c>
      <c r="B1" s="27" t="s">
        <v>1</v>
      </c>
      <c r="C1" s="27" t="s">
        <v>2</v>
      </c>
      <c r="D1" s="28" t="s">
        <v>3</v>
      </c>
      <c r="E1" s="28" t="s">
        <v>4</v>
      </c>
      <c r="F1" s="28" t="s">
        <v>5</v>
      </c>
      <c r="G1" s="28" t="s">
        <v>6</v>
      </c>
      <c r="H1" s="28" t="s">
        <v>7</v>
      </c>
      <c r="I1" s="28" t="s">
        <v>140</v>
      </c>
      <c r="J1" s="28" t="s">
        <v>141</v>
      </c>
      <c r="K1" s="27" t="s">
        <v>8</v>
      </c>
      <c r="L1" s="28" t="s">
        <v>9</v>
      </c>
      <c r="M1" s="28" t="s">
        <v>10</v>
      </c>
      <c r="N1" s="27" t="s">
        <v>11</v>
      </c>
      <c r="O1" s="28" t="s">
        <v>12</v>
      </c>
      <c r="P1" s="29" t="s">
        <v>13</v>
      </c>
    </row>
    <row r="2" spans="1:16" s="5" customFormat="1" ht="45" x14ac:dyDescent="0.25">
      <c r="A2" s="19" t="s">
        <v>142</v>
      </c>
      <c r="B2" s="32" t="s">
        <v>143</v>
      </c>
      <c r="C2" s="20" t="s">
        <v>144</v>
      </c>
      <c r="D2" s="21" t="s">
        <v>145</v>
      </c>
      <c r="E2" s="21" t="s">
        <v>146</v>
      </c>
      <c r="F2" s="21">
        <v>6</v>
      </c>
      <c r="G2" s="21">
        <v>1</v>
      </c>
      <c r="H2" s="21">
        <v>76</v>
      </c>
      <c r="I2" s="21"/>
      <c r="J2" s="21"/>
      <c r="K2" s="20" t="s">
        <v>147</v>
      </c>
      <c r="L2" s="21" t="s">
        <v>148</v>
      </c>
      <c r="M2" s="21" t="s">
        <v>21</v>
      </c>
      <c r="N2" s="20"/>
      <c r="O2" s="21" t="s">
        <v>149</v>
      </c>
      <c r="P2" s="22" t="s">
        <v>150</v>
      </c>
    </row>
    <row r="3" spans="1:16" s="5" customFormat="1" ht="114" customHeight="1" x14ac:dyDescent="0.25">
      <c r="A3" s="23" t="s">
        <v>151</v>
      </c>
      <c r="B3" s="33" t="s">
        <v>152</v>
      </c>
      <c r="C3" s="24" t="s">
        <v>153</v>
      </c>
      <c r="D3" s="25" t="s">
        <v>154</v>
      </c>
      <c r="E3" s="25" t="s">
        <v>155</v>
      </c>
      <c r="F3" s="25">
        <v>37</v>
      </c>
      <c r="G3" s="25">
        <v>8</v>
      </c>
      <c r="H3" s="25">
        <v>1643</v>
      </c>
      <c r="I3" s="25"/>
      <c r="J3" s="25">
        <v>11</v>
      </c>
      <c r="K3" s="24" t="s">
        <v>6539</v>
      </c>
      <c r="L3" s="25" t="s">
        <v>156</v>
      </c>
      <c r="M3" s="25" t="s">
        <v>157</v>
      </c>
      <c r="N3" s="24" t="s">
        <v>158</v>
      </c>
      <c r="O3" s="25" t="s">
        <v>159</v>
      </c>
      <c r="P3" s="26" t="s">
        <v>160</v>
      </c>
    </row>
    <row r="4" spans="1:16" ht="60" x14ac:dyDescent="0.25">
      <c r="A4" s="19" t="s">
        <v>161</v>
      </c>
      <c r="B4" s="32" t="s">
        <v>162</v>
      </c>
      <c r="C4" s="20" t="s">
        <v>163</v>
      </c>
      <c r="D4" s="21" t="s">
        <v>164</v>
      </c>
      <c r="E4" s="21" t="s">
        <v>165</v>
      </c>
      <c r="F4" s="21">
        <v>9</v>
      </c>
      <c r="G4" s="21">
        <v>1</v>
      </c>
      <c r="H4" s="21">
        <v>53</v>
      </c>
      <c r="I4" s="21"/>
      <c r="J4" s="21"/>
      <c r="K4" s="20" t="s">
        <v>166</v>
      </c>
      <c r="L4" s="21" t="s">
        <v>167</v>
      </c>
      <c r="M4" s="21" t="s">
        <v>21</v>
      </c>
      <c r="N4" s="20"/>
      <c r="O4" s="21" t="s">
        <v>168</v>
      </c>
      <c r="P4" s="22" t="s">
        <v>169</v>
      </c>
    </row>
    <row r="5" spans="1:16" ht="120" x14ac:dyDescent="0.25">
      <c r="A5" s="23" t="s">
        <v>170</v>
      </c>
      <c r="B5" s="24" t="s">
        <v>171</v>
      </c>
      <c r="C5" s="24" t="s">
        <v>172</v>
      </c>
      <c r="D5" s="25" t="s">
        <v>173</v>
      </c>
      <c r="E5" s="25" t="s">
        <v>174</v>
      </c>
      <c r="F5" s="25">
        <v>64</v>
      </c>
      <c r="G5" s="25"/>
      <c r="H5" s="25">
        <v>140</v>
      </c>
      <c r="I5" s="25"/>
      <c r="J5" s="25">
        <v>7</v>
      </c>
      <c r="K5" s="24" t="s">
        <v>6540</v>
      </c>
      <c r="L5" s="25" t="s">
        <v>175</v>
      </c>
      <c r="M5" s="25" t="s">
        <v>157</v>
      </c>
      <c r="N5" s="24" t="s">
        <v>176</v>
      </c>
      <c r="O5" s="25" t="s">
        <v>177</v>
      </c>
      <c r="P5" s="26" t="s">
        <v>178</v>
      </c>
    </row>
    <row r="6" spans="1:16" ht="60" x14ac:dyDescent="0.25">
      <c r="A6" s="19" t="s">
        <v>179</v>
      </c>
      <c r="B6" s="20" t="s">
        <v>180</v>
      </c>
      <c r="C6" s="20" t="s">
        <v>181</v>
      </c>
      <c r="D6" s="21" t="s">
        <v>182</v>
      </c>
      <c r="E6" s="21" t="s">
        <v>183</v>
      </c>
      <c r="F6" s="21">
        <v>15</v>
      </c>
      <c r="G6" s="21">
        <v>11</v>
      </c>
      <c r="H6" s="21"/>
      <c r="I6" s="21"/>
      <c r="J6" s="21"/>
      <c r="K6" s="20" t="s">
        <v>184</v>
      </c>
      <c r="L6" s="21" t="s">
        <v>185</v>
      </c>
      <c r="M6" s="21" t="s">
        <v>21</v>
      </c>
      <c r="N6" s="20" t="s">
        <v>186</v>
      </c>
      <c r="O6" s="21" t="s">
        <v>187</v>
      </c>
      <c r="P6" s="22" t="s">
        <v>188</v>
      </c>
    </row>
    <row r="7" spans="1:16" ht="60" x14ac:dyDescent="0.25">
      <c r="A7" s="23" t="s">
        <v>189</v>
      </c>
      <c r="B7" s="24" t="s">
        <v>190</v>
      </c>
      <c r="C7" s="24" t="s">
        <v>191</v>
      </c>
      <c r="D7" s="25" t="s">
        <v>192</v>
      </c>
      <c r="E7" s="25" t="s">
        <v>193</v>
      </c>
      <c r="F7" s="25">
        <v>26</v>
      </c>
      <c r="G7" s="25">
        <v>1</v>
      </c>
      <c r="H7" s="25">
        <v>19</v>
      </c>
      <c r="I7" s="25"/>
      <c r="J7" s="25">
        <v>6</v>
      </c>
      <c r="K7" s="24" t="s">
        <v>6541</v>
      </c>
      <c r="L7" s="25" t="s">
        <v>175</v>
      </c>
      <c r="M7" s="25" t="s">
        <v>157</v>
      </c>
      <c r="N7" s="24" t="s">
        <v>194</v>
      </c>
      <c r="O7" s="25" t="s">
        <v>195</v>
      </c>
      <c r="P7" s="26" t="s">
        <v>196</v>
      </c>
    </row>
    <row r="8" spans="1:16" ht="135" x14ac:dyDescent="0.25">
      <c r="A8" s="19" t="s">
        <v>197</v>
      </c>
      <c r="B8" s="20" t="s">
        <v>198</v>
      </c>
      <c r="C8" s="20" t="s">
        <v>199</v>
      </c>
      <c r="D8" s="21" t="s">
        <v>200</v>
      </c>
      <c r="E8" s="21" t="s">
        <v>155</v>
      </c>
      <c r="F8" s="21">
        <v>23</v>
      </c>
      <c r="G8" s="21">
        <v>8</v>
      </c>
      <c r="H8" s="21">
        <v>1509</v>
      </c>
      <c r="I8" s="21"/>
      <c r="J8" s="21">
        <v>9</v>
      </c>
      <c r="K8" s="20" t="s">
        <v>6542</v>
      </c>
      <c r="L8" s="21" t="s">
        <v>201</v>
      </c>
      <c r="M8" s="21" t="s">
        <v>157</v>
      </c>
      <c r="N8" s="20" t="s">
        <v>202</v>
      </c>
      <c r="O8" s="21" t="s">
        <v>203</v>
      </c>
      <c r="P8" s="22" t="s">
        <v>204</v>
      </c>
    </row>
    <row r="9" spans="1:16" ht="105" x14ac:dyDescent="0.25">
      <c r="A9" s="23" t="s">
        <v>205</v>
      </c>
      <c r="B9" s="24" t="s">
        <v>206</v>
      </c>
      <c r="C9" s="24" t="s">
        <v>191</v>
      </c>
      <c r="D9" s="25" t="s">
        <v>192</v>
      </c>
      <c r="E9" s="25" t="s">
        <v>207</v>
      </c>
      <c r="F9" s="25">
        <v>26</v>
      </c>
      <c r="G9" s="25"/>
      <c r="H9" s="25" t="s">
        <v>208</v>
      </c>
      <c r="I9" s="25"/>
      <c r="J9" s="25">
        <v>2</v>
      </c>
      <c r="K9" s="24"/>
      <c r="L9" s="25" t="s">
        <v>175</v>
      </c>
      <c r="M9" s="25" t="s">
        <v>157</v>
      </c>
      <c r="N9" s="24" t="s">
        <v>209</v>
      </c>
      <c r="O9" s="25"/>
      <c r="P9" s="26" t="s">
        <v>210</v>
      </c>
    </row>
    <row r="10" spans="1:16" ht="180" x14ac:dyDescent="0.25">
      <c r="A10" s="19" t="s">
        <v>211</v>
      </c>
      <c r="B10" s="20" t="s">
        <v>212</v>
      </c>
      <c r="C10" s="20" t="s">
        <v>213</v>
      </c>
      <c r="D10" s="21" t="s">
        <v>214</v>
      </c>
      <c r="E10" s="21" t="s">
        <v>215</v>
      </c>
      <c r="F10" s="21">
        <v>33</v>
      </c>
      <c r="G10" s="21">
        <v>4</v>
      </c>
      <c r="H10" s="21">
        <v>420</v>
      </c>
      <c r="I10" s="21"/>
      <c r="J10" s="21">
        <v>13</v>
      </c>
      <c r="K10" s="20" t="s">
        <v>758</v>
      </c>
      <c r="L10" s="21" t="s">
        <v>216</v>
      </c>
      <c r="M10" s="21" t="s">
        <v>157</v>
      </c>
      <c r="N10" s="20" t="s">
        <v>217</v>
      </c>
      <c r="O10" s="21" t="s">
        <v>218</v>
      </c>
      <c r="P10" s="22" t="s">
        <v>219</v>
      </c>
    </row>
    <row r="11" spans="1:16" ht="150" x14ac:dyDescent="0.25">
      <c r="A11" s="23" t="s">
        <v>220</v>
      </c>
      <c r="B11" s="24" t="s">
        <v>221</v>
      </c>
      <c r="C11" s="24" t="s">
        <v>222</v>
      </c>
      <c r="D11" s="25" t="s">
        <v>223</v>
      </c>
      <c r="E11" s="25" t="s">
        <v>224</v>
      </c>
      <c r="F11" s="25">
        <v>53</v>
      </c>
      <c r="G11" s="25">
        <v>2</v>
      </c>
      <c r="H11" s="25">
        <v>481</v>
      </c>
      <c r="I11" s="25"/>
      <c r="J11" s="25">
        <v>21</v>
      </c>
      <c r="K11" s="24" t="s">
        <v>6543</v>
      </c>
      <c r="L11" s="25" t="s">
        <v>225</v>
      </c>
      <c r="M11" s="25" t="s">
        <v>157</v>
      </c>
      <c r="N11" s="24" t="s">
        <v>226</v>
      </c>
      <c r="O11" s="25" t="s">
        <v>227</v>
      </c>
      <c r="P11" s="26" t="s">
        <v>228</v>
      </c>
    </row>
    <row r="12" spans="1:16" ht="105" x14ac:dyDescent="0.25">
      <c r="A12" s="19" t="s">
        <v>229</v>
      </c>
      <c r="B12" s="20" t="s">
        <v>230</v>
      </c>
      <c r="C12" s="20" t="s">
        <v>65</v>
      </c>
      <c r="D12" s="21" t="s">
        <v>66</v>
      </c>
      <c r="E12" s="21" t="s">
        <v>231</v>
      </c>
      <c r="F12" s="21">
        <v>9</v>
      </c>
      <c r="G12" s="21">
        <v>4</v>
      </c>
      <c r="H12" s="21" t="s">
        <v>232</v>
      </c>
      <c r="I12" s="21"/>
      <c r="J12" s="21"/>
      <c r="K12" s="20" t="s">
        <v>233</v>
      </c>
      <c r="L12" s="21" t="s">
        <v>70</v>
      </c>
      <c r="M12" s="21" t="s">
        <v>21</v>
      </c>
      <c r="N12" s="20"/>
      <c r="O12" s="21" t="s">
        <v>234</v>
      </c>
      <c r="P12" s="22" t="s">
        <v>235</v>
      </c>
    </row>
    <row r="13" spans="1:16" ht="60" x14ac:dyDescent="0.25">
      <c r="A13" s="23" t="s">
        <v>236</v>
      </c>
      <c r="B13" s="24" t="s">
        <v>237</v>
      </c>
      <c r="C13" s="24" t="s">
        <v>191</v>
      </c>
      <c r="D13" s="25" t="s">
        <v>192</v>
      </c>
      <c r="E13" s="25" t="s">
        <v>207</v>
      </c>
      <c r="F13" s="25">
        <v>26</v>
      </c>
      <c r="G13" s="25"/>
      <c r="H13" s="25" t="s">
        <v>238</v>
      </c>
      <c r="I13" s="25"/>
      <c r="J13" s="25">
        <v>2</v>
      </c>
      <c r="K13" s="24" t="s">
        <v>6529</v>
      </c>
      <c r="L13" s="25" t="s">
        <v>175</v>
      </c>
      <c r="M13" s="25" t="s">
        <v>157</v>
      </c>
      <c r="N13" s="24" t="s">
        <v>239</v>
      </c>
      <c r="O13" s="25"/>
      <c r="P13" s="26" t="s">
        <v>240</v>
      </c>
    </row>
    <row r="14" spans="1:16" ht="105" x14ac:dyDescent="0.25">
      <c r="A14" s="19" t="s">
        <v>241</v>
      </c>
      <c r="B14" s="20" t="s">
        <v>242</v>
      </c>
      <c r="C14" s="20" t="s">
        <v>191</v>
      </c>
      <c r="D14" s="21" t="s">
        <v>192</v>
      </c>
      <c r="E14" s="21" t="s">
        <v>224</v>
      </c>
      <c r="F14" s="21">
        <v>26</v>
      </c>
      <c r="G14" s="21">
        <v>2</v>
      </c>
      <c r="H14" s="21">
        <v>98</v>
      </c>
      <c r="I14" s="21"/>
      <c r="J14" s="21">
        <v>11</v>
      </c>
      <c r="K14" s="20" t="s">
        <v>6528</v>
      </c>
      <c r="L14" s="21" t="s">
        <v>175</v>
      </c>
      <c r="M14" s="21" t="s">
        <v>157</v>
      </c>
      <c r="N14" s="20" t="s">
        <v>243</v>
      </c>
      <c r="O14" s="21" t="s">
        <v>244</v>
      </c>
      <c r="P14" s="22" t="s">
        <v>245</v>
      </c>
    </row>
    <row r="15" spans="1:16" ht="105" x14ac:dyDescent="0.25">
      <c r="A15" s="19" t="s">
        <v>246</v>
      </c>
      <c r="B15" s="20" t="s">
        <v>247</v>
      </c>
      <c r="C15" s="20" t="s">
        <v>248</v>
      </c>
      <c r="D15" s="21" t="s">
        <v>249</v>
      </c>
      <c r="E15" s="21" t="s">
        <v>250</v>
      </c>
      <c r="F15" s="21">
        <v>33</v>
      </c>
      <c r="G15" s="21">
        <v>4</v>
      </c>
      <c r="H15" s="21">
        <v>198</v>
      </c>
      <c r="I15" s="21"/>
      <c r="J15" s="21">
        <v>11</v>
      </c>
      <c r="K15" s="20" t="s">
        <v>6530</v>
      </c>
      <c r="L15" s="21" t="s">
        <v>251</v>
      </c>
      <c r="M15" s="21" t="s">
        <v>157</v>
      </c>
      <c r="N15" s="20" t="s">
        <v>252</v>
      </c>
      <c r="O15" s="21" t="s">
        <v>253</v>
      </c>
      <c r="P15" s="22" t="s">
        <v>254</v>
      </c>
    </row>
    <row r="16" spans="1:16" ht="120" x14ac:dyDescent="0.25">
      <c r="A16" s="23" t="s">
        <v>255</v>
      </c>
      <c r="B16" s="24" t="s">
        <v>256</v>
      </c>
      <c r="C16" s="24" t="s">
        <v>257</v>
      </c>
      <c r="D16" s="25" t="s">
        <v>258</v>
      </c>
      <c r="E16" s="25" t="s">
        <v>259</v>
      </c>
      <c r="F16" s="25">
        <v>41</v>
      </c>
      <c r="G16" s="25">
        <v>17</v>
      </c>
      <c r="H16" s="25">
        <v>1635</v>
      </c>
      <c r="I16" s="25"/>
      <c r="J16" s="25">
        <v>8</v>
      </c>
      <c r="K16" s="24" t="s">
        <v>6531</v>
      </c>
      <c r="L16" s="25" t="s">
        <v>201</v>
      </c>
      <c r="M16" s="25" t="s">
        <v>157</v>
      </c>
      <c r="N16" s="24" t="s">
        <v>260</v>
      </c>
      <c r="O16" s="25" t="s">
        <v>261</v>
      </c>
      <c r="P16" s="26" t="s">
        <v>262</v>
      </c>
    </row>
    <row r="17" spans="1:16" ht="150" x14ac:dyDescent="0.25">
      <c r="A17" s="19" t="s">
        <v>263</v>
      </c>
      <c r="B17" s="20" t="s">
        <v>264</v>
      </c>
      <c r="C17" s="20" t="s">
        <v>265</v>
      </c>
      <c r="D17" s="21" t="s">
        <v>266</v>
      </c>
      <c r="E17" s="21" t="s">
        <v>267</v>
      </c>
      <c r="F17" s="21">
        <v>55</v>
      </c>
      <c r="G17" s="21">
        <v>3</v>
      </c>
      <c r="H17" s="21">
        <v>569</v>
      </c>
      <c r="I17" s="21"/>
      <c r="J17" s="21">
        <v>12</v>
      </c>
      <c r="K17" s="20" t="s">
        <v>6532</v>
      </c>
      <c r="L17" s="21" t="s">
        <v>156</v>
      </c>
      <c r="M17" s="21" t="s">
        <v>157</v>
      </c>
      <c r="N17" s="20" t="s">
        <v>268</v>
      </c>
      <c r="O17" s="21" t="s">
        <v>269</v>
      </c>
      <c r="P17" s="22" t="s">
        <v>270</v>
      </c>
    </row>
    <row r="18" spans="1:16" ht="75" x14ac:dyDescent="0.25">
      <c r="A18" s="23" t="s">
        <v>73</v>
      </c>
      <c r="B18" s="24" t="s">
        <v>74</v>
      </c>
      <c r="C18" s="24" t="s">
        <v>55</v>
      </c>
      <c r="D18" s="25" t="s">
        <v>56</v>
      </c>
      <c r="E18" s="25" t="s">
        <v>271</v>
      </c>
      <c r="F18" s="25"/>
      <c r="G18" s="25"/>
      <c r="H18" s="25"/>
      <c r="I18" s="25"/>
      <c r="J18" s="25"/>
      <c r="K18" s="24" t="s">
        <v>76</v>
      </c>
      <c r="L18" s="25" t="s">
        <v>59</v>
      </c>
      <c r="M18" s="25" t="s">
        <v>21</v>
      </c>
      <c r="N18" s="24"/>
      <c r="O18" s="25" t="s">
        <v>78</v>
      </c>
      <c r="P18" s="26" t="s">
        <v>79</v>
      </c>
    </row>
    <row r="19" spans="1:16" ht="75" x14ac:dyDescent="0.25">
      <c r="A19" s="19" t="s">
        <v>272</v>
      </c>
      <c r="B19" s="20" t="s">
        <v>273</v>
      </c>
      <c r="C19" s="20" t="s">
        <v>191</v>
      </c>
      <c r="D19" s="21" t="s">
        <v>192</v>
      </c>
      <c r="E19" s="21" t="s">
        <v>207</v>
      </c>
      <c r="F19" s="21">
        <v>26</v>
      </c>
      <c r="G19" s="21"/>
      <c r="H19" s="21" t="s">
        <v>274</v>
      </c>
      <c r="I19" s="21"/>
      <c r="J19" s="21">
        <v>2</v>
      </c>
      <c r="K19" s="20"/>
      <c r="L19" s="21" t="s">
        <v>175</v>
      </c>
      <c r="M19" s="21" t="s">
        <v>157</v>
      </c>
      <c r="N19" s="20" t="s">
        <v>275</v>
      </c>
      <c r="O19" s="21"/>
      <c r="P19" s="22" t="s">
        <v>276</v>
      </c>
    </row>
    <row r="20" spans="1:16" ht="409.5" x14ac:dyDescent="0.25">
      <c r="A20" s="23" t="s">
        <v>277</v>
      </c>
      <c r="B20" s="24" t="s">
        <v>278</v>
      </c>
      <c r="C20" s="24" t="s">
        <v>65</v>
      </c>
      <c r="D20" s="25" t="s">
        <v>66</v>
      </c>
      <c r="E20" s="25" t="s">
        <v>279</v>
      </c>
      <c r="F20" s="25">
        <v>9</v>
      </c>
      <c r="G20" s="25">
        <v>3</v>
      </c>
      <c r="H20" s="25" t="s">
        <v>280</v>
      </c>
      <c r="I20" s="25"/>
      <c r="J20" s="25"/>
      <c r="K20" s="24" t="s">
        <v>281</v>
      </c>
      <c r="L20" s="25" t="s">
        <v>70</v>
      </c>
      <c r="M20" s="25" t="s">
        <v>21</v>
      </c>
      <c r="N20" s="24"/>
      <c r="O20" s="25" t="s">
        <v>282</v>
      </c>
      <c r="P20" s="26" t="s">
        <v>283</v>
      </c>
    </row>
    <row r="21" spans="1:16" ht="60" x14ac:dyDescent="0.25">
      <c r="A21" s="19" t="s">
        <v>284</v>
      </c>
      <c r="B21" s="20" t="s">
        <v>285</v>
      </c>
      <c r="C21" s="20" t="s">
        <v>286</v>
      </c>
      <c r="D21" s="21" t="s">
        <v>287</v>
      </c>
      <c r="E21" s="21" t="s">
        <v>288</v>
      </c>
      <c r="F21" s="21"/>
      <c r="G21" s="21"/>
      <c r="H21" s="21">
        <v>1</v>
      </c>
      <c r="I21" s="21"/>
      <c r="J21" s="21"/>
      <c r="K21" s="20" t="s">
        <v>289</v>
      </c>
      <c r="L21" s="21" t="s">
        <v>290</v>
      </c>
      <c r="M21" s="21" t="s">
        <v>21</v>
      </c>
      <c r="N21" s="20"/>
      <c r="O21" s="21" t="s">
        <v>291</v>
      </c>
      <c r="P21" s="22" t="s">
        <v>292</v>
      </c>
    </row>
    <row r="22" spans="1:16" ht="165" x14ac:dyDescent="0.25">
      <c r="A22" s="23" t="s">
        <v>293</v>
      </c>
      <c r="B22" s="24" t="s">
        <v>294</v>
      </c>
      <c r="C22" s="24" t="s">
        <v>222</v>
      </c>
      <c r="D22" s="25" t="s">
        <v>223</v>
      </c>
      <c r="E22" s="25" t="s">
        <v>155</v>
      </c>
      <c r="F22" s="25">
        <v>53</v>
      </c>
      <c r="G22" s="25">
        <v>8</v>
      </c>
      <c r="H22" s="25">
        <v>1479</v>
      </c>
      <c r="I22" s="25"/>
      <c r="J22" s="25">
        <v>11</v>
      </c>
      <c r="K22" s="24" t="s">
        <v>6533</v>
      </c>
      <c r="L22" s="25" t="s">
        <v>225</v>
      </c>
      <c r="M22" s="25" t="s">
        <v>157</v>
      </c>
      <c r="N22" s="24" t="s">
        <v>295</v>
      </c>
      <c r="O22" s="25" t="s">
        <v>296</v>
      </c>
      <c r="P22" s="26" t="s">
        <v>297</v>
      </c>
    </row>
    <row r="23" spans="1:16" ht="90" x14ac:dyDescent="0.25">
      <c r="A23" s="23" t="s">
        <v>298</v>
      </c>
      <c r="B23" s="24" t="s">
        <v>299</v>
      </c>
      <c r="C23" s="24" t="s">
        <v>265</v>
      </c>
      <c r="D23" s="25" t="s">
        <v>266</v>
      </c>
      <c r="E23" s="25" t="s">
        <v>193</v>
      </c>
      <c r="F23" s="25">
        <v>55</v>
      </c>
      <c r="G23" s="25">
        <v>1</v>
      </c>
      <c r="H23" s="25">
        <v>32</v>
      </c>
      <c r="I23" s="25"/>
      <c r="J23" s="25">
        <v>14</v>
      </c>
      <c r="K23" s="24" t="s">
        <v>6534</v>
      </c>
      <c r="L23" s="25" t="s">
        <v>156</v>
      </c>
      <c r="M23" s="25" t="s">
        <v>157</v>
      </c>
      <c r="N23" s="24" t="s">
        <v>300</v>
      </c>
      <c r="O23" s="25" t="s">
        <v>301</v>
      </c>
      <c r="P23" s="26" t="s">
        <v>302</v>
      </c>
    </row>
    <row r="24" spans="1:16" ht="60" x14ac:dyDescent="0.25">
      <c r="A24" s="19" t="s">
        <v>90</v>
      </c>
      <c r="B24" s="20" t="s">
        <v>303</v>
      </c>
      <c r="C24" s="20" t="s">
        <v>92</v>
      </c>
      <c r="D24" s="21" t="s">
        <v>93</v>
      </c>
      <c r="E24" s="21" t="s">
        <v>304</v>
      </c>
      <c r="F24" s="21"/>
      <c r="G24" s="21"/>
      <c r="H24" s="21"/>
      <c r="I24" s="21"/>
      <c r="J24" s="21"/>
      <c r="K24" s="20" t="s">
        <v>94</v>
      </c>
      <c r="L24" s="21" t="s">
        <v>95</v>
      </c>
      <c r="M24" s="21" t="s">
        <v>21</v>
      </c>
      <c r="N24" s="20"/>
      <c r="O24" s="21" t="s">
        <v>305</v>
      </c>
      <c r="P24" s="22" t="s">
        <v>99</v>
      </c>
    </row>
    <row r="25" spans="1:16" ht="60" x14ac:dyDescent="0.25">
      <c r="A25" s="23" t="s">
        <v>306</v>
      </c>
      <c r="B25" s="24" t="s">
        <v>307</v>
      </c>
      <c r="C25" s="24" t="s">
        <v>308</v>
      </c>
      <c r="D25" s="25" t="s">
        <v>309</v>
      </c>
      <c r="E25" s="25" t="s">
        <v>310</v>
      </c>
      <c r="F25" s="25">
        <v>35</v>
      </c>
      <c r="G25" s="25">
        <v>1</v>
      </c>
      <c r="H25" s="25" t="s">
        <v>311</v>
      </c>
      <c r="I25" s="25"/>
      <c r="J25" s="25"/>
      <c r="K25" s="24" t="s">
        <v>312</v>
      </c>
      <c r="L25" s="25" t="s">
        <v>313</v>
      </c>
      <c r="M25" s="25" t="s">
        <v>21</v>
      </c>
      <c r="N25" s="24"/>
      <c r="O25" s="25" t="s">
        <v>314</v>
      </c>
      <c r="P25" s="26" t="s">
        <v>315</v>
      </c>
    </row>
    <row r="26" spans="1:16" ht="75" x14ac:dyDescent="0.25">
      <c r="A26" s="19" t="s">
        <v>316</v>
      </c>
      <c r="B26" s="20" t="s">
        <v>317</v>
      </c>
      <c r="C26" s="20" t="s">
        <v>318</v>
      </c>
      <c r="D26" s="21" t="s">
        <v>319</v>
      </c>
      <c r="E26" s="21" t="s">
        <v>320</v>
      </c>
      <c r="F26" s="21">
        <v>18</v>
      </c>
      <c r="G26" s="21">
        <v>12</v>
      </c>
      <c r="H26" s="21">
        <v>1442</v>
      </c>
      <c r="I26" s="21"/>
      <c r="J26" s="21"/>
      <c r="K26" s="20" t="s">
        <v>321</v>
      </c>
      <c r="L26" s="21" t="s">
        <v>322</v>
      </c>
      <c r="M26" s="21" t="s">
        <v>323</v>
      </c>
      <c r="N26" s="20" t="s">
        <v>324</v>
      </c>
      <c r="O26" s="21" t="s">
        <v>325</v>
      </c>
      <c r="P26" s="22" t="s">
        <v>326</v>
      </c>
    </row>
    <row r="27" spans="1:16" ht="90" x14ac:dyDescent="0.25">
      <c r="A27" s="23" t="s">
        <v>327</v>
      </c>
      <c r="B27" s="24" t="s">
        <v>328</v>
      </c>
      <c r="C27" s="24" t="s">
        <v>102</v>
      </c>
      <c r="D27" s="25" t="s">
        <v>103</v>
      </c>
      <c r="E27" s="25" t="s">
        <v>329</v>
      </c>
      <c r="F27" s="25">
        <v>57</v>
      </c>
      <c r="G27" s="25">
        <v>17</v>
      </c>
      <c r="H27" s="25">
        <v>1136</v>
      </c>
      <c r="I27" s="25"/>
      <c r="J27" s="25"/>
      <c r="K27" s="24" t="s">
        <v>330</v>
      </c>
      <c r="L27" s="25" t="s">
        <v>106</v>
      </c>
      <c r="M27" s="25" t="s">
        <v>21</v>
      </c>
      <c r="N27" s="24"/>
      <c r="O27" s="25" t="s">
        <v>331</v>
      </c>
      <c r="P27" s="26" t="s">
        <v>332</v>
      </c>
    </row>
    <row r="28" spans="1:16" ht="45" x14ac:dyDescent="0.25">
      <c r="A28" s="19" t="s">
        <v>333</v>
      </c>
      <c r="B28" s="20" t="s">
        <v>334</v>
      </c>
      <c r="C28" s="20" t="s">
        <v>335</v>
      </c>
      <c r="D28" s="21" t="s">
        <v>336</v>
      </c>
      <c r="E28" s="21" t="s">
        <v>337</v>
      </c>
      <c r="F28" s="21">
        <v>4</v>
      </c>
      <c r="G28" s="21"/>
      <c r="H28" s="21">
        <v>1150264</v>
      </c>
      <c r="I28" s="21"/>
      <c r="J28" s="21"/>
      <c r="K28" s="20" t="s">
        <v>338</v>
      </c>
      <c r="L28" s="21" t="s">
        <v>339</v>
      </c>
      <c r="M28" s="21" t="s">
        <v>21</v>
      </c>
      <c r="N28" s="20"/>
      <c r="O28" s="21" t="s">
        <v>340</v>
      </c>
      <c r="P28" s="22" t="s">
        <v>341</v>
      </c>
    </row>
    <row r="29" spans="1:16" ht="90" x14ac:dyDescent="0.25">
      <c r="A29" s="23" t="s">
        <v>342</v>
      </c>
      <c r="B29" s="24" t="s">
        <v>343</v>
      </c>
      <c r="C29" s="24" t="s">
        <v>344</v>
      </c>
      <c r="D29" s="25" t="s">
        <v>345</v>
      </c>
      <c r="E29" s="25" t="s">
        <v>346</v>
      </c>
      <c r="F29" s="25">
        <v>188</v>
      </c>
      <c r="G29" s="25">
        <v>45637</v>
      </c>
      <c r="H29" s="25" t="s">
        <v>347</v>
      </c>
      <c r="I29" s="25"/>
      <c r="J29" s="25"/>
      <c r="K29" s="24" t="s">
        <v>348</v>
      </c>
      <c r="L29" s="25" t="s">
        <v>349</v>
      </c>
      <c r="M29" s="25" t="s">
        <v>21</v>
      </c>
      <c r="N29" s="24" t="s">
        <v>350</v>
      </c>
      <c r="O29" s="25" t="s">
        <v>351</v>
      </c>
      <c r="P29" s="26" t="s">
        <v>352</v>
      </c>
    </row>
    <row r="30" spans="1:16" ht="75" x14ac:dyDescent="0.25">
      <c r="A30" s="19" t="s">
        <v>353</v>
      </c>
      <c r="B30" s="20" t="s">
        <v>354</v>
      </c>
      <c r="C30" s="20" t="s">
        <v>355</v>
      </c>
      <c r="D30" s="21" t="s">
        <v>356</v>
      </c>
      <c r="E30" s="21" t="s">
        <v>174</v>
      </c>
      <c r="F30" s="21">
        <v>53</v>
      </c>
      <c r="G30" s="21">
        <v>11</v>
      </c>
      <c r="H30" s="21">
        <v>712</v>
      </c>
      <c r="I30" s="21"/>
      <c r="J30" s="21">
        <v>11</v>
      </c>
      <c r="K30" s="20" t="s">
        <v>6535</v>
      </c>
      <c r="L30" s="21" t="s">
        <v>357</v>
      </c>
      <c r="M30" s="21" t="s">
        <v>157</v>
      </c>
      <c r="N30" s="20"/>
      <c r="O30" s="21" t="s">
        <v>358</v>
      </c>
      <c r="P30" s="22" t="s">
        <v>359</v>
      </c>
    </row>
    <row r="31" spans="1:16" ht="105" x14ac:dyDescent="0.25">
      <c r="A31" s="23" t="s">
        <v>360</v>
      </c>
      <c r="B31" s="24" t="s">
        <v>361</v>
      </c>
      <c r="C31" s="24" t="s">
        <v>362</v>
      </c>
      <c r="D31" s="25" t="s">
        <v>363</v>
      </c>
      <c r="E31" s="25" t="s">
        <v>224</v>
      </c>
      <c r="F31" s="25">
        <v>123</v>
      </c>
      <c r="G31" s="25">
        <v>2</v>
      </c>
      <c r="H31" s="25">
        <v>351</v>
      </c>
      <c r="I31" s="25"/>
      <c r="J31" s="25">
        <v>9</v>
      </c>
      <c r="K31" s="24" t="s">
        <v>6536</v>
      </c>
      <c r="L31" s="25" t="s">
        <v>225</v>
      </c>
      <c r="M31" s="25" t="s">
        <v>157</v>
      </c>
      <c r="N31" s="24" t="s">
        <v>364</v>
      </c>
      <c r="O31" s="25" t="s">
        <v>365</v>
      </c>
      <c r="P31" s="26" t="s">
        <v>366</v>
      </c>
    </row>
    <row r="32" spans="1:16" ht="150" x14ac:dyDescent="0.25">
      <c r="A32" s="19" t="s">
        <v>367</v>
      </c>
      <c r="B32" s="20" t="s">
        <v>368</v>
      </c>
      <c r="C32" s="20" t="s">
        <v>172</v>
      </c>
      <c r="D32" s="21" t="s">
        <v>173</v>
      </c>
      <c r="E32" s="21" t="s">
        <v>193</v>
      </c>
      <c r="F32" s="21">
        <v>59</v>
      </c>
      <c r="G32" s="21"/>
      <c r="H32" s="21">
        <v>92</v>
      </c>
      <c r="I32" s="21"/>
      <c r="J32" s="21">
        <v>11</v>
      </c>
      <c r="K32" s="20" t="s">
        <v>6537</v>
      </c>
      <c r="L32" s="21" t="s">
        <v>175</v>
      </c>
      <c r="M32" s="21" t="s">
        <v>157</v>
      </c>
      <c r="N32" s="20" t="s">
        <v>369</v>
      </c>
      <c r="O32" s="21" t="s">
        <v>370</v>
      </c>
      <c r="P32" s="22" t="s">
        <v>371</v>
      </c>
    </row>
    <row r="33" spans="1:16" ht="60" x14ac:dyDescent="0.25">
      <c r="A33" s="23" t="s">
        <v>372</v>
      </c>
      <c r="B33" s="24" t="s">
        <v>373</v>
      </c>
      <c r="C33" s="24" t="s">
        <v>374</v>
      </c>
      <c r="D33" s="25" t="s">
        <v>375</v>
      </c>
      <c r="E33" s="25" t="s">
        <v>250</v>
      </c>
      <c r="F33" s="25">
        <v>12</v>
      </c>
      <c r="G33" s="25">
        <v>4</v>
      </c>
      <c r="H33" s="25">
        <v>513</v>
      </c>
      <c r="I33" s="25"/>
      <c r="J33" s="25">
        <v>10</v>
      </c>
      <c r="K33" s="24" t="s">
        <v>1029</v>
      </c>
      <c r="L33" s="25" t="s">
        <v>175</v>
      </c>
      <c r="M33" s="25" t="s">
        <v>157</v>
      </c>
      <c r="N33" s="24" t="s">
        <v>376</v>
      </c>
      <c r="O33" s="25" t="s">
        <v>377</v>
      </c>
      <c r="P33" s="26" t="s">
        <v>378</v>
      </c>
    </row>
    <row r="34" spans="1:16" ht="60" x14ac:dyDescent="0.25">
      <c r="A34" s="19" t="s">
        <v>379</v>
      </c>
      <c r="B34" s="20" t="s">
        <v>380</v>
      </c>
      <c r="C34" s="20" t="s">
        <v>381</v>
      </c>
      <c r="D34" s="21" t="s">
        <v>382</v>
      </c>
      <c r="E34" s="21" t="s">
        <v>383</v>
      </c>
      <c r="F34" s="21">
        <v>51</v>
      </c>
      <c r="G34" s="21">
        <v>6</v>
      </c>
      <c r="H34" s="21">
        <v>615</v>
      </c>
      <c r="I34" s="21"/>
      <c r="J34" s="21"/>
      <c r="K34" s="20" t="s">
        <v>384</v>
      </c>
      <c r="L34" s="21" t="s">
        <v>290</v>
      </c>
      <c r="M34" s="21" t="s">
        <v>385</v>
      </c>
      <c r="N34" s="20" t="s">
        <v>386</v>
      </c>
      <c r="O34" s="21" t="s">
        <v>387</v>
      </c>
      <c r="P34" s="22" t="s">
        <v>388</v>
      </c>
    </row>
    <row r="35" spans="1:16" ht="60" x14ac:dyDescent="0.25">
      <c r="A35" s="23" t="s">
        <v>379</v>
      </c>
      <c r="B35" s="24" t="s">
        <v>389</v>
      </c>
      <c r="C35" s="24" t="s">
        <v>191</v>
      </c>
      <c r="D35" s="25" t="s">
        <v>192</v>
      </c>
      <c r="E35" s="25" t="s">
        <v>207</v>
      </c>
      <c r="F35" s="25">
        <v>26</v>
      </c>
      <c r="G35" s="25"/>
      <c r="H35" s="25" t="s">
        <v>390</v>
      </c>
      <c r="I35" s="25"/>
      <c r="J35" s="25">
        <v>2</v>
      </c>
      <c r="K35" s="24"/>
      <c r="L35" s="25" t="s">
        <v>175</v>
      </c>
      <c r="M35" s="25" t="s">
        <v>157</v>
      </c>
      <c r="N35" s="24" t="s">
        <v>391</v>
      </c>
      <c r="O35" s="25"/>
      <c r="P35" s="26" t="s">
        <v>392</v>
      </c>
    </row>
    <row r="36" spans="1:16" ht="75" x14ac:dyDescent="0.25">
      <c r="A36" s="19" t="s">
        <v>393</v>
      </c>
      <c r="B36" s="20" t="s">
        <v>394</v>
      </c>
      <c r="C36" s="20" t="s">
        <v>395</v>
      </c>
      <c r="D36" s="21" t="s">
        <v>396</v>
      </c>
      <c r="E36" s="21" t="s">
        <v>397</v>
      </c>
      <c r="F36" s="21">
        <v>20</v>
      </c>
      <c r="G36" s="21">
        <v>1</v>
      </c>
      <c r="H36" s="21">
        <v>133</v>
      </c>
      <c r="I36" s="21"/>
      <c r="J36" s="21"/>
      <c r="K36" s="20" t="s">
        <v>398</v>
      </c>
      <c r="L36" s="21" t="s">
        <v>399</v>
      </c>
      <c r="M36" s="21" t="s">
        <v>400</v>
      </c>
      <c r="N36" s="20" t="s">
        <v>401</v>
      </c>
      <c r="O36" s="21" t="s">
        <v>402</v>
      </c>
      <c r="P36" s="22" t="s">
        <v>403</v>
      </c>
    </row>
    <row r="37" spans="1:16" ht="135" x14ac:dyDescent="0.25">
      <c r="A37" s="23" t="s">
        <v>404</v>
      </c>
      <c r="B37" s="24" t="s">
        <v>405</v>
      </c>
      <c r="C37" s="24" t="s">
        <v>248</v>
      </c>
      <c r="D37" s="25" t="s">
        <v>249</v>
      </c>
      <c r="E37" s="25" t="s">
        <v>174</v>
      </c>
      <c r="F37" s="25">
        <v>33</v>
      </c>
      <c r="G37" s="25">
        <v>6</v>
      </c>
      <c r="H37" s="25">
        <v>305</v>
      </c>
      <c r="I37" s="25"/>
      <c r="J37" s="25">
        <v>11</v>
      </c>
      <c r="K37" s="24" t="s">
        <v>6538</v>
      </c>
      <c r="L37" s="25" t="s">
        <v>251</v>
      </c>
      <c r="M37" s="25" t="s">
        <v>157</v>
      </c>
      <c r="N37" s="24" t="s">
        <v>406</v>
      </c>
      <c r="O37" s="25" t="s">
        <v>407</v>
      </c>
      <c r="P37" s="26" t="s">
        <v>408</v>
      </c>
    </row>
    <row r="38" spans="1:16" ht="60" x14ac:dyDescent="0.25">
      <c r="A38" s="19" t="s">
        <v>409</v>
      </c>
      <c r="B38" s="20" t="s">
        <v>410</v>
      </c>
      <c r="C38" s="20" t="s">
        <v>411</v>
      </c>
      <c r="D38" s="21" t="s">
        <v>412</v>
      </c>
      <c r="E38" s="21" t="s">
        <v>215</v>
      </c>
      <c r="F38" s="21">
        <v>18</v>
      </c>
      <c r="G38" s="21">
        <v>2</v>
      </c>
      <c r="H38" s="21">
        <v>470</v>
      </c>
      <c r="I38" s="21"/>
      <c r="J38" s="21">
        <v>10</v>
      </c>
      <c r="K38" s="20" t="s">
        <v>6544</v>
      </c>
      <c r="L38" s="21" t="s">
        <v>413</v>
      </c>
      <c r="M38" s="21" t="s">
        <v>157</v>
      </c>
      <c r="N38" s="20" t="s">
        <v>414</v>
      </c>
      <c r="O38" s="21" t="s">
        <v>415</v>
      </c>
      <c r="P38" s="22" t="s">
        <v>416</v>
      </c>
    </row>
    <row r="39" spans="1:16" ht="180" x14ac:dyDescent="0.25">
      <c r="A39" s="23" t="s">
        <v>417</v>
      </c>
      <c r="B39" s="24" t="s">
        <v>418</v>
      </c>
      <c r="C39" s="24" t="s">
        <v>419</v>
      </c>
      <c r="D39" s="25" t="s">
        <v>420</v>
      </c>
      <c r="E39" s="25" t="s">
        <v>421</v>
      </c>
      <c r="F39" s="25">
        <v>22</v>
      </c>
      <c r="G39" s="25">
        <v>12</v>
      </c>
      <c r="H39" s="25">
        <v>1734</v>
      </c>
      <c r="I39" s="25"/>
      <c r="J39" s="25">
        <v>18</v>
      </c>
      <c r="K39" s="24" t="s">
        <v>1051</v>
      </c>
      <c r="L39" s="25" t="s">
        <v>201</v>
      </c>
      <c r="M39" s="25" t="s">
        <v>157</v>
      </c>
      <c r="N39" s="24" t="s">
        <v>422</v>
      </c>
      <c r="O39" s="25" t="s">
        <v>423</v>
      </c>
      <c r="P39" s="26" t="s">
        <v>424</v>
      </c>
    </row>
    <row r="40" spans="1:16" ht="60" x14ac:dyDescent="0.25">
      <c r="A40" s="19" t="s">
        <v>425</v>
      </c>
      <c r="B40" s="20" t="s">
        <v>426</v>
      </c>
      <c r="C40" s="20" t="s">
        <v>419</v>
      </c>
      <c r="D40" s="21" t="s">
        <v>420</v>
      </c>
      <c r="E40" s="21" t="s">
        <v>224</v>
      </c>
      <c r="F40" s="21">
        <v>22</v>
      </c>
      <c r="G40" s="21">
        <v>2</v>
      </c>
      <c r="H40" s="21">
        <v>204</v>
      </c>
      <c r="I40" s="21"/>
      <c r="J40" s="21">
        <v>18</v>
      </c>
      <c r="K40" s="20" t="s">
        <v>703</v>
      </c>
      <c r="L40" s="21" t="s">
        <v>201</v>
      </c>
      <c r="M40" s="21" t="s">
        <v>157</v>
      </c>
      <c r="N40" s="20" t="s">
        <v>427</v>
      </c>
      <c r="O40" s="21" t="s">
        <v>428</v>
      </c>
      <c r="P40" s="22" t="s">
        <v>429</v>
      </c>
    </row>
    <row r="41" spans="1:16" ht="60" x14ac:dyDescent="0.25">
      <c r="A41" s="23" t="s">
        <v>430</v>
      </c>
      <c r="B41" s="31" t="s">
        <v>431</v>
      </c>
      <c r="C41" s="24" t="s">
        <v>163</v>
      </c>
      <c r="D41" s="25" t="s">
        <v>164</v>
      </c>
      <c r="E41" s="25" t="s">
        <v>432</v>
      </c>
      <c r="F41" s="25">
        <v>9</v>
      </c>
      <c r="G41" s="25">
        <v>1</v>
      </c>
      <c r="H41" s="25">
        <v>44</v>
      </c>
      <c r="I41" s="25"/>
      <c r="J41" s="25"/>
      <c r="K41" s="24" t="s">
        <v>433</v>
      </c>
      <c r="L41" s="25" t="s">
        <v>167</v>
      </c>
      <c r="M41" s="25" t="s">
        <v>21</v>
      </c>
      <c r="N41" s="24"/>
      <c r="O41" s="25" t="s">
        <v>434</v>
      </c>
      <c r="P41" s="26" t="s">
        <v>435</v>
      </c>
    </row>
    <row r="42" spans="1:16" x14ac:dyDescent="0.25">
      <c r="A42" s="19"/>
      <c r="B42" s="20"/>
      <c r="C42" s="20"/>
      <c r="D42" s="21"/>
      <c r="E42" s="21"/>
      <c r="F42" s="21"/>
      <c r="G42" s="21"/>
      <c r="H42" s="21"/>
      <c r="I42" s="21"/>
      <c r="J42" s="21"/>
      <c r="K42" s="20"/>
      <c r="L42" s="21"/>
      <c r="M42" s="21"/>
      <c r="N42" s="20"/>
      <c r="O42" s="21"/>
      <c r="P42" s="22"/>
    </row>
    <row r="43" spans="1:16" x14ac:dyDescent="0.25">
      <c r="A43" s="23"/>
      <c r="B43" s="24"/>
      <c r="C43" s="24"/>
      <c r="D43" s="25"/>
      <c r="E43" s="25"/>
      <c r="F43" s="25"/>
      <c r="G43" s="25"/>
      <c r="H43" s="25"/>
      <c r="I43" s="25"/>
      <c r="J43" s="25"/>
      <c r="K43" s="24"/>
      <c r="L43" s="25"/>
      <c r="M43" s="25"/>
      <c r="N43" s="24"/>
      <c r="O43" s="25"/>
      <c r="P43" s="26"/>
    </row>
    <row r="44" spans="1:16" x14ac:dyDescent="0.25">
      <c r="A44" s="19"/>
      <c r="B44" s="20"/>
      <c r="C44" s="20"/>
      <c r="D44" s="21"/>
      <c r="E44" s="21"/>
      <c r="F44" s="21"/>
      <c r="G44" s="21"/>
      <c r="H44" s="21"/>
      <c r="I44" s="21"/>
      <c r="J44" s="21"/>
      <c r="K44" s="20"/>
      <c r="L44" s="21"/>
      <c r="M44" s="21"/>
      <c r="N44" s="20"/>
      <c r="O44" s="21"/>
      <c r="P44" s="22"/>
    </row>
    <row r="45" spans="1:16" x14ac:dyDescent="0.25">
      <c r="A45" s="23"/>
      <c r="B45" s="24"/>
      <c r="C45" s="24"/>
      <c r="D45" s="25"/>
      <c r="E45" s="25"/>
      <c r="F45" s="25"/>
      <c r="G45" s="25"/>
      <c r="H45" s="25"/>
      <c r="I45" s="25"/>
      <c r="J45" s="25"/>
      <c r="K45" s="24"/>
      <c r="L45" s="25"/>
      <c r="M45" s="25"/>
      <c r="N45" s="24"/>
      <c r="O45" s="25"/>
      <c r="P45" s="26"/>
    </row>
    <row r="46" spans="1:16" x14ac:dyDescent="0.25">
      <c r="A46" s="19"/>
      <c r="B46" s="20"/>
      <c r="C46" s="20"/>
      <c r="D46" s="21"/>
      <c r="E46" s="21"/>
      <c r="F46" s="21"/>
      <c r="G46" s="21"/>
      <c r="H46" s="21"/>
      <c r="I46" s="21"/>
      <c r="J46" s="21"/>
      <c r="K46" s="20"/>
      <c r="L46" s="21"/>
      <c r="M46" s="21"/>
      <c r="N46" s="20"/>
      <c r="O46" s="21"/>
      <c r="P46" s="22"/>
    </row>
    <row r="47" spans="1:16" ht="15" customHeight="1" x14ac:dyDescent="0.25">
      <c r="A47" s="23"/>
      <c r="B47" s="24"/>
      <c r="C47" s="24"/>
      <c r="D47" s="25"/>
      <c r="E47" s="25"/>
      <c r="F47" s="25"/>
      <c r="G47" s="25"/>
      <c r="H47" s="25"/>
      <c r="I47" s="25"/>
      <c r="J47" s="25"/>
      <c r="K47" s="24"/>
      <c r="L47" s="25"/>
      <c r="M47" s="25"/>
      <c r="N47" s="24"/>
      <c r="O47" s="25"/>
      <c r="P47" s="26"/>
    </row>
    <row r="48" spans="1:16" x14ac:dyDescent="0.25">
      <c r="A48" s="19"/>
      <c r="B48" s="20"/>
      <c r="C48" s="20"/>
      <c r="D48" s="21"/>
      <c r="E48" s="21"/>
      <c r="F48" s="21"/>
      <c r="G48" s="21"/>
      <c r="H48" s="21"/>
      <c r="I48" s="21"/>
      <c r="J48" s="21"/>
      <c r="K48" s="20"/>
      <c r="L48" s="21"/>
      <c r="M48" s="21"/>
      <c r="N48" s="20"/>
      <c r="O48" s="21"/>
      <c r="P48" s="22"/>
    </row>
    <row r="49" spans="1:16" x14ac:dyDescent="0.25">
      <c r="A49" s="23"/>
      <c r="B49" s="24"/>
      <c r="C49" s="24"/>
      <c r="D49" s="25"/>
      <c r="E49" s="25"/>
      <c r="F49" s="25"/>
      <c r="G49" s="25"/>
      <c r="H49" s="25"/>
      <c r="I49" s="25"/>
      <c r="J49" s="25"/>
      <c r="K49" s="24"/>
      <c r="L49" s="25"/>
      <c r="M49" s="25"/>
      <c r="N49" s="24"/>
      <c r="O49" s="25"/>
      <c r="P49" s="26"/>
    </row>
    <row r="50" spans="1:16" x14ac:dyDescent="0.25">
      <c r="A50" s="19"/>
      <c r="B50" s="20"/>
      <c r="C50" s="20"/>
      <c r="D50" s="21"/>
      <c r="E50" s="21"/>
      <c r="F50" s="21"/>
      <c r="G50" s="21"/>
      <c r="H50" s="21"/>
      <c r="I50" s="21"/>
      <c r="J50" s="21"/>
      <c r="K50" s="20"/>
      <c r="L50" s="21"/>
      <c r="M50" s="21"/>
      <c r="N50" s="20"/>
      <c r="O50" s="21"/>
      <c r="P50" s="22"/>
    </row>
    <row r="51" spans="1:16" x14ac:dyDescent="0.25">
      <c r="A51" s="23"/>
      <c r="B51" s="24"/>
      <c r="C51" s="24"/>
      <c r="D51" s="25"/>
      <c r="E51" s="25"/>
      <c r="F51" s="25"/>
      <c r="G51" s="25"/>
      <c r="H51" s="25"/>
      <c r="I51" s="25"/>
      <c r="J51" s="25"/>
      <c r="K51" s="24"/>
      <c r="L51" s="25"/>
      <c r="M51" s="25"/>
      <c r="N51" s="24"/>
      <c r="O51" s="25"/>
      <c r="P51" s="26"/>
    </row>
    <row r="52" spans="1:16" x14ac:dyDescent="0.25">
      <c r="A52" s="19"/>
      <c r="B52" s="20"/>
      <c r="C52" s="20"/>
      <c r="D52" s="21"/>
      <c r="E52" s="21"/>
      <c r="F52" s="21"/>
      <c r="G52" s="21"/>
      <c r="H52" s="21"/>
      <c r="I52" s="21"/>
      <c r="J52" s="21"/>
      <c r="K52" s="20"/>
      <c r="L52" s="21"/>
      <c r="M52" s="21"/>
      <c r="N52" s="20"/>
      <c r="O52" s="21"/>
      <c r="P52" s="22"/>
    </row>
    <row r="53" spans="1:16" x14ac:dyDescent="0.25">
      <c r="A53" s="23"/>
      <c r="B53" s="24"/>
      <c r="C53" s="24"/>
      <c r="D53" s="25"/>
      <c r="E53" s="25"/>
      <c r="F53" s="25"/>
      <c r="G53" s="25"/>
      <c r="H53" s="25"/>
      <c r="I53" s="25"/>
      <c r="J53" s="25"/>
      <c r="K53" s="24"/>
      <c r="L53" s="25"/>
      <c r="M53" s="25"/>
      <c r="N53" s="24"/>
      <c r="O53" s="25"/>
      <c r="P53" s="26"/>
    </row>
    <row r="54" spans="1:16" x14ac:dyDescent="0.25">
      <c r="A54" s="19"/>
      <c r="B54" s="20"/>
      <c r="C54" s="20"/>
      <c r="D54" s="21"/>
      <c r="E54" s="21"/>
      <c r="F54" s="21"/>
      <c r="G54" s="21"/>
      <c r="H54" s="21"/>
      <c r="I54" s="21"/>
      <c r="J54" s="21"/>
      <c r="K54" s="20"/>
      <c r="L54" s="21"/>
      <c r="M54" s="21"/>
      <c r="N54" s="20"/>
      <c r="O54" s="21"/>
      <c r="P54" s="22"/>
    </row>
    <row r="55" spans="1:16" x14ac:dyDescent="0.25">
      <c r="A55" s="23"/>
      <c r="B55" s="24"/>
      <c r="C55" s="24"/>
      <c r="D55" s="25"/>
      <c r="E55" s="25"/>
      <c r="F55" s="25"/>
      <c r="G55" s="25"/>
      <c r="H55" s="25"/>
      <c r="I55" s="25"/>
      <c r="J55" s="25"/>
      <c r="K55" s="24"/>
      <c r="L55" s="25"/>
      <c r="M55" s="25"/>
      <c r="N55" s="24"/>
      <c r="O55" s="25"/>
      <c r="P55" s="26"/>
    </row>
    <row r="56" spans="1:16" x14ac:dyDescent="0.25">
      <c r="A56" s="19"/>
      <c r="B56" s="20"/>
      <c r="C56" s="20"/>
      <c r="D56" s="21"/>
      <c r="E56" s="21"/>
      <c r="F56" s="21"/>
      <c r="G56" s="21"/>
      <c r="H56" s="21"/>
      <c r="I56" s="21"/>
      <c r="J56" s="21"/>
      <c r="K56" s="20"/>
      <c r="L56" s="21"/>
      <c r="M56" s="21"/>
      <c r="N56" s="20"/>
      <c r="O56" s="21"/>
      <c r="P56" s="22"/>
    </row>
    <row r="57" spans="1:16" x14ac:dyDescent="0.25">
      <c r="A57" s="23"/>
      <c r="B57" s="24"/>
      <c r="C57" s="24"/>
      <c r="D57" s="25"/>
      <c r="E57" s="25"/>
      <c r="F57" s="25"/>
      <c r="G57" s="25"/>
      <c r="H57" s="25"/>
      <c r="I57" s="25"/>
      <c r="J57" s="25"/>
      <c r="K57" s="24"/>
      <c r="L57" s="25"/>
      <c r="M57" s="25"/>
      <c r="N57" s="24"/>
      <c r="O57" s="25"/>
      <c r="P57" s="26"/>
    </row>
    <row r="58" spans="1:16" x14ac:dyDescent="0.25">
      <c r="A58" s="19"/>
      <c r="B58" s="20"/>
      <c r="C58" s="20"/>
      <c r="D58" s="21"/>
      <c r="E58" s="21"/>
      <c r="F58" s="21"/>
      <c r="G58" s="21"/>
      <c r="H58" s="21"/>
      <c r="I58" s="21"/>
      <c r="J58" s="21"/>
      <c r="K58" s="20"/>
      <c r="L58" s="21"/>
      <c r="M58" s="21"/>
      <c r="N58" s="20"/>
      <c r="O58" s="21"/>
      <c r="P58" s="22"/>
    </row>
    <row r="59" spans="1:16" x14ac:dyDescent="0.25">
      <c r="A59" s="23"/>
      <c r="B59" s="24"/>
      <c r="C59" s="24"/>
      <c r="D59" s="25"/>
      <c r="E59" s="25"/>
      <c r="F59" s="25"/>
      <c r="G59" s="25"/>
      <c r="H59" s="25"/>
      <c r="I59" s="25"/>
      <c r="J59" s="25"/>
      <c r="K59" s="24"/>
      <c r="L59" s="25"/>
      <c r="M59" s="25"/>
      <c r="N59" s="24"/>
      <c r="O59" s="25"/>
      <c r="P59" s="26"/>
    </row>
    <row r="60" spans="1:16" x14ac:dyDescent="0.25">
      <c r="A60" s="19"/>
      <c r="B60" s="20"/>
      <c r="C60" s="20"/>
      <c r="D60" s="21"/>
      <c r="E60" s="21"/>
      <c r="F60" s="21"/>
      <c r="G60" s="21"/>
      <c r="H60" s="21"/>
      <c r="I60" s="21"/>
      <c r="J60" s="21"/>
      <c r="K60" s="20"/>
      <c r="L60" s="21"/>
      <c r="M60" s="21"/>
      <c r="N60" s="20"/>
      <c r="O60" s="21"/>
      <c r="P60" s="22"/>
    </row>
    <row r="61" spans="1:16" x14ac:dyDescent="0.25">
      <c r="A61" s="23"/>
      <c r="B61" s="24"/>
      <c r="C61" s="24"/>
      <c r="D61" s="25"/>
      <c r="E61" s="25"/>
      <c r="F61" s="25"/>
      <c r="G61" s="25"/>
      <c r="H61" s="25"/>
      <c r="I61" s="25"/>
      <c r="J61" s="25"/>
      <c r="K61" s="24"/>
      <c r="L61" s="25"/>
      <c r="M61" s="25"/>
      <c r="N61" s="24"/>
      <c r="O61" s="25"/>
      <c r="P61" s="26"/>
    </row>
    <row r="62" spans="1:16" x14ac:dyDescent="0.25">
      <c r="A62" s="19"/>
      <c r="B62" s="20"/>
      <c r="C62" s="20"/>
      <c r="D62" s="21"/>
      <c r="E62" s="21"/>
      <c r="F62" s="21"/>
      <c r="G62" s="21"/>
      <c r="H62" s="21"/>
      <c r="I62" s="21"/>
      <c r="J62" s="21"/>
      <c r="K62" s="20"/>
      <c r="L62" s="21"/>
      <c r="M62" s="21"/>
      <c r="N62" s="20"/>
      <c r="O62" s="21"/>
      <c r="P62" s="22"/>
    </row>
    <row r="63" spans="1:16" x14ac:dyDescent="0.25">
      <c r="A63" s="23"/>
      <c r="B63" s="24"/>
      <c r="C63" s="24"/>
      <c r="D63" s="25"/>
      <c r="E63" s="25"/>
      <c r="F63" s="25"/>
      <c r="G63" s="25"/>
      <c r="H63" s="25"/>
      <c r="I63" s="25"/>
      <c r="J63" s="25"/>
      <c r="K63" s="24"/>
      <c r="L63" s="25"/>
      <c r="M63" s="25"/>
      <c r="N63" s="24"/>
      <c r="O63" s="25"/>
      <c r="P63" s="26"/>
    </row>
    <row r="64" spans="1:16" x14ac:dyDescent="0.25">
      <c r="A64" s="19"/>
      <c r="B64" s="20"/>
      <c r="C64" s="20"/>
      <c r="D64" s="21"/>
      <c r="E64" s="21"/>
      <c r="F64" s="21"/>
      <c r="G64" s="21"/>
      <c r="H64" s="21"/>
      <c r="I64" s="21"/>
      <c r="J64" s="21"/>
      <c r="K64" s="20"/>
      <c r="L64" s="21"/>
      <c r="M64" s="21"/>
      <c r="N64" s="20"/>
      <c r="O64" s="21"/>
      <c r="P64" s="22"/>
    </row>
    <row r="65" spans="1:16" x14ac:dyDescent="0.25">
      <c r="A65" s="23"/>
      <c r="B65" s="24"/>
      <c r="C65" s="24"/>
      <c r="D65" s="25"/>
      <c r="E65" s="25"/>
      <c r="F65" s="25"/>
      <c r="G65" s="25"/>
      <c r="H65" s="25"/>
      <c r="I65" s="25"/>
      <c r="J65" s="25"/>
      <c r="K65" s="24"/>
      <c r="L65" s="25"/>
      <c r="M65" s="25"/>
      <c r="N65" s="24"/>
      <c r="O65" s="25"/>
      <c r="P65" s="26"/>
    </row>
    <row r="66" spans="1:16" x14ac:dyDescent="0.25">
      <c r="A66" s="19"/>
      <c r="B66" s="20"/>
      <c r="C66" s="20"/>
      <c r="D66" s="21"/>
      <c r="E66" s="21"/>
      <c r="F66" s="21"/>
      <c r="G66" s="21"/>
      <c r="H66" s="21"/>
      <c r="I66" s="21"/>
      <c r="J66" s="21"/>
      <c r="K66" s="20"/>
      <c r="L66" s="21"/>
      <c r="M66" s="21"/>
      <c r="N66" s="20"/>
      <c r="O66" s="21"/>
      <c r="P66" s="22"/>
    </row>
    <row r="67" spans="1:16" x14ac:dyDescent="0.25">
      <c r="A67" s="23"/>
      <c r="B67" s="24"/>
      <c r="C67" s="24"/>
      <c r="D67" s="25"/>
      <c r="E67" s="25"/>
      <c r="F67" s="25"/>
      <c r="G67" s="25"/>
      <c r="H67" s="25"/>
      <c r="I67" s="25"/>
      <c r="J67" s="25"/>
      <c r="K67" s="24"/>
      <c r="L67" s="25"/>
      <c r="M67" s="25"/>
      <c r="N67" s="24"/>
      <c r="O67" s="25"/>
      <c r="P67" s="26"/>
    </row>
    <row r="68" spans="1:16" x14ac:dyDescent="0.25">
      <c r="A68" s="19"/>
      <c r="B68" s="20"/>
      <c r="C68" s="20"/>
      <c r="D68" s="21"/>
      <c r="E68" s="21"/>
      <c r="F68" s="21"/>
      <c r="G68" s="21"/>
      <c r="H68" s="21"/>
      <c r="I68" s="21"/>
      <c r="J68" s="21"/>
      <c r="K68" s="20"/>
      <c r="L68" s="21"/>
      <c r="M68" s="21"/>
      <c r="N68" s="20"/>
      <c r="O68" s="21"/>
      <c r="P68" s="22"/>
    </row>
    <row r="69" spans="1:16" x14ac:dyDescent="0.25">
      <c r="A69" s="23"/>
      <c r="B69" s="24"/>
      <c r="C69" s="24"/>
      <c r="D69" s="25"/>
      <c r="E69" s="25"/>
      <c r="F69" s="25"/>
      <c r="G69" s="25"/>
      <c r="H69" s="25"/>
      <c r="I69" s="25"/>
      <c r="J69" s="25"/>
      <c r="K69" s="24"/>
      <c r="L69" s="25"/>
      <c r="M69" s="25"/>
      <c r="N69" s="24"/>
      <c r="O69" s="25"/>
      <c r="P69" s="26"/>
    </row>
    <row r="70" spans="1:16" x14ac:dyDescent="0.25">
      <c r="A70" s="19"/>
      <c r="B70" s="20"/>
      <c r="C70" s="20"/>
      <c r="D70" s="21"/>
      <c r="E70" s="21"/>
      <c r="F70" s="21"/>
      <c r="G70" s="21"/>
      <c r="H70" s="21"/>
      <c r="I70" s="21"/>
      <c r="J70" s="21"/>
      <c r="K70" s="20"/>
      <c r="L70" s="21"/>
      <c r="M70" s="21"/>
      <c r="N70" s="20"/>
      <c r="O70" s="21"/>
      <c r="P70" s="22"/>
    </row>
    <row r="71" spans="1:16" x14ac:dyDescent="0.25">
      <c r="A71" s="23"/>
      <c r="B71" s="24"/>
      <c r="C71" s="24"/>
      <c r="D71" s="25"/>
      <c r="E71" s="25"/>
      <c r="F71" s="25"/>
      <c r="G71" s="25"/>
      <c r="H71" s="25"/>
      <c r="I71" s="25"/>
      <c r="J71" s="25"/>
      <c r="K71" s="24"/>
      <c r="L71" s="25"/>
      <c r="M71" s="25"/>
      <c r="N71" s="24"/>
      <c r="O71" s="25"/>
      <c r="P71" s="26"/>
    </row>
    <row r="72" spans="1:16" x14ac:dyDescent="0.25">
      <c r="A72" s="19"/>
      <c r="B72" s="20"/>
      <c r="C72" s="20"/>
      <c r="D72" s="21"/>
      <c r="E72" s="21"/>
      <c r="F72" s="21"/>
      <c r="G72" s="21"/>
      <c r="H72" s="21"/>
      <c r="I72" s="21"/>
      <c r="J72" s="21"/>
      <c r="K72" s="20"/>
      <c r="L72" s="21"/>
      <c r="M72" s="21"/>
      <c r="N72" s="20"/>
      <c r="O72" s="21"/>
      <c r="P72" s="22"/>
    </row>
    <row r="73" spans="1:16" x14ac:dyDescent="0.25">
      <c r="A73" s="23"/>
      <c r="B73" s="24"/>
      <c r="C73" s="24"/>
      <c r="D73" s="25"/>
      <c r="E73" s="25"/>
      <c r="F73" s="25"/>
      <c r="G73" s="25"/>
      <c r="H73" s="25"/>
      <c r="I73" s="25"/>
      <c r="J73" s="25"/>
      <c r="K73" s="24"/>
      <c r="L73" s="25"/>
      <c r="M73" s="25"/>
      <c r="N73" s="24"/>
      <c r="O73" s="25"/>
      <c r="P73" s="26"/>
    </row>
    <row r="74" spans="1:16" x14ac:dyDescent="0.25">
      <c r="A74" s="19"/>
      <c r="B74" s="20"/>
      <c r="C74" s="20"/>
      <c r="D74" s="21"/>
      <c r="E74" s="21"/>
      <c r="F74" s="21"/>
      <c r="G74" s="21"/>
      <c r="H74" s="21"/>
      <c r="I74" s="21"/>
      <c r="J74" s="21"/>
      <c r="K74" s="20"/>
      <c r="L74" s="21"/>
      <c r="M74" s="21"/>
      <c r="N74" s="20"/>
      <c r="O74" s="21"/>
      <c r="P74" s="22"/>
    </row>
    <row r="75" spans="1:16" x14ac:dyDescent="0.25">
      <c r="A75" s="23"/>
      <c r="B75" s="24"/>
      <c r="C75" s="24"/>
      <c r="D75" s="25"/>
      <c r="E75" s="25"/>
      <c r="F75" s="25"/>
      <c r="G75" s="25"/>
      <c r="H75" s="25"/>
      <c r="I75" s="25"/>
      <c r="J75" s="25"/>
      <c r="K75" s="24"/>
      <c r="L75" s="25"/>
      <c r="M75" s="25"/>
      <c r="N75" s="24"/>
      <c r="O75" s="25"/>
      <c r="P75" s="26"/>
    </row>
    <row r="76" spans="1:16" x14ac:dyDescent="0.25">
      <c r="A76" s="19"/>
      <c r="B76" s="20"/>
      <c r="C76" s="20"/>
      <c r="D76" s="21"/>
      <c r="E76" s="21"/>
      <c r="F76" s="21"/>
      <c r="G76" s="21"/>
      <c r="H76" s="21"/>
      <c r="I76" s="21"/>
      <c r="J76" s="21"/>
      <c r="K76" s="20"/>
      <c r="L76" s="21"/>
      <c r="M76" s="21"/>
      <c r="N76" s="20"/>
      <c r="O76" s="21"/>
      <c r="P76" s="22"/>
    </row>
    <row r="77" spans="1:16" x14ac:dyDescent="0.25">
      <c r="A77" s="23"/>
      <c r="B77" s="24"/>
      <c r="C77" s="24"/>
      <c r="D77" s="25"/>
      <c r="E77" s="25"/>
      <c r="F77" s="25"/>
      <c r="G77" s="25"/>
      <c r="H77" s="25"/>
      <c r="I77" s="25"/>
      <c r="J77" s="25"/>
      <c r="K77" s="24"/>
      <c r="L77" s="25"/>
      <c r="M77" s="25"/>
      <c r="N77" s="24"/>
      <c r="O77" s="25"/>
      <c r="P77" s="26"/>
    </row>
    <row r="78" spans="1:16" x14ac:dyDescent="0.25">
      <c r="A78" s="19"/>
      <c r="B78" s="20"/>
      <c r="C78" s="20"/>
      <c r="D78" s="21"/>
      <c r="E78" s="21"/>
      <c r="F78" s="21"/>
      <c r="G78" s="21"/>
      <c r="H78" s="21"/>
      <c r="I78" s="21"/>
      <c r="J78" s="21"/>
      <c r="K78" s="20"/>
      <c r="L78" s="21"/>
      <c r="M78" s="21"/>
      <c r="N78" s="20"/>
      <c r="O78" s="21"/>
      <c r="P78" s="22"/>
    </row>
    <row r="79" spans="1:16" x14ac:dyDescent="0.25">
      <c r="A79" s="23"/>
      <c r="B79" s="24"/>
      <c r="C79" s="24"/>
      <c r="D79" s="25"/>
      <c r="E79" s="25"/>
      <c r="F79" s="25"/>
      <c r="G79" s="25"/>
      <c r="H79" s="25"/>
      <c r="I79" s="25"/>
      <c r="J79" s="25"/>
      <c r="K79" s="24"/>
      <c r="L79" s="25"/>
      <c r="M79" s="25"/>
      <c r="N79" s="24"/>
      <c r="O79" s="25"/>
      <c r="P79" s="26"/>
    </row>
    <row r="80" spans="1:16" x14ac:dyDescent="0.25">
      <c r="A80" s="19"/>
      <c r="B80" s="20"/>
      <c r="C80" s="20"/>
      <c r="D80" s="21"/>
      <c r="E80" s="21"/>
      <c r="F80" s="21"/>
      <c r="G80" s="21"/>
      <c r="H80" s="21"/>
      <c r="I80" s="21"/>
      <c r="J80" s="21"/>
      <c r="K80" s="20"/>
      <c r="L80" s="21"/>
      <c r="M80" s="21"/>
      <c r="N80" s="20"/>
      <c r="O80" s="21"/>
      <c r="P80" s="22"/>
    </row>
    <row r="81" spans="1:16" x14ac:dyDescent="0.25">
      <c r="A81" s="23"/>
      <c r="B81" s="24"/>
      <c r="C81" s="24"/>
      <c r="D81" s="25"/>
      <c r="E81" s="25"/>
      <c r="F81" s="25"/>
      <c r="G81" s="25"/>
      <c r="H81" s="25"/>
      <c r="I81" s="25"/>
      <c r="J81" s="25"/>
      <c r="K81" s="24"/>
      <c r="L81" s="25"/>
      <c r="M81" s="25"/>
      <c r="N81" s="24"/>
      <c r="O81" s="25"/>
      <c r="P81" s="26"/>
    </row>
    <row r="82" spans="1:16" x14ac:dyDescent="0.25">
      <c r="A82" s="19"/>
      <c r="B82" s="20"/>
      <c r="C82" s="20"/>
      <c r="D82" s="21"/>
      <c r="E82" s="21"/>
      <c r="F82" s="21"/>
      <c r="G82" s="21"/>
      <c r="H82" s="21"/>
      <c r="I82" s="21"/>
      <c r="J82" s="21"/>
      <c r="K82" s="20"/>
      <c r="L82" s="21"/>
      <c r="M82" s="21"/>
      <c r="N82" s="20"/>
      <c r="O82" s="21"/>
      <c r="P82" s="22"/>
    </row>
    <row r="83" spans="1:16" x14ac:dyDescent="0.25">
      <c r="A83" s="23"/>
      <c r="B83" s="24"/>
      <c r="C83" s="24"/>
      <c r="D83" s="25"/>
      <c r="E83" s="25"/>
      <c r="F83" s="25"/>
      <c r="G83" s="25"/>
      <c r="H83" s="25"/>
      <c r="I83" s="25"/>
      <c r="J83" s="25"/>
      <c r="K83" s="24"/>
      <c r="L83" s="25"/>
      <c r="M83" s="25"/>
      <c r="N83" s="24"/>
      <c r="O83" s="25"/>
      <c r="P83" s="26"/>
    </row>
    <row r="84" spans="1:16" x14ac:dyDescent="0.25">
      <c r="A84" s="19"/>
      <c r="B84" s="20"/>
      <c r="C84" s="20"/>
      <c r="D84" s="21"/>
      <c r="E84" s="21"/>
      <c r="F84" s="21"/>
      <c r="G84" s="21"/>
      <c r="H84" s="21"/>
      <c r="I84" s="21"/>
      <c r="J84" s="21"/>
      <c r="K84" s="20"/>
      <c r="L84" s="21"/>
      <c r="M84" s="21"/>
      <c r="N84" s="20"/>
      <c r="O84" s="21"/>
      <c r="P84" s="22"/>
    </row>
    <row r="85" spans="1:16" x14ac:dyDescent="0.25">
      <c r="A85" s="23"/>
      <c r="B85" s="24"/>
      <c r="C85" s="24"/>
      <c r="D85" s="25"/>
      <c r="E85" s="25"/>
      <c r="F85" s="25"/>
      <c r="G85" s="25"/>
      <c r="H85" s="25"/>
      <c r="I85" s="25"/>
      <c r="J85" s="25"/>
      <c r="K85" s="24"/>
      <c r="L85" s="25"/>
      <c r="M85" s="25"/>
      <c r="N85" s="24"/>
      <c r="O85" s="25"/>
      <c r="P85" s="26"/>
    </row>
    <row r="86" spans="1:16" x14ac:dyDescent="0.25">
      <c r="A86" s="19"/>
      <c r="B86" s="20"/>
      <c r="C86" s="20"/>
      <c r="D86" s="21"/>
      <c r="E86" s="21"/>
      <c r="F86" s="21"/>
      <c r="G86" s="21"/>
      <c r="H86" s="21"/>
      <c r="I86" s="21"/>
      <c r="J86" s="21"/>
      <c r="K86" s="20"/>
      <c r="L86" s="21"/>
      <c r="M86" s="21"/>
      <c r="N86" s="20"/>
      <c r="O86" s="21"/>
      <c r="P86" s="22"/>
    </row>
    <row r="87" spans="1:16" x14ac:dyDescent="0.25">
      <c r="A87" s="23"/>
      <c r="B87" s="24"/>
      <c r="C87" s="24"/>
      <c r="D87" s="25"/>
      <c r="E87" s="25"/>
      <c r="F87" s="25"/>
      <c r="G87" s="25"/>
      <c r="H87" s="25"/>
      <c r="I87" s="25"/>
      <c r="J87" s="25"/>
      <c r="K87" s="24"/>
      <c r="L87" s="25"/>
      <c r="M87" s="25"/>
      <c r="N87" s="24"/>
      <c r="O87" s="25"/>
      <c r="P87" s="26"/>
    </row>
    <row r="88" spans="1:16" x14ac:dyDescent="0.25">
      <c r="A88" s="19"/>
      <c r="B88" s="20"/>
      <c r="C88" s="20"/>
      <c r="D88" s="21"/>
      <c r="E88" s="21"/>
      <c r="F88" s="21"/>
      <c r="G88" s="21"/>
      <c r="H88" s="21"/>
      <c r="I88" s="21"/>
      <c r="J88" s="21"/>
      <c r="K88" s="20"/>
      <c r="L88" s="21"/>
      <c r="M88" s="21"/>
      <c r="N88" s="20"/>
      <c r="O88" s="21"/>
      <c r="P88" s="22"/>
    </row>
    <row r="89" spans="1:16" x14ac:dyDescent="0.25">
      <c r="A89" s="23"/>
      <c r="B89" s="24"/>
      <c r="C89" s="24"/>
      <c r="D89" s="25"/>
      <c r="E89" s="25"/>
      <c r="F89" s="25"/>
      <c r="G89" s="25"/>
      <c r="H89" s="25"/>
      <c r="I89" s="25"/>
      <c r="J89" s="25"/>
      <c r="K89" s="24"/>
      <c r="L89" s="25"/>
      <c r="M89" s="25"/>
      <c r="N89" s="24"/>
      <c r="O89" s="25"/>
      <c r="P89" s="26"/>
    </row>
    <row r="90" spans="1:16" x14ac:dyDescent="0.25">
      <c r="A90" s="19"/>
      <c r="B90" s="20"/>
      <c r="C90" s="20"/>
      <c r="D90" s="21"/>
      <c r="E90" s="21"/>
      <c r="F90" s="21"/>
      <c r="G90" s="21"/>
      <c r="H90" s="21"/>
      <c r="I90" s="21"/>
      <c r="J90" s="21"/>
      <c r="K90" s="20"/>
      <c r="L90" s="21"/>
      <c r="M90" s="21"/>
      <c r="N90" s="20"/>
      <c r="O90" s="21"/>
      <c r="P90" s="22"/>
    </row>
    <row r="91" spans="1:16" x14ac:dyDescent="0.25">
      <c r="A91" s="23"/>
      <c r="B91" s="24"/>
      <c r="C91" s="24"/>
      <c r="D91" s="25"/>
      <c r="E91" s="25"/>
      <c r="F91" s="25"/>
      <c r="G91" s="25"/>
      <c r="H91" s="25"/>
      <c r="I91" s="25"/>
      <c r="J91" s="25"/>
      <c r="K91" s="24"/>
      <c r="L91" s="25"/>
      <c r="M91" s="25"/>
      <c r="N91" s="24"/>
      <c r="O91" s="25"/>
      <c r="P91" s="26"/>
    </row>
    <row r="92" spans="1:16" x14ac:dyDescent="0.25">
      <c r="A92" s="19"/>
      <c r="B92" s="20"/>
      <c r="C92" s="20"/>
      <c r="D92" s="21"/>
      <c r="E92" s="21"/>
      <c r="F92" s="21"/>
      <c r="G92" s="21"/>
      <c r="H92" s="21"/>
      <c r="I92" s="21"/>
      <c r="J92" s="21"/>
      <c r="K92" s="20"/>
      <c r="L92" s="21"/>
      <c r="M92" s="21"/>
      <c r="N92" s="20"/>
      <c r="O92" s="21"/>
      <c r="P92" s="22"/>
    </row>
    <row r="93" spans="1:16" x14ac:dyDescent="0.25">
      <c r="A93" s="23"/>
      <c r="B93" s="24"/>
      <c r="C93" s="24"/>
      <c r="D93" s="25"/>
      <c r="E93" s="25"/>
      <c r="F93" s="25"/>
      <c r="G93" s="25"/>
      <c r="H93" s="25"/>
      <c r="I93" s="25"/>
      <c r="J93" s="25"/>
      <c r="K93" s="24"/>
      <c r="L93" s="25"/>
      <c r="M93" s="25"/>
      <c r="N93" s="24"/>
      <c r="O93" s="25"/>
      <c r="P93" s="26"/>
    </row>
    <row r="94" spans="1:16" x14ac:dyDescent="0.25">
      <c r="A94" s="19"/>
      <c r="B94" s="20"/>
      <c r="C94" s="20"/>
      <c r="D94" s="21"/>
      <c r="E94" s="21"/>
      <c r="F94" s="21"/>
      <c r="G94" s="21"/>
      <c r="H94" s="21"/>
      <c r="I94" s="21"/>
      <c r="J94" s="21"/>
      <c r="K94" s="20"/>
      <c r="L94" s="21"/>
      <c r="M94" s="21"/>
      <c r="N94" s="20"/>
      <c r="O94" s="21"/>
      <c r="P94" s="22"/>
    </row>
    <row r="95" spans="1:16" x14ac:dyDescent="0.25">
      <c r="A95" s="23"/>
      <c r="B95" s="24"/>
      <c r="C95" s="24"/>
      <c r="D95" s="25"/>
      <c r="E95" s="25"/>
      <c r="F95" s="25"/>
      <c r="G95" s="25"/>
      <c r="H95" s="25"/>
      <c r="I95" s="25"/>
      <c r="J95" s="25"/>
      <c r="K95" s="24"/>
      <c r="L95" s="25"/>
      <c r="M95" s="25"/>
      <c r="N95" s="24"/>
      <c r="O95" s="25"/>
      <c r="P95" s="26"/>
    </row>
    <row r="96" spans="1:16" x14ac:dyDescent="0.25">
      <c r="A96" s="19"/>
      <c r="B96" s="20"/>
      <c r="C96" s="20"/>
      <c r="D96" s="21"/>
      <c r="E96" s="21"/>
      <c r="F96" s="21"/>
      <c r="G96" s="21"/>
      <c r="H96" s="21"/>
      <c r="I96" s="21"/>
      <c r="J96" s="21"/>
      <c r="K96" s="20"/>
      <c r="L96" s="21"/>
      <c r="M96" s="21"/>
      <c r="N96" s="20"/>
      <c r="O96" s="21"/>
      <c r="P96" s="22"/>
    </row>
    <row r="97" spans="1:16" x14ac:dyDescent="0.25">
      <c r="A97" s="23"/>
      <c r="B97" s="24"/>
      <c r="C97" s="24"/>
      <c r="D97" s="25"/>
      <c r="E97" s="25"/>
      <c r="F97" s="25"/>
      <c r="G97" s="25"/>
      <c r="H97" s="25"/>
      <c r="I97" s="25"/>
      <c r="J97" s="25"/>
      <c r="K97" s="24"/>
      <c r="L97" s="25"/>
      <c r="M97" s="25"/>
      <c r="N97" s="24"/>
      <c r="O97" s="25"/>
      <c r="P97" s="26"/>
    </row>
    <row r="98" spans="1:16" x14ac:dyDescent="0.25">
      <c r="A98" s="19"/>
      <c r="B98" s="20"/>
      <c r="C98" s="20"/>
      <c r="D98" s="21"/>
      <c r="E98" s="21"/>
      <c r="F98" s="21"/>
      <c r="G98" s="21"/>
      <c r="H98" s="21"/>
      <c r="I98" s="21"/>
      <c r="J98" s="21"/>
      <c r="K98" s="20"/>
      <c r="L98" s="21"/>
      <c r="M98" s="21"/>
      <c r="N98" s="20"/>
      <c r="O98" s="21"/>
      <c r="P98" s="22"/>
    </row>
    <row r="99" spans="1:16" x14ac:dyDescent="0.25">
      <c r="A99" s="23"/>
      <c r="B99" s="24"/>
      <c r="C99" s="24"/>
      <c r="D99" s="25"/>
      <c r="E99" s="25"/>
      <c r="F99" s="25"/>
      <c r="G99" s="25"/>
      <c r="H99" s="25"/>
      <c r="I99" s="25"/>
      <c r="J99" s="25"/>
      <c r="K99" s="24"/>
      <c r="L99" s="25"/>
      <c r="M99" s="25"/>
      <c r="N99" s="24"/>
      <c r="O99" s="25"/>
      <c r="P99" s="26"/>
    </row>
    <row r="100" spans="1:16" x14ac:dyDescent="0.25">
      <c r="A100" s="19"/>
      <c r="B100" s="20"/>
      <c r="C100" s="20"/>
      <c r="D100" s="21"/>
      <c r="E100" s="21"/>
      <c r="F100" s="21"/>
      <c r="G100" s="21"/>
      <c r="H100" s="21"/>
      <c r="I100" s="21"/>
      <c r="J100" s="21"/>
      <c r="K100" s="20"/>
      <c r="L100" s="21"/>
      <c r="M100" s="21"/>
      <c r="N100" s="20"/>
      <c r="O100" s="21"/>
      <c r="P100" s="22"/>
    </row>
    <row r="101" spans="1:16" x14ac:dyDescent="0.25">
      <c r="A101" s="23"/>
      <c r="B101" s="24"/>
      <c r="C101" s="24"/>
      <c r="D101" s="25"/>
      <c r="E101" s="25"/>
      <c r="F101" s="25"/>
      <c r="G101" s="25"/>
      <c r="H101" s="25"/>
      <c r="I101" s="25"/>
      <c r="J101" s="25"/>
      <c r="K101" s="24"/>
      <c r="L101" s="25"/>
      <c r="M101" s="25"/>
      <c r="N101" s="24"/>
      <c r="O101" s="25"/>
      <c r="P101" s="26"/>
    </row>
    <row r="102" spans="1:16" x14ac:dyDescent="0.25">
      <c r="A102" s="19"/>
      <c r="B102" s="20"/>
      <c r="C102" s="20"/>
      <c r="D102" s="21"/>
      <c r="E102" s="21"/>
      <c r="F102" s="21"/>
      <c r="G102" s="21"/>
      <c r="H102" s="21"/>
      <c r="I102" s="21"/>
      <c r="J102" s="21"/>
      <c r="K102" s="20"/>
      <c r="L102" s="21"/>
      <c r="M102" s="21"/>
      <c r="N102" s="20"/>
      <c r="O102" s="21"/>
      <c r="P102" s="22"/>
    </row>
    <row r="103" spans="1:16" x14ac:dyDescent="0.25">
      <c r="A103" s="23"/>
      <c r="B103" s="24"/>
      <c r="C103" s="24"/>
      <c r="D103" s="25"/>
      <c r="E103" s="25"/>
      <c r="F103" s="25"/>
      <c r="G103" s="25"/>
      <c r="H103" s="25"/>
      <c r="I103" s="25"/>
      <c r="J103" s="25"/>
      <c r="K103" s="24"/>
      <c r="L103" s="25"/>
      <c r="M103" s="25"/>
      <c r="N103" s="24"/>
      <c r="O103" s="25"/>
      <c r="P103" s="26"/>
    </row>
    <row r="104" spans="1:16" x14ac:dyDescent="0.25">
      <c r="A104" s="19"/>
      <c r="B104" s="20"/>
      <c r="C104" s="20"/>
      <c r="D104" s="21"/>
      <c r="E104" s="21"/>
      <c r="F104" s="21"/>
      <c r="G104" s="21"/>
      <c r="H104" s="21"/>
      <c r="I104" s="21"/>
      <c r="J104" s="21"/>
      <c r="K104" s="20"/>
      <c r="L104" s="21"/>
      <c r="M104" s="21"/>
      <c r="N104" s="20"/>
      <c r="O104" s="21"/>
      <c r="P104" s="22"/>
    </row>
    <row r="105" spans="1:16" x14ac:dyDescent="0.25">
      <c r="A105" s="23"/>
      <c r="B105" s="24"/>
      <c r="C105" s="24"/>
      <c r="D105" s="25"/>
      <c r="E105" s="25"/>
      <c r="F105" s="25"/>
      <c r="G105" s="25"/>
      <c r="H105" s="25"/>
      <c r="I105" s="25"/>
      <c r="J105" s="25"/>
      <c r="K105" s="24"/>
      <c r="L105" s="25"/>
      <c r="M105" s="25"/>
      <c r="N105" s="24"/>
      <c r="O105" s="25"/>
      <c r="P105" s="26"/>
    </row>
    <row r="106" spans="1:16" x14ac:dyDescent="0.25">
      <c r="A106" s="19"/>
      <c r="B106" s="20"/>
      <c r="C106" s="20"/>
      <c r="D106" s="21"/>
      <c r="E106" s="21"/>
      <c r="F106" s="21"/>
      <c r="G106" s="21"/>
      <c r="H106" s="21"/>
      <c r="I106" s="21"/>
      <c r="J106" s="21"/>
      <c r="K106" s="20"/>
      <c r="L106" s="21"/>
      <c r="M106" s="21"/>
      <c r="N106" s="20"/>
      <c r="O106" s="21"/>
      <c r="P106" s="22"/>
    </row>
    <row r="107" spans="1:16" x14ac:dyDescent="0.25">
      <c r="A107" s="23"/>
      <c r="B107" s="24"/>
      <c r="C107" s="24"/>
      <c r="D107" s="25"/>
      <c r="E107" s="25"/>
      <c r="F107" s="25"/>
      <c r="G107" s="25"/>
      <c r="H107" s="25"/>
      <c r="I107" s="25"/>
      <c r="J107" s="25"/>
      <c r="K107" s="24"/>
      <c r="L107" s="25"/>
      <c r="M107" s="25"/>
      <c r="N107" s="24"/>
      <c r="O107" s="25"/>
      <c r="P107" s="26"/>
    </row>
    <row r="108" spans="1:16" x14ac:dyDescent="0.25">
      <c r="A108" s="19"/>
      <c r="B108" s="20"/>
      <c r="C108" s="20"/>
      <c r="D108" s="21"/>
      <c r="E108" s="21"/>
      <c r="F108" s="21"/>
      <c r="G108" s="21"/>
      <c r="H108" s="21"/>
      <c r="I108" s="21"/>
      <c r="J108" s="21"/>
      <c r="K108" s="20"/>
      <c r="L108" s="21"/>
      <c r="M108" s="21"/>
      <c r="N108" s="20"/>
      <c r="O108" s="21"/>
      <c r="P108" s="22"/>
    </row>
    <row r="109" spans="1:16" x14ac:dyDescent="0.25">
      <c r="A109" s="23"/>
      <c r="B109" s="24"/>
      <c r="C109" s="24"/>
      <c r="D109" s="25"/>
      <c r="E109" s="25"/>
      <c r="F109" s="25"/>
      <c r="G109" s="25"/>
      <c r="H109" s="25"/>
      <c r="I109" s="25"/>
      <c r="J109" s="25"/>
      <c r="K109" s="24"/>
      <c r="L109" s="25"/>
      <c r="M109" s="25"/>
      <c r="N109" s="24"/>
      <c r="O109" s="25"/>
      <c r="P109" s="26"/>
    </row>
    <row r="110" spans="1:16" x14ac:dyDescent="0.25">
      <c r="A110" s="19"/>
      <c r="B110" s="20"/>
      <c r="C110" s="20"/>
      <c r="D110" s="21"/>
      <c r="E110" s="21"/>
      <c r="F110" s="21"/>
      <c r="G110" s="21"/>
      <c r="H110" s="21"/>
      <c r="I110" s="21"/>
      <c r="J110" s="21"/>
      <c r="K110" s="20"/>
      <c r="L110" s="21"/>
      <c r="M110" s="21"/>
      <c r="N110" s="20"/>
      <c r="O110" s="21"/>
      <c r="P110" s="22"/>
    </row>
    <row r="111" spans="1:16" x14ac:dyDescent="0.25">
      <c r="A111" s="23"/>
      <c r="B111" s="24"/>
      <c r="C111" s="24"/>
      <c r="D111" s="25"/>
      <c r="E111" s="25"/>
      <c r="F111" s="25"/>
      <c r="G111" s="25"/>
      <c r="H111" s="25"/>
      <c r="I111" s="25"/>
      <c r="J111" s="25"/>
      <c r="K111" s="24"/>
      <c r="L111" s="25"/>
      <c r="M111" s="25"/>
      <c r="N111" s="24"/>
      <c r="O111" s="25"/>
      <c r="P111" s="26"/>
    </row>
    <row r="112" spans="1:16" x14ac:dyDescent="0.25">
      <c r="A112" s="19"/>
      <c r="B112" s="20"/>
      <c r="C112" s="20"/>
      <c r="D112" s="21"/>
      <c r="E112" s="21"/>
      <c r="F112" s="21"/>
      <c r="G112" s="21"/>
      <c r="H112" s="21"/>
      <c r="I112" s="21"/>
      <c r="J112" s="21"/>
      <c r="K112" s="20"/>
      <c r="L112" s="21"/>
      <c r="M112" s="21"/>
      <c r="N112" s="20"/>
      <c r="O112" s="21"/>
      <c r="P112" s="22"/>
    </row>
    <row r="113" spans="1:16" x14ac:dyDescent="0.25">
      <c r="A113" s="23"/>
      <c r="B113" s="24"/>
      <c r="C113" s="24"/>
      <c r="D113" s="25"/>
      <c r="E113" s="25"/>
      <c r="F113" s="25"/>
      <c r="G113" s="25"/>
      <c r="H113" s="25"/>
      <c r="I113" s="25"/>
      <c r="J113" s="25"/>
      <c r="K113" s="24"/>
      <c r="L113" s="25"/>
      <c r="M113" s="25"/>
      <c r="N113" s="24"/>
      <c r="O113" s="25"/>
      <c r="P113" s="26"/>
    </row>
    <row r="114" spans="1:16" x14ac:dyDescent="0.25">
      <c r="A114" s="19"/>
      <c r="B114" s="20"/>
      <c r="C114" s="20"/>
      <c r="D114" s="21"/>
      <c r="E114" s="21"/>
      <c r="F114" s="21"/>
      <c r="G114" s="21"/>
      <c r="H114" s="21"/>
      <c r="I114" s="21"/>
      <c r="J114" s="21"/>
      <c r="K114" s="20"/>
      <c r="L114" s="21"/>
      <c r="M114" s="21"/>
      <c r="N114" s="20"/>
      <c r="O114" s="21"/>
      <c r="P114" s="22"/>
    </row>
    <row r="115" spans="1:16" x14ac:dyDescent="0.25">
      <c r="A115" s="23"/>
      <c r="B115" s="24"/>
      <c r="C115" s="24"/>
      <c r="D115" s="25"/>
      <c r="E115" s="25"/>
      <c r="F115" s="25"/>
      <c r="G115" s="25"/>
      <c r="H115" s="25"/>
      <c r="I115" s="25"/>
      <c r="J115" s="25"/>
      <c r="K115" s="24"/>
      <c r="L115" s="25"/>
      <c r="M115" s="25"/>
      <c r="N115" s="24"/>
      <c r="O115" s="25"/>
      <c r="P115" s="26"/>
    </row>
    <row r="116" spans="1:16" x14ac:dyDescent="0.25">
      <c r="A116" s="19"/>
      <c r="B116" s="20"/>
      <c r="C116" s="20"/>
      <c r="D116" s="21"/>
      <c r="E116" s="21"/>
      <c r="F116" s="21"/>
      <c r="G116" s="21"/>
      <c r="H116" s="21"/>
      <c r="I116" s="21"/>
      <c r="J116" s="21"/>
      <c r="K116" s="20"/>
      <c r="L116" s="21"/>
      <c r="M116" s="21"/>
      <c r="N116" s="20"/>
      <c r="O116" s="21"/>
      <c r="P116" s="22"/>
    </row>
    <row r="117" spans="1:16" x14ac:dyDescent="0.25">
      <c r="A117" s="23"/>
      <c r="B117" s="24"/>
      <c r="C117" s="24"/>
      <c r="D117" s="25"/>
      <c r="E117" s="25"/>
      <c r="F117" s="25"/>
      <c r="G117" s="25"/>
      <c r="H117" s="25"/>
      <c r="I117" s="25"/>
      <c r="J117" s="25"/>
      <c r="K117" s="24"/>
      <c r="L117" s="25"/>
      <c r="M117" s="25"/>
      <c r="N117" s="24"/>
      <c r="O117" s="25"/>
      <c r="P117" s="26"/>
    </row>
    <row r="118" spans="1:16" x14ac:dyDescent="0.25">
      <c r="A118" s="19"/>
      <c r="B118" s="20"/>
      <c r="C118" s="20"/>
      <c r="D118" s="21"/>
      <c r="E118" s="21"/>
      <c r="F118" s="21"/>
      <c r="G118" s="21"/>
      <c r="H118" s="21"/>
      <c r="I118" s="21"/>
      <c r="J118" s="21"/>
      <c r="K118" s="20"/>
      <c r="L118" s="21"/>
      <c r="M118" s="21"/>
      <c r="N118" s="20"/>
      <c r="O118" s="21"/>
      <c r="P118" s="22"/>
    </row>
    <row r="119" spans="1:16" x14ac:dyDescent="0.25">
      <c r="A119" s="23"/>
      <c r="B119" s="24"/>
      <c r="C119" s="24"/>
      <c r="D119" s="25"/>
      <c r="E119" s="25"/>
      <c r="F119" s="25"/>
      <c r="G119" s="25"/>
      <c r="H119" s="25"/>
      <c r="I119" s="25"/>
      <c r="J119" s="25"/>
      <c r="K119" s="24"/>
      <c r="L119" s="25"/>
      <c r="M119" s="25"/>
      <c r="N119" s="24"/>
      <c r="O119" s="25"/>
      <c r="P119" s="26"/>
    </row>
    <row r="120" spans="1:16" x14ac:dyDescent="0.25">
      <c r="A120" s="19"/>
      <c r="B120" s="20"/>
      <c r="C120" s="20"/>
      <c r="D120" s="21"/>
      <c r="E120" s="21"/>
      <c r="F120" s="21"/>
      <c r="G120" s="21"/>
      <c r="H120" s="21"/>
      <c r="I120" s="21"/>
      <c r="J120" s="21"/>
      <c r="K120" s="20"/>
      <c r="L120" s="21"/>
      <c r="M120" s="21"/>
      <c r="N120" s="20"/>
      <c r="O120" s="21"/>
      <c r="P120" s="22"/>
    </row>
    <row r="121" spans="1:16" x14ac:dyDescent="0.25">
      <c r="A121" s="23"/>
      <c r="B121" s="24"/>
      <c r="C121" s="24"/>
      <c r="D121" s="25"/>
      <c r="E121" s="25"/>
      <c r="F121" s="25"/>
      <c r="G121" s="25"/>
      <c r="H121" s="25"/>
      <c r="I121" s="25"/>
      <c r="J121" s="25"/>
      <c r="K121" s="24"/>
      <c r="L121" s="25"/>
      <c r="M121" s="25"/>
      <c r="N121" s="24"/>
      <c r="O121" s="25"/>
      <c r="P121" s="26"/>
    </row>
    <row r="122" spans="1:16" x14ac:dyDescent="0.25">
      <c r="A122" s="19"/>
      <c r="B122" s="20"/>
      <c r="C122" s="20"/>
      <c r="D122" s="21"/>
      <c r="E122" s="21"/>
      <c r="F122" s="21"/>
      <c r="G122" s="21"/>
      <c r="H122" s="21"/>
      <c r="I122" s="21"/>
      <c r="J122" s="21"/>
      <c r="K122" s="20"/>
      <c r="L122" s="21"/>
      <c r="M122" s="21"/>
      <c r="N122" s="20"/>
      <c r="O122" s="21"/>
      <c r="P122" s="22"/>
    </row>
    <row r="123" spans="1:16" x14ac:dyDescent="0.25">
      <c r="A123" s="23"/>
      <c r="B123" s="24"/>
      <c r="C123" s="24"/>
      <c r="D123" s="25"/>
      <c r="E123" s="25"/>
      <c r="F123" s="25"/>
      <c r="G123" s="25"/>
      <c r="H123" s="25"/>
      <c r="I123" s="25"/>
      <c r="J123" s="25"/>
      <c r="K123" s="24"/>
      <c r="L123" s="25"/>
      <c r="M123" s="25"/>
      <c r="N123" s="24"/>
      <c r="O123" s="25"/>
      <c r="P123" s="26"/>
    </row>
  </sheetData>
  <hyperlinks>
    <hyperlink ref="P9" r:id="rId1" xr:uid="{A6B79DB9-71CE-40F5-ADDC-C2FC85D1BF0E}"/>
    <hyperlink ref="P2" r:id="rId2" xr:uid="{15CA3926-D25A-494A-A1CE-07CFB766B90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4788F-ABC5-47C7-92E9-851F3503F6EC}">
  <dimension ref="A1:P57"/>
  <sheetViews>
    <sheetView workbookViewId="0">
      <selection activeCell="N36" sqref="N36"/>
    </sheetView>
  </sheetViews>
  <sheetFormatPr defaultColWidth="9.140625" defaultRowHeight="15" x14ac:dyDescent="0.25"/>
  <cols>
    <col min="1" max="1" width="33.85546875" style="4" customWidth="1"/>
    <col min="2" max="2" width="32.42578125" style="4" customWidth="1"/>
    <col min="3" max="3" width="30" style="4" customWidth="1"/>
    <col min="4" max="4" width="11.140625" style="5" customWidth="1"/>
    <col min="5" max="5" width="18" style="5" bestFit="1" customWidth="1"/>
    <col min="6" max="6" width="10.140625" style="5" customWidth="1"/>
    <col min="7" max="7" width="9.140625" style="5"/>
    <col min="8" max="8" width="11.7109375" style="5" customWidth="1"/>
    <col min="9" max="9" width="13.140625" style="5" hidden="1" customWidth="1"/>
    <col min="10" max="10" width="19.42578125" style="5" hidden="1" customWidth="1"/>
    <col min="11" max="11" width="13.42578125" style="4" customWidth="1"/>
    <col min="12" max="12" width="22.42578125" style="5" customWidth="1"/>
    <col min="13" max="13" width="17.85546875" style="5" bestFit="1" customWidth="1"/>
    <col min="14" max="14" width="33.28515625" style="4" customWidth="1"/>
    <col min="15" max="16" width="26" style="5" customWidth="1"/>
    <col min="17" max="16384" width="9.140625" style="5"/>
  </cols>
  <sheetData>
    <row r="1" spans="1:16" x14ac:dyDescent="0.25">
      <c r="A1" s="4" t="s">
        <v>0</v>
      </c>
      <c r="B1" s="4" t="s">
        <v>1</v>
      </c>
      <c r="C1" s="4" t="s">
        <v>2</v>
      </c>
      <c r="D1" s="5" t="s">
        <v>3</v>
      </c>
      <c r="E1" s="5" t="s">
        <v>4</v>
      </c>
      <c r="F1" s="5" t="s">
        <v>5</v>
      </c>
      <c r="G1" s="5" t="s">
        <v>6</v>
      </c>
      <c r="H1" s="5" t="s">
        <v>7</v>
      </c>
      <c r="I1" s="5" t="s">
        <v>140</v>
      </c>
      <c r="J1" s="5" t="s">
        <v>141</v>
      </c>
      <c r="K1" s="4" t="s">
        <v>8</v>
      </c>
      <c r="L1" s="5" t="s">
        <v>9</v>
      </c>
      <c r="M1" s="5" t="s">
        <v>10</v>
      </c>
      <c r="N1" s="4" t="s">
        <v>11</v>
      </c>
      <c r="O1" s="5" t="s">
        <v>12</v>
      </c>
      <c r="P1" s="5" t="s">
        <v>13</v>
      </c>
    </row>
    <row r="2" spans="1:16" ht="60" x14ac:dyDescent="0.25">
      <c r="A2" s="4" t="s">
        <v>436</v>
      </c>
      <c r="B2" s="4" t="s">
        <v>437</v>
      </c>
      <c r="C2" s="4" t="s">
        <v>55</v>
      </c>
      <c r="D2" s="5" t="str">
        <f>"1878-1861"</f>
        <v>1878-1861</v>
      </c>
      <c r="E2" s="5" t="str">
        <f>"2022 Apr"</f>
        <v>2022 Apr</v>
      </c>
      <c r="F2" s="5">
        <v>25</v>
      </c>
      <c r="G2" s="5">
        <v>4</v>
      </c>
      <c r="H2" s="5">
        <v>334</v>
      </c>
      <c r="J2" s="5">
        <v>34844896</v>
      </c>
      <c r="K2" s="4" t="s">
        <v>438</v>
      </c>
      <c r="L2" s="5" t="s">
        <v>59</v>
      </c>
      <c r="M2" s="5" t="s">
        <v>21</v>
      </c>
      <c r="N2" s="4" t="s">
        <v>439</v>
      </c>
      <c r="O2" s="5" t="s">
        <v>440</v>
      </c>
      <c r="P2" s="7" t="s">
        <v>441</v>
      </c>
    </row>
    <row r="3" spans="1:16" ht="60" x14ac:dyDescent="0.25">
      <c r="A3" s="4" t="s">
        <v>442</v>
      </c>
      <c r="B3" s="4" t="s">
        <v>443</v>
      </c>
      <c r="C3" s="4" t="s">
        <v>444</v>
      </c>
      <c r="D3" s="5" t="str">
        <f>"1179-2035"</f>
        <v>1179-2035</v>
      </c>
      <c r="E3" s="5" t="str">
        <f>"2022 Jul"</f>
        <v>2022 Jul</v>
      </c>
      <c r="F3" s="5">
        <v>52</v>
      </c>
      <c r="G3" s="5">
        <v>7</v>
      </c>
      <c r="H3" s="5">
        <v>1473</v>
      </c>
      <c r="J3" s="5">
        <v>35286617</v>
      </c>
      <c r="K3" s="4" t="s">
        <v>445</v>
      </c>
      <c r="L3" s="5" t="s">
        <v>446</v>
      </c>
      <c r="M3" s="5" t="s">
        <v>21</v>
      </c>
      <c r="N3" s="4" t="s">
        <v>447</v>
      </c>
      <c r="O3" s="5" t="s">
        <v>448</v>
      </c>
      <c r="P3" s="7" t="s">
        <v>449</v>
      </c>
    </row>
    <row r="4" spans="1:16" ht="60" x14ac:dyDescent="0.25">
      <c r="A4" s="4" t="s">
        <v>450</v>
      </c>
      <c r="B4" s="4" t="s">
        <v>451</v>
      </c>
      <c r="C4" s="4" t="s">
        <v>452</v>
      </c>
      <c r="D4" s="5" t="str">
        <f>"1543-2904"</f>
        <v>1543-2904</v>
      </c>
      <c r="E4" s="5" t="str">
        <f>"2022 Jul 09"</f>
        <v>2022 Jul 09</v>
      </c>
      <c r="F4" s="5">
        <v>44</v>
      </c>
      <c r="G4" s="5">
        <v>5</v>
      </c>
      <c r="H4" s="5">
        <v>327</v>
      </c>
      <c r="J4" s="5">
        <v>35894962</v>
      </c>
      <c r="K4" s="4" t="s">
        <v>453</v>
      </c>
      <c r="L4" s="5" t="s">
        <v>454</v>
      </c>
      <c r="M4" s="5" t="s">
        <v>21</v>
      </c>
      <c r="N4" s="4" t="s">
        <v>455</v>
      </c>
      <c r="O4" s="5" t="s">
        <v>456</v>
      </c>
      <c r="P4" s="7" t="s">
        <v>457</v>
      </c>
    </row>
    <row r="5" spans="1:16" ht="75" x14ac:dyDescent="0.25">
      <c r="A5" s="4" t="s">
        <v>458</v>
      </c>
      <c r="B5" s="4" t="s">
        <v>459</v>
      </c>
      <c r="C5" s="4" t="s">
        <v>181</v>
      </c>
      <c r="D5" s="5" t="str">
        <f>"2072-6643"</f>
        <v>2072-6643</v>
      </c>
      <c r="E5" s="5" t="str">
        <f>"2022 Feb 23"</f>
        <v>2022 Feb 23</v>
      </c>
      <c r="F5" s="5">
        <v>14</v>
      </c>
      <c r="G5" s="5">
        <v>5</v>
      </c>
      <c r="J5" s="5">
        <v>35267928</v>
      </c>
      <c r="K5" s="4" t="s">
        <v>460</v>
      </c>
      <c r="L5" s="5" t="s">
        <v>185</v>
      </c>
      <c r="M5" s="5" t="s">
        <v>21</v>
      </c>
      <c r="N5" s="4" t="s">
        <v>461</v>
      </c>
      <c r="O5" s="5" t="s">
        <v>462</v>
      </c>
      <c r="P5" s="7" t="s">
        <v>463</v>
      </c>
    </row>
    <row r="6" spans="1:16" ht="60" x14ac:dyDescent="0.25">
      <c r="A6" s="4" t="s">
        <v>464</v>
      </c>
      <c r="B6" s="4" t="s">
        <v>465</v>
      </c>
      <c r="C6" s="4" t="s">
        <v>466</v>
      </c>
      <c r="D6" s="5" t="str">
        <f>"1533-4287"</f>
        <v>1533-4287</v>
      </c>
      <c r="E6" s="5" t="str">
        <f>"2022 Sep 01"</f>
        <v>2022 Sep 01</v>
      </c>
      <c r="F6" s="5">
        <v>36</v>
      </c>
      <c r="G6" s="5">
        <v>9</v>
      </c>
      <c r="H6" s="5">
        <v>2622</v>
      </c>
      <c r="J6" s="5">
        <v>33065706</v>
      </c>
      <c r="K6" s="4" t="s">
        <v>467</v>
      </c>
      <c r="L6" s="5" t="s">
        <v>468</v>
      </c>
      <c r="M6" s="5" t="s">
        <v>21</v>
      </c>
      <c r="N6" s="4" t="s">
        <v>469</v>
      </c>
      <c r="O6" s="5" t="s">
        <v>470</v>
      </c>
      <c r="P6" s="7" t="s">
        <v>471</v>
      </c>
    </row>
    <row r="7" spans="1:16" ht="60" x14ac:dyDescent="0.25">
      <c r="A7" s="4" t="s">
        <v>472</v>
      </c>
      <c r="B7" s="4" t="s">
        <v>473</v>
      </c>
      <c r="C7" s="4" t="s">
        <v>466</v>
      </c>
      <c r="D7" s="5" t="str">
        <f>"1533-4287"</f>
        <v>1533-4287</v>
      </c>
      <c r="E7" s="5" t="str">
        <f>"2022 Sep 01"</f>
        <v>2022 Sep 01</v>
      </c>
      <c r="F7" s="5">
        <v>36</v>
      </c>
      <c r="G7" s="5">
        <v>9</v>
      </c>
      <c r="H7" s="5">
        <v>2461</v>
      </c>
      <c r="J7" s="5">
        <v>33065702</v>
      </c>
      <c r="K7" s="4" t="s">
        <v>474</v>
      </c>
      <c r="L7" s="5" t="s">
        <v>468</v>
      </c>
      <c r="M7" s="5" t="s">
        <v>21</v>
      </c>
      <c r="N7" s="4" t="s">
        <v>475</v>
      </c>
      <c r="O7" s="5" t="s">
        <v>476</v>
      </c>
      <c r="P7" s="7" t="s">
        <v>477</v>
      </c>
    </row>
    <row r="8" spans="1:16" ht="75" x14ac:dyDescent="0.25">
      <c r="A8" s="4" t="s">
        <v>478</v>
      </c>
      <c r="B8" s="4" t="s">
        <v>479</v>
      </c>
      <c r="C8" s="4" t="s">
        <v>480</v>
      </c>
      <c r="D8" s="5" t="str">
        <f>"2045-2322"</f>
        <v>2045-2322</v>
      </c>
      <c r="E8" s="5" t="str">
        <f>"2022 Oct 06"</f>
        <v>2022 Oct 06</v>
      </c>
      <c r="F8" s="5">
        <v>12</v>
      </c>
      <c r="G8" s="5">
        <v>1</v>
      </c>
      <c r="H8" s="5">
        <v>16762</v>
      </c>
      <c r="J8" s="5">
        <v>36202885</v>
      </c>
      <c r="K8" s="4" t="s">
        <v>481</v>
      </c>
      <c r="L8" s="5" t="s">
        <v>148</v>
      </c>
      <c r="M8" s="5" t="s">
        <v>21</v>
      </c>
      <c r="N8" s="4" t="s">
        <v>482</v>
      </c>
      <c r="O8" s="5" t="s">
        <v>483</v>
      </c>
      <c r="P8" s="7" t="s">
        <v>484</v>
      </c>
    </row>
    <row r="9" spans="1:16" ht="75" x14ac:dyDescent="0.25">
      <c r="A9" s="4" t="s">
        <v>485</v>
      </c>
      <c r="B9" s="4" t="s">
        <v>486</v>
      </c>
      <c r="C9" s="4" t="s">
        <v>480</v>
      </c>
      <c r="D9" s="5" t="str">
        <f>"2045-2322"</f>
        <v>2045-2322</v>
      </c>
      <c r="E9" s="5" t="str">
        <f>"2022 Mar 15"</f>
        <v>2022 Mar 15</v>
      </c>
      <c r="F9" s="5">
        <v>12</v>
      </c>
      <c r="G9" s="5">
        <v>1</v>
      </c>
      <c r="H9" s="5">
        <v>4404</v>
      </c>
      <c r="J9" s="5">
        <v>35292671</v>
      </c>
      <c r="K9" s="4" t="s">
        <v>487</v>
      </c>
      <c r="L9" s="5" t="s">
        <v>148</v>
      </c>
      <c r="M9" s="5" t="s">
        <v>21</v>
      </c>
      <c r="N9" s="4" t="s">
        <v>488</v>
      </c>
      <c r="O9" s="5" t="s">
        <v>489</v>
      </c>
      <c r="P9" s="7" t="s">
        <v>490</v>
      </c>
    </row>
    <row r="10" spans="1:16" ht="90" x14ac:dyDescent="0.25">
      <c r="A10" s="4" t="s">
        <v>491</v>
      </c>
      <c r="B10" s="4" t="s">
        <v>492</v>
      </c>
      <c r="C10" s="4" t="s">
        <v>55</v>
      </c>
      <c r="D10" s="5" t="str">
        <f>"1878-1861"</f>
        <v>1878-1861</v>
      </c>
      <c r="E10" s="5" t="str">
        <f>"2022 Feb"</f>
        <v>2022 Feb</v>
      </c>
      <c r="F10" s="5">
        <v>25</v>
      </c>
      <c r="G10" s="5">
        <v>2</v>
      </c>
      <c r="H10" s="5">
        <v>139</v>
      </c>
      <c r="J10" s="5">
        <v>34556402</v>
      </c>
      <c r="K10" s="4" t="s">
        <v>493</v>
      </c>
      <c r="L10" s="5" t="s">
        <v>59</v>
      </c>
      <c r="M10" s="5" t="s">
        <v>21</v>
      </c>
      <c r="N10" s="4" t="s">
        <v>494</v>
      </c>
      <c r="O10" s="5" t="s">
        <v>495</v>
      </c>
      <c r="P10" s="7" t="s">
        <v>496</v>
      </c>
    </row>
    <row r="11" spans="1:16" ht="45" x14ac:dyDescent="0.25">
      <c r="A11" s="4" t="s">
        <v>497</v>
      </c>
      <c r="B11" s="4" t="s">
        <v>498</v>
      </c>
      <c r="C11" s="4" t="s">
        <v>133</v>
      </c>
      <c r="D11" s="5" t="str">
        <f>"1536-7290"</f>
        <v>1536-7290</v>
      </c>
      <c r="E11" s="5" t="str">
        <f>"2022 Aug 28"</f>
        <v>2022 Aug 28</v>
      </c>
      <c r="H11" s="5">
        <v>1</v>
      </c>
      <c r="J11" s="5">
        <v>35965450</v>
      </c>
      <c r="K11" s="4" t="s">
        <v>499</v>
      </c>
      <c r="L11" s="5" t="s">
        <v>500</v>
      </c>
      <c r="M11" s="5" t="s">
        <v>21</v>
      </c>
      <c r="O11" s="5" t="s">
        <v>501</v>
      </c>
      <c r="P11" s="7" t="s">
        <v>502</v>
      </c>
    </row>
    <row r="12" spans="1:16" ht="75" x14ac:dyDescent="0.25">
      <c r="A12" s="4" t="s">
        <v>503</v>
      </c>
      <c r="B12" s="4" t="s">
        <v>437</v>
      </c>
      <c r="C12" s="4" t="s">
        <v>82</v>
      </c>
      <c r="D12" s="5" t="str">
        <f>"1600-0838"</f>
        <v>1600-0838</v>
      </c>
      <c r="E12" s="5" t="str">
        <f>"2022 Mar"</f>
        <v>2022 Mar</v>
      </c>
      <c r="F12" s="5">
        <v>32</v>
      </c>
      <c r="G12" s="5">
        <v>3</v>
      </c>
      <c r="H12" s="5">
        <v>543</v>
      </c>
      <c r="J12" s="5">
        <v>34767655</v>
      </c>
      <c r="K12" s="4" t="s">
        <v>504</v>
      </c>
      <c r="L12" s="5" t="s">
        <v>86</v>
      </c>
      <c r="M12" s="5" t="s">
        <v>21</v>
      </c>
      <c r="N12" s="4" t="s">
        <v>505</v>
      </c>
      <c r="O12" s="5" t="s">
        <v>506</v>
      </c>
      <c r="P12" s="7" t="s">
        <v>507</v>
      </c>
    </row>
    <row r="13" spans="1:16" ht="75" x14ac:dyDescent="0.25">
      <c r="A13" s="4" t="s">
        <v>508</v>
      </c>
      <c r="B13" s="4" t="s">
        <v>465</v>
      </c>
      <c r="C13" s="4" t="s">
        <v>466</v>
      </c>
      <c r="D13" s="5" t="str">
        <f>"1533-4287"</f>
        <v>1533-4287</v>
      </c>
      <c r="E13" s="5" t="str">
        <f>"2022 Jul 01"</f>
        <v>2022 Jul 01</v>
      </c>
      <c r="F13" s="5">
        <v>36</v>
      </c>
      <c r="G13" s="5">
        <v>7</v>
      </c>
      <c r="H13" s="5">
        <v>1961</v>
      </c>
      <c r="J13" s="5">
        <v>32947574</v>
      </c>
      <c r="K13" s="4" t="s">
        <v>509</v>
      </c>
      <c r="L13" s="5" t="s">
        <v>468</v>
      </c>
      <c r="M13" s="5" t="s">
        <v>21</v>
      </c>
      <c r="N13" s="4" t="s">
        <v>510</v>
      </c>
      <c r="O13" s="5" t="s">
        <v>511</v>
      </c>
      <c r="P13" s="7" t="s">
        <v>512</v>
      </c>
    </row>
    <row r="14" spans="1:16" ht="45" x14ac:dyDescent="0.25">
      <c r="A14" s="4" t="s">
        <v>513</v>
      </c>
      <c r="B14" s="4" t="s">
        <v>514</v>
      </c>
      <c r="C14" s="4" t="s">
        <v>133</v>
      </c>
      <c r="D14" s="5" t="str">
        <f>"1536-7290"</f>
        <v>1536-7290</v>
      </c>
      <c r="E14" s="5" t="str">
        <f>"2022 Aug"</f>
        <v>2022 Aug</v>
      </c>
      <c r="F14" s="5">
        <v>22</v>
      </c>
      <c r="G14" s="5">
        <v>8</v>
      </c>
      <c r="H14" s="5">
        <v>1149</v>
      </c>
      <c r="J14" s="5">
        <v>34379572</v>
      </c>
      <c r="K14" s="4" t="s">
        <v>515</v>
      </c>
      <c r="L14" s="5" t="s">
        <v>500</v>
      </c>
      <c r="M14" s="5" t="s">
        <v>21</v>
      </c>
      <c r="N14" s="4" t="s">
        <v>516</v>
      </c>
      <c r="O14" s="5" t="s">
        <v>517</v>
      </c>
      <c r="P14" s="7" t="s">
        <v>518</v>
      </c>
    </row>
    <row r="15" spans="1:16" ht="75" x14ac:dyDescent="0.25">
      <c r="A15" s="4" t="s">
        <v>519</v>
      </c>
      <c r="B15" s="4" t="s">
        <v>520</v>
      </c>
      <c r="C15" s="4" t="s">
        <v>55</v>
      </c>
      <c r="D15" s="5" t="str">
        <f>"1878-1861"</f>
        <v>1878-1861</v>
      </c>
      <c r="E15" s="5" t="str">
        <f>"2022 Apr"</f>
        <v>2022 Apr</v>
      </c>
      <c r="F15" s="5">
        <v>25</v>
      </c>
      <c r="G15" s="5">
        <v>4</v>
      </c>
      <c r="H15" s="5">
        <v>294</v>
      </c>
      <c r="J15" s="5">
        <v>35031236</v>
      </c>
      <c r="K15" s="4" t="s">
        <v>521</v>
      </c>
      <c r="L15" s="5" t="s">
        <v>59</v>
      </c>
      <c r="M15" s="5" t="s">
        <v>21</v>
      </c>
      <c r="N15" s="4" t="s">
        <v>522</v>
      </c>
      <c r="O15" s="5" t="s">
        <v>523</v>
      </c>
      <c r="P15" s="7" t="s">
        <v>524</v>
      </c>
    </row>
    <row r="16" spans="1:16" ht="105" x14ac:dyDescent="0.25">
      <c r="A16" s="4" t="s">
        <v>525</v>
      </c>
      <c r="B16" s="4" t="s">
        <v>526</v>
      </c>
      <c r="C16" s="4" t="s">
        <v>55</v>
      </c>
      <c r="D16" s="5" t="str">
        <f>"1878-1861"</f>
        <v>1878-1861</v>
      </c>
      <c r="E16" s="5" t="str">
        <f>"2022 Sep"</f>
        <v>2022 Sep</v>
      </c>
      <c r="F16" s="5">
        <v>25</v>
      </c>
      <c r="G16" s="5">
        <v>9</v>
      </c>
      <c r="H16" s="5">
        <v>726</v>
      </c>
      <c r="J16" s="5">
        <v>35868988</v>
      </c>
      <c r="K16" s="4" t="s">
        <v>527</v>
      </c>
      <c r="L16" s="5" t="s">
        <v>59</v>
      </c>
      <c r="M16" s="5" t="s">
        <v>21</v>
      </c>
      <c r="N16" s="4" t="s">
        <v>528</v>
      </c>
      <c r="O16" s="5" t="s">
        <v>529</v>
      </c>
      <c r="P16" s="7" t="s">
        <v>530</v>
      </c>
    </row>
    <row r="17" spans="1:16" ht="105" x14ac:dyDescent="0.25">
      <c r="A17" s="4" t="s">
        <v>531</v>
      </c>
      <c r="B17" s="4" t="s">
        <v>532</v>
      </c>
      <c r="C17" s="4" t="s">
        <v>533</v>
      </c>
      <c r="D17" s="5" t="str">
        <f>"1873-1600"</f>
        <v>1873-1600</v>
      </c>
      <c r="E17" s="5" t="str">
        <f>"2022 Sep 21"</f>
        <v>2022 Sep 21</v>
      </c>
      <c r="F17" s="5">
        <v>58</v>
      </c>
      <c r="H17" s="5">
        <v>80</v>
      </c>
      <c r="J17" s="5">
        <v>36228482</v>
      </c>
      <c r="K17" s="4" t="s">
        <v>534</v>
      </c>
      <c r="L17" s="5" t="s">
        <v>535</v>
      </c>
      <c r="M17" s="5" t="s">
        <v>21</v>
      </c>
      <c r="O17" s="5" t="s">
        <v>536</v>
      </c>
      <c r="P17" s="7" t="s">
        <v>537</v>
      </c>
    </row>
    <row r="18" spans="1:16" ht="75" x14ac:dyDescent="0.25">
      <c r="A18" s="4" t="s">
        <v>538</v>
      </c>
      <c r="B18" s="4" t="s">
        <v>539</v>
      </c>
      <c r="C18" s="4" t="s">
        <v>163</v>
      </c>
      <c r="D18" s="5" t="str">
        <f>"2199-1170"</f>
        <v>2199-1170</v>
      </c>
      <c r="E18" s="5" t="str">
        <f>"2022 Feb 22"</f>
        <v>2022 Feb 22</v>
      </c>
      <c r="F18" s="5">
        <v>8</v>
      </c>
      <c r="G18" s="5">
        <v>1</v>
      </c>
      <c r="H18" s="5">
        <v>25</v>
      </c>
      <c r="J18" s="5">
        <v>35192078</v>
      </c>
      <c r="K18" s="4" t="s">
        <v>540</v>
      </c>
      <c r="L18" s="5" t="s">
        <v>167</v>
      </c>
      <c r="M18" s="5" t="s">
        <v>96</v>
      </c>
      <c r="O18" s="5" t="s">
        <v>541</v>
      </c>
      <c r="P18" s="7" t="s">
        <v>542</v>
      </c>
    </row>
    <row r="19" spans="1:16" ht="90" x14ac:dyDescent="0.25">
      <c r="A19" s="4" t="s">
        <v>543</v>
      </c>
      <c r="B19" s="4" t="s">
        <v>544</v>
      </c>
      <c r="C19" s="4" t="s">
        <v>545</v>
      </c>
      <c r="D19" s="5" t="str">
        <f>"1522-1601"</f>
        <v>1522-1601</v>
      </c>
      <c r="E19" s="5" t="str">
        <f>"2022 Apr 01"</f>
        <v>2022 Apr 01</v>
      </c>
      <c r="F19" s="5">
        <v>132</v>
      </c>
      <c r="G19" s="5">
        <v>4</v>
      </c>
      <c r="H19" s="5">
        <v>956</v>
      </c>
      <c r="J19" s="5">
        <v>35142563</v>
      </c>
      <c r="K19" s="4" t="s">
        <v>546</v>
      </c>
      <c r="L19" s="5" t="s">
        <v>547</v>
      </c>
      <c r="M19" s="5" t="s">
        <v>21</v>
      </c>
      <c r="N19" s="4" t="s">
        <v>548</v>
      </c>
      <c r="O19" s="5" t="s">
        <v>549</v>
      </c>
      <c r="P19" s="7" t="s">
        <v>550</v>
      </c>
    </row>
    <row r="20" spans="1:16" ht="60" x14ac:dyDescent="0.25">
      <c r="A20" s="4" t="s">
        <v>551</v>
      </c>
      <c r="B20" s="4" t="s">
        <v>552</v>
      </c>
      <c r="C20" s="4" t="s">
        <v>444</v>
      </c>
      <c r="D20" s="5" t="str">
        <f>"1179-2035"</f>
        <v>1179-2035</v>
      </c>
      <c r="E20" s="5" t="str">
        <f>"2022 May"</f>
        <v>2022 May</v>
      </c>
      <c r="F20" s="5">
        <v>52</v>
      </c>
      <c r="G20" s="5">
        <v>5</v>
      </c>
      <c r="H20" s="5">
        <v>971</v>
      </c>
      <c r="J20" s="5">
        <v>34905181</v>
      </c>
      <c r="K20" s="4" t="s">
        <v>553</v>
      </c>
      <c r="L20" s="5" t="s">
        <v>446</v>
      </c>
      <c r="M20" s="5" t="s">
        <v>21</v>
      </c>
      <c r="N20" s="4" t="s">
        <v>554</v>
      </c>
      <c r="O20" s="5" t="s">
        <v>555</v>
      </c>
      <c r="P20" s="7" t="s">
        <v>556</v>
      </c>
    </row>
    <row r="21" spans="1:16" ht="90" x14ac:dyDescent="0.25">
      <c r="A21" s="4" t="s">
        <v>557</v>
      </c>
      <c r="B21" s="4" t="s">
        <v>459</v>
      </c>
      <c r="C21" s="4" t="s">
        <v>181</v>
      </c>
      <c r="D21" s="5" t="str">
        <f>"2072-6643"</f>
        <v>2072-6643</v>
      </c>
      <c r="E21" s="5" t="str">
        <f>"2022 Aug 17"</f>
        <v>2022 Aug 17</v>
      </c>
      <c r="F21" s="5">
        <v>14</v>
      </c>
      <c r="G21" s="5">
        <v>16</v>
      </c>
      <c r="J21" s="5">
        <v>36014878</v>
      </c>
      <c r="K21" s="4" t="s">
        <v>558</v>
      </c>
      <c r="L21" s="5" t="s">
        <v>185</v>
      </c>
      <c r="M21" s="5" t="s">
        <v>21</v>
      </c>
      <c r="N21" s="4" t="s">
        <v>559</v>
      </c>
      <c r="O21" s="5" t="s">
        <v>560</v>
      </c>
      <c r="P21" s="7" t="s">
        <v>561</v>
      </c>
    </row>
    <row r="22" spans="1:16" ht="45" x14ac:dyDescent="0.25">
      <c r="A22" s="4" t="s">
        <v>562</v>
      </c>
      <c r="B22" s="4" t="s">
        <v>563</v>
      </c>
      <c r="C22" s="4" t="s">
        <v>16</v>
      </c>
      <c r="D22" s="5" t="str">
        <f>"1752-6116"</f>
        <v>1752-6116</v>
      </c>
      <c r="E22" s="5" t="str">
        <f>"2022 Feb"</f>
        <v>2022 Feb</v>
      </c>
      <c r="F22" s="5">
        <v>21</v>
      </c>
      <c r="G22" s="5">
        <v>2</v>
      </c>
      <c r="H22" s="5">
        <v>226</v>
      </c>
      <c r="J22" s="5">
        <v>31573403</v>
      </c>
      <c r="K22" s="4" t="s">
        <v>564</v>
      </c>
      <c r="L22" s="5" t="s">
        <v>20</v>
      </c>
      <c r="M22" s="5" t="s">
        <v>21</v>
      </c>
      <c r="N22" s="4" t="s">
        <v>565</v>
      </c>
      <c r="O22" s="5" t="s">
        <v>566</v>
      </c>
      <c r="P22" s="7" t="s">
        <v>567</v>
      </c>
    </row>
    <row r="23" spans="1:16" ht="90" x14ac:dyDescent="0.25">
      <c r="A23" s="4" t="s">
        <v>568</v>
      </c>
      <c r="B23" s="4" t="s">
        <v>569</v>
      </c>
      <c r="C23" s="4" t="s">
        <v>570</v>
      </c>
      <c r="D23" s="5" t="str">
        <f>"1879-2219"</f>
        <v>1879-2219</v>
      </c>
      <c r="E23" s="5" t="str">
        <f>"2022 Feb"</f>
        <v>2022 Feb</v>
      </c>
      <c r="F23" s="5">
        <v>92</v>
      </c>
      <c r="H23" s="5">
        <v>129</v>
      </c>
      <c r="J23" s="5">
        <v>34844151</v>
      </c>
      <c r="K23" s="4" t="s">
        <v>571</v>
      </c>
      <c r="L23" s="5" t="s">
        <v>572</v>
      </c>
      <c r="M23" s="5" t="s">
        <v>21</v>
      </c>
      <c r="N23" s="4" t="s">
        <v>573</v>
      </c>
      <c r="O23" s="5" t="s">
        <v>574</v>
      </c>
      <c r="P23" s="7" t="s">
        <v>575</v>
      </c>
    </row>
    <row r="24" spans="1:16" ht="45" x14ac:dyDescent="0.25">
      <c r="A24" s="4" t="s">
        <v>576</v>
      </c>
      <c r="B24" s="4" t="s">
        <v>577</v>
      </c>
      <c r="C24" s="4" t="s">
        <v>55</v>
      </c>
      <c r="D24" s="5" t="str">
        <f>"1878-1861"</f>
        <v>1878-1861</v>
      </c>
      <c r="E24" s="5" t="str">
        <f>"2022 Apr"</f>
        <v>2022 Apr</v>
      </c>
      <c r="F24" s="5">
        <v>25</v>
      </c>
      <c r="G24" s="5">
        <v>4</v>
      </c>
      <c r="H24" s="5">
        <v>356</v>
      </c>
      <c r="J24" s="5">
        <v>35027320</v>
      </c>
      <c r="K24" s="4" t="s">
        <v>578</v>
      </c>
      <c r="L24" s="5" t="s">
        <v>59</v>
      </c>
      <c r="M24" s="5" t="s">
        <v>21</v>
      </c>
      <c r="N24" s="4" t="s">
        <v>579</v>
      </c>
      <c r="O24" s="5" t="s">
        <v>580</v>
      </c>
      <c r="P24" s="7" t="s">
        <v>581</v>
      </c>
    </row>
    <row r="25" spans="1:16" ht="60" x14ac:dyDescent="0.25">
      <c r="A25" s="4" t="s">
        <v>582</v>
      </c>
      <c r="B25" s="4" t="s">
        <v>583</v>
      </c>
      <c r="C25" s="4" t="s">
        <v>36</v>
      </c>
      <c r="D25" s="5" t="str">
        <f>"1543-2742"</f>
        <v>1543-2742</v>
      </c>
      <c r="E25" s="5" t="str">
        <f>"2022 Mar 01"</f>
        <v>2022 Mar 01</v>
      </c>
      <c r="F25" s="5">
        <v>32</v>
      </c>
      <c r="G25" s="5">
        <v>2</v>
      </c>
      <c r="H25" s="5">
        <v>114</v>
      </c>
      <c r="J25" s="5">
        <v>35168200</v>
      </c>
      <c r="K25" s="4" t="s">
        <v>584</v>
      </c>
      <c r="L25" s="5" t="s">
        <v>40</v>
      </c>
      <c r="M25" s="5" t="s">
        <v>21</v>
      </c>
      <c r="N25" s="4" t="s">
        <v>585</v>
      </c>
      <c r="O25" s="5" t="s">
        <v>586</v>
      </c>
      <c r="P25" s="7" t="s">
        <v>587</v>
      </c>
    </row>
    <row r="26" spans="1:16" ht="45" x14ac:dyDescent="0.25">
      <c r="A26" s="4" t="s">
        <v>588</v>
      </c>
      <c r="B26" s="4" t="s">
        <v>589</v>
      </c>
      <c r="C26" s="4" t="s">
        <v>55</v>
      </c>
      <c r="D26" s="5" t="str">
        <f>"1878-1861"</f>
        <v>1878-1861</v>
      </c>
      <c r="E26" s="5" t="str">
        <f>"2022 Aug 31"</f>
        <v>2022 Aug 31</v>
      </c>
      <c r="J26" s="5">
        <v>36137920</v>
      </c>
      <c r="K26" s="4" t="s">
        <v>590</v>
      </c>
      <c r="L26" s="5" t="s">
        <v>59</v>
      </c>
      <c r="M26" s="5" t="s">
        <v>21</v>
      </c>
      <c r="O26" s="5" t="s">
        <v>591</v>
      </c>
      <c r="P26" s="7" t="s">
        <v>592</v>
      </c>
    </row>
    <row r="27" spans="1:16" ht="45" x14ac:dyDescent="0.25">
      <c r="A27" s="4" t="s">
        <v>593</v>
      </c>
      <c r="B27" s="4" t="s">
        <v>594</v>
      </c>
      <c r="C27" s="4" t="s">
        <v>82</v>
      </c>
      <c r="D27" s="5" t="str">
        <f>"1600-0838"</f>
        <v>1600-0838</v>
      </c>
      <c r="E27" s="5" t="str">
        <f>"2022 Apr"</f>
        <v>2022 Apr</v>
      </c>
      <c r="F27" s="5">
        <v>32</v>
      </c>
      <c r="G27" s="5">
        <v>4</v>
      </c>
      <c r="H27" s="5">
        <v>710</v>
      </c>
      <c r="J27" s="5">
        <v>34981575</v>
      </c>
      <c r="K27" s="4" t="s">
        <v>595</v>
      </c>
      <c r="L27" s="5" t="s">
        <v>86</v>
      </c>
      <c r="M27" s="5" t="s">
        <v>21</v>
      </c>
      <c r="N27" s="4" t="s">
        <v>596</v>
      </c>
      <c r="O27" s="5" t="s">
        <v>597</v>
      </c>
      <c r="P27" s="7" t="s">
        <v>598</v>
      </c>
    </row>
    <row r="28" spans="1:16" ht="75" x14ac:dyDescent="0.25">
      <c r="A28" s="4" t="s">
        <v>599</v>
      </c>
      <c r="B28" s="4" t="s">
        <v>600</v>
      </c>
      <c r="C28" s="4" t="s">
        <v>163</v>
      </c>
      <c r="D28" s="5" t="str">
        <f>"2199-1170"</f>
        <v>2199-1170</v>
      </c>
      <c r="E28" s="5" t="str">
        <f>"2022 Jul 06"</f>
        <v>2022 Jul 06</v>
      </c>
      <c r="F28" s="5">
        <v>8</v>
      </c>
      <c r="G28" s="5">
        <v>1</v>
      </c>
      <c r="H28" s="5">
        <v>89</v>
      </c>
      <c r="J28" s="5">
        <v>35792942</v>
      </c>
      <c r="K28" s="4" t="s">
        <v>601</v>
      </c>
      <c r="L28" s="5" t="s">
        <v>167</v>
      </c>
      <c r="M28" s="5" t="s">
        <v>21</v>
      </c>
      <c r="O28" s="5" t="s">
        <v>602</v>
      </c>
      <c r="P28" s="7" t="s">
        <v>603</v>
      </c>
    </row>
    <row r="29" spans="1:16" ht="165" x14ac:dyDescent="0.25">
      <c r="A29" s="4" t="s">
        <v>604</v>
      </c>
      <c r="B29" s="4" t="s">
        <v>605</v>
      </c>
      <c r="C29" s="4" t="s">
        <v>606</v>
      </c>
      <c r="D29" s="5" t="str">
        <f>"1873-1244"</f>
        <v>1873-1244</v>
      </c>
      <c r="E29" s="5" t="str">
        <f>"2022 Apr"</f>
        <v>2022 Apr</v>
      </c>
      <c r="F29" s="5">
        <v>96</v>
      </c>
      <c r="H29" s="5">
        <v>111555</v>
      </c>
      <c r="J29" s="5">
        <v>35167999</v>
      </c>
      <c r="K29" s="4" t="s">
        <v>607</v>
      </c>
      <c r="L29" s="5" t="s">
        <v>608</v>
      </c>
      <c r="M29" s="5" t="s">
        <v>21</v>
      </c>
      <c r="N29" s="4" t="s">
        <v>609</v>
      </c>
      <c r="O29" s="5" t="s">
        <v>610</v>
      </c>
      <c r="P29" s="7" t="s">
        <v>611</v>
      </c>
    </row>
    <row r="30" spans="1:16" ht="60" x14ac:dyDescent="0.25">
      <c r="A30" s="4" t="s">
        <v>612</v>
      </c>
      <c r="B30" s="4" t="s">
        <v>613</v>
      </c>
      <c r="C30" s="4" t="s">
        <v>65</v>
      </c>
      <c r="D30" s="5" t="str">
        <f>"2055-7647"</f>
        <v>2055-7647</v>
      </c>
      <c r="E30" s="5" t="str">
        <f>"2022 May 11"</f>
        <v>2022 May 11</v>
      </c>
      <c r="F30" s="5">
        <v>8</v>
      </c>
      <c r="G30" s="5">
        <v>2</v>
      </c>
      <c r="H30" s="5" t="s">
        <v>614</v>
      </c>
      <c r="J30" s="5">
        <v>35592544</v>
      </c>
      <c r="K30" s="4" t="s">
        <v>615</v>
      </c>
      <c r="L30" s="5" t="s">
        <v>70</v>
      </c>
      <c r="M30" s="5" t="s">
        <v>21</v>
      </c>
      <c r="O30" s="5" t="s">
        <v>616</v>
      </c>
      <c r="P30" s="7" t="s">
        <v>617</v>
      </c>
    </row>
    <row r="31" spans="1:16" ht="60" x14ac:dyDescent="0.25">
      <c r="A31" s="4" t="s">
        <v>618</v>
      </c>
      <c r="B31" s="4" t="s">
        <v>619</v>
      </c>
      <c r="C31" s="4" t="s">
        <v>466</v>
      </c>
      <c r="D31" s="5" t="str">
        <f>"1533-4287"</f>
        <v>1533-4287</v>
      </c>
      <c r="E31" s="5" t="str">
        <f>"2022 Apr 01"</f>
        <v>2022 Apr 01</v>
      </c>
      <c r="F31" s="5">
        <v>36</v>
      </c>
      <c r="G31" s="5">
        <v>4</v>
      </c>
      <c r="H31" s="5">
        <v>1019</v>
      </c>
      <c r="J31" s="5">
        <v>32218063</v>
      </c>
      <c r="K31" s="4" t="s">
        <v>620</v>
      </c>
      <c r="L31" s="5" t="s">
        <v>468</v>
      </c>
      <c r="M31" s="5" t="s">
        <v>21</v>
      </c>
      <c r="N31" s="4" t="s">
        <v>621</v>
      </c>
      <c r="O31" s="5" t="s">
        <v>622</v>
      </c>
      <c r="P31" s="7" t="s">
        <v>623</v>
      </c>
    </row>
    <row r="32" spans="1:16" ht="135" x14ac:dyDescent="0.25">
      <c r="A32" s="4" t="s">
        <v>624</v>
      </c>
      <c r="B32" s="4" t="s">
        <v>625</v>
      </c>
      <c r="C32" s="4" t="s">
        <v>36</v>
      </c>
      <c r="D32" s="5" t="str">
        <f>"1543-2742"</f>
        <v>1543-2742</v>
      </c>
      <c r="E32" s="5" t="str">
        <f>"2022 May 01"</f>
        <v>2022 May 01</v>
      </c>
      <c r="F32" s="5">
        <v>32</v>
      </c>
      <c r="G32" s="5">
        <v>3</v>
      </c>
      <c r="H32" s="5">
        <v>153</v>
      </c>
      <c r="J32" s="5">
        <v>35130515</v>
      </c>
      <c r="K32" s="4" t="s">
        <v>626</v>
      </c>
      <c r="L32" s="5" t="s">
        <v>40</v>
      </c>
      <c r="M32" s="5" t="s">
        <v>21</v>
      </c>
      <c r="N32" s="4" t="s">
        <v>627</v>
      </c>
      <c r="O32" s="5" t="s">
        <v>628</v>
      </c>
      <c r="P32" s="7" t="s">
        <v>629</v>
      </c>
    </row>
    <row r="33" spans="1:16" ht="45" x14ac:dyDescent="0.25">
      <c r="A33" s="4" t="s">
        <v>630</v>
      </c>
      <c r="B33" s="4" t="s">
        <v>631</v>
      </c>
      <c r="C33" s="4" t="s">
        <v>55</v>
      </c>
      <c r="D33" s="5" t="str">
        <f>"1878-1861"</f>
        <v>1878-1861</v>
      </c>
      <c r="E33" s="5" t="str">
        <f>"2022 Jul"</f>
        <v>2022 Jul</v>
      </c>
      <c r="F33" s="5">
        <v>25</v>
      </c>
      <c r="G33" s="5">
        <v>7</v>
      </c>
      <c r="H33" s="5">
        <v>544</v>
      </c>
      <c r="J33" s="5">
        <v>35725689</v>
      </c>
      <c r="K33" s="4" t="s">
        <v>632</v>
      </c>
      <c r="L33" s="5" t="s">
        <v>59</v>
      </c>
      <c r="M33" s="5" t="s">
        <v>633</v>
      </c>
      <c r="N33" s="4" t="s">
        <v>634</v>
      </c>
      <c r="P33" s="7" t="s">
        <v>635</v>
      </c>
    </row>
    <row r="34" spans="1:16" ht="60" x14ac:dyDescent="0.25">
      <c r="A34" s="4" t="s">
        <v>636</v>
      </c>
      <c r="B34" s="4" t="s">
        <v>637</v>
      </c>
      <c r="C34" s="4" t="s">
        <v>638</v>
      </c>
      <c r="D34" s="5" t="str">
        <f>"1664-1078"</f>
        <v>1664-1078</v>
      </c>
      <c r="E34" s="5" t="str">
        <f>"2022 Sep 02"</f>
        <v>2022 Sep 02</v>
      </c>
      <c r="F34" s="5">
        <v>13</v>
      </c>
      <c r="H34" s="5">
        <v>939087</v>
      </c>
      <c r="J34" s="5">
        <v>36118450</v>
      </c>
      <c r="K34" s="4" t="s">
        <v>639</v>
      </c>
      <c r="L34" s="5" t="s">
        <v>640</v>
      </c>
      <c r="M34" s="5" t="s">
        <v>21</v>
      </c>
      <c r="O34" s="5" t="s">
        <v>641</v>
      </c>
      <c r="P34" s="7" t="s">
        <v>642</v>
      </c>
    </row>
    <row r="35" spans="1:16" ht="75" x14ac:dyDescent="0.25">
      <c r="A35" s="4" t="s">
        <v>643</v>
      </c>
      <c r="B35" s="4" t="s">
        <v>644</v>
      </c>
      <c r="C35" s="4" t="s">
        <v>181</v>
      </c>
      <c r="D35" s="5" t="str">
        <f>"2072-6643"</f>
        <v>2072-6643</v>
      </c>
      <c r="E35" s="5" t="str">
        <f>"2022 May 05"</f>
        <v>2022 May 05</v>
      </c>
      <c r="F35" s="5">
        <v>14</v>
      </c>
      <c r="G35" s="5">
        <v>9</v>
      </c>
      <c r="J35" s="5">
        <v>35565896</v>
      </c>
      <c r="K35" s="4" t="s">
        <v>645</v>
      </c>
      <c r="L35" s="5" t="s">
        <v>185</v>
      </c>
      <c r="M35" s="5" t="s">
        <v>646</v>
      </c>
      <c r="N35" s="4" t="s">
        <v>647</v>
      </c>
      <c r="O35" s="5" t="s">
        <v>648</v>
      </c>
      <c r="P35" s="7" t="s">
        <v>649</v>
      </c>
    </row>
    <row r="36" spans="1:16" ht="60" x14ac:dyDescent="0.25">
      <c r="A36" s="4" t="s">
        <v>650</v>
      </c>
      <c r="B36" s="4" t="s">
        <v>651</v>
      </c>
      <c r="C36" s="4" t="s">
        <v>444</v>
      </c>
      <c r="D36" s="5" t="str">
        <f>"1179-2035"</f>
        <v>1179-2035</v>
      </c>
      <c r="E36" s="5" t="str">
        <f>"2022 Feb"</f>
        <v>2022 Feb</v>
      </c>
      <c r="F36" s="5">
        <v>52</v>
      </c>
      <c r="G36" s="5">
        <v>2</v>
      </c>
      <c r="H36" s="5">
        <v>417</v>
      </c>
      <c r="J36" s="5">
        <v>34554425</v>
      </c>
      <c r="K36" s="4" t="s">
        <v>652</v>
      </c>
      <c r="L36" s="5" t="s">
        <v>446</v>
      </c>
      <c r="M36" s="5" t="s">
        <v>21</v>
      </c>
      <c r="N36" s="4" t="s">
        <v>653</v>
      </c>
      <c r="O36" s="5" t="s">
        <v>654</v>
      </c>
      <c r="P36" s="7" t="s">
        <v>655</v>
      </c>
    </row>
    <row r="37" spans="1:16" ht="60" x14ac:dyDescent="0.25">
      <c r="A37" s="4" t="s">
        <v>656</v>
      </c>
      <c r="B37" s="4" t="s">
        <v>657</v>
      </c>
      <c r="C37" s="4" t="s">
        <v>55</v>
      </c>
      <c r="D37" s="5" t="str">
        <f>"1878-1861"</f>
        <v>1878-1861</v>
      </c>
      <c r="E37" s="5" t="str">
        <f>"2022 Sep"</f>
        <v>2022 Sep</v>
      </c>
      <c r="F37" s="5">
        <v>25</v>
      </c>
      <c r="G37" s="5">
        <v>9</v>
      </c>
      <c r="H37" s="5">
        <v>755</v>
      </c>
      <c r="J37" s="5">
        <v>35718681</v>
      </c>
      <c r="K37" s="4" t="s">
        <v>658</v>
      </c>
      <c r="L37" s="5" t="s">
        <v>59</v>
      </c>
      <c r="M37" s="5" t="s">
        <v>21</v>
      </c>
      <c r="N37" s="4" t="s">
        <v>659</v>
      </c>
      <c r="O37" s="5" t="s">
        <v>660</v>
      </c>
      <c r="P37" s="7" t="s">
        <v>661</v>
      </c>
    </row>
    <row r="38" spans="1:16" ht="90" x14ac:dyDescent="0.25">
      <c r="A38" s="4" t="s">
        <v>662</v>
      </c>
      <c r="B38" s="4" t="s">
        <v>663</v>
      </c>
      <c r="C38" s="4" t="s">
        <v>65</v>
      </c>
      <c r="D38" s="5" t="str">
        <f>"2055-7647"</f>
        <v>2055-7647</v>
      </c>
      <c r="E38" s="5" t="str">
        <f>"2022 Apr 12"</f>
        <v>2022 Apr 12</v>
      </c>
      <c r="F38" s="5">
        <v>8</v>
      </c>
      <c r="G38" s="5">
        <v>2</v>
      </c>
      <c r="H38" s="5" t="s">
        <v>664</v>
      </c>
      <c r="J38" s="5">
        <v>35505980</v>
      </c>
      <c r="K38" s="4" t="s">
        <v>665</v>
      </c>
      <c r="L38" s="5" t="s">
        <v>70</v>
      </c>
      <c r="M38" s="5" t="s">
        <v>21</v>
      </c>
      <c r="O38" s="5" t="s">
        <v>666</v>
      </c>
      <c r="P38" s="7" t="s">
        <v>667</v>
      </c>
    </row>
    <row r="39" spans="1:16" ht="45" x14ac:dyDescent="0.25">
      <c r="A39" s="4" t="s">
        <v>668</v>
      </c>
      <c r="B39" s="4" t="s">
        <v>669</v>
      </c>
      <c r="C39" s="4" t="s">
        <v>133</v>
      </c>
      <c r="D39" s="5" t="str">
        <f>"1536-7290"</f>
        <v>1536-7290</v>
      </c>
      <c r="E39" s="5" t="str">
        <f>"2022 Jul"</f>
        <v>2022 Jul</v>
      </c>
      <c r="F39" s="5">
        <v>22</v>
      </c>
      <c r="G39" s="5">
        <v>7</v>
      </c>
      <c r="H39" s="5">
        <v>964</v>
      </c>
      <c r="J39" s="5">
        <v>33858296</v>
      </c>
      <c r="K39" s="4" t="s">
        <v>670</v>
      </c>
      <c r="L39" s="5" t="s">
        <v>500</v>
      </c>
      <c r="M39" s="5" t="s">
        <v>21</v>
      </c>
      <c r="N39" s="4" t="s">
        <v>671</v>
      </c>
      <c r="O39" s="5" t="s">
        <v>672</v>
      </c>
      <c r="P39" s="7" t="s">
        <v>673</v>
      </c>
    </row>
    <row r="40" spans="1:16" ht="60" x14ac:dyDescent="0.25">
      <c r="A40" s="4" t="s">
        <v>674</v>
      </c>
      <c r="B40" s="4" t="s">
        <v>675</v>
      </c>
      <c r="C40" s="4" t="s">
        <v>676</v>
      </c>
      <c r="D40" s="5" t="str">
        <f>"1932-6203"</f>
        <v>1932-6203</v>
      </c>
      <c r="E40" s="5" t="str">
        <f>"2022 Sep 19"</f>
        <v>2022 Sep 19</v>
      </c>
      <c r="F40" s="5">
        <v>17</v>
      </c>
      <c r="G40" s="5">
        <v>9</v>
      </c>
      <c r="H40" s="5" t="s">
        <v>677</v>
      </c>
      <c r="J40" s="5">
        <v>36121825</v>
      </c>
      <c r="K40" s="4" t="s">
        <v>678</v>
      </c>
      <c r="L40" s="5" t="s">
        <v>679</v>
      </c>
      <c r="M40" s="5" t="s">
        <v>21</v>
      </c>
      <c r="N40" s="4" t="s">
        <v>680</v>
      </c>
      <c r="O40" s="5" t="s">
        <v>681</v>
      </c>
      <c r="P40" s="7" t="s">
        <v>682</v>
      </c>
    </row>
    <row r="41" spans="1:16" ht="75" x14ac:dyDescent="0.25">
      <c r="A41" s="4" t="s">
        <v>683</v>
      </c>
      <c r="B41" s="4" t="s">
        <v>684</v>
      </c>
      <c r="C41" s="4" t="s">
        <v>318</v>
      </c>
      <c r="D41" s="5" t="str">
        <f>"1555-0273"</f>
        <v>1555-0273</v>
      </c>
      <c r="E41" s="5" t="str">
        <f>"2022 May 23"</f>
        <v>2022 May 23</v>
      </c>
      <c r="F41" s="5">
        <v>17</v>
      </c>
      <c r="G41" s="5">
        <v>7</v>
      </c>
      <c r="H41" s="5">
        <v>1140</v>
      </c>
      <c r="J41" s="5">
        <v>35606094</v>
      </c>
      <c r="K41" s="4" t="s">
        <v>685</v>
      </c>
      <c r="L41" s="5" t="s">
        <v>322</v>
      </c>
      <c r="M41" s="5" t="s">
        <v>21</v>
      </c>
      <c r="N41" s="4" t="s">
        <v>686</v>
      </c>
      <c r="O41" s="5" t="s">
        <v>687</v>
      </c>
      <c r="P41" s="7" t="s">
        <v>688</v>
      </c>
    </row>
    <row r="42" spans="1:16" ht="45" x14ac:dyDescent="0.25">
      <c r="A42" s="4" t="s">
        <v>689</v>
      </c>
      <c r="B42" s="4" t="s">
        <v>690</v>
      </c>
      <c r="C42" s="4" t="s">
        <v>318</v>
      </c>
      <c r="D42" s="5" t="str">
        <f>"1555-0273"</f>
        <v>1555-0273</v>
      </c>
      <c r="E42" s="5" t="str">
        <f>"2022 Feb 01"</f>
        <v>2022 Feb 01</v>
      </c>
      <c r="F42" s="5">
        <v>17</v>
      </c>
      <c r="G42" s="5">
        <v>2</v>
      </c>
      <c r="H42" s="5">
        <v>149</v>
      </c>
      <c r="J42" s="5">
        <v>34942596</v>
      </c>
      <c r="K42" s="4" t="s">
        <v>691</v>
      </c>
      <c r="L42" s="5" t="s">
        <v>322</v>
      </c>
      <c r="M42" s="5" t="s">
        <v>633</v>
      </c>
      <c r="N42" s="4" t="s">
        <v>692</v>
      </c>
      <c r="P42" s="7" t="s">
        <v>693</v>
      </c>
    </row>
    <row r="43" spans="1:16" ht="60" x14ac:dyDescent="0.25">
      <c r="A43" s="4" t="s">
        <v>694</v>
      </c>
      <c r="B43" s="4" t="s">
        <v>695</v>
      </c>
      <c r="C43" s="4" t="s">
        <v>696</v>
      </c>
      <c r="D43" s="5" t="str">
        <f>"1439-3964"</f>
        <v>1439-3964</v>
      </c>
      <c r="E43" s="5" t="str">
        <f>"2022 May"</f>
        <v>2022 May</v>
      </c>
      <c r="F43" s="5">
        <v>43</v>
      </c>
      <c r="G43" s="5">
        <v>5</v>
      </c>
      <c r="H43" s="5">
        <v>401</v>
      </c>
      <c r="J43" s="5">
        <v>34734400</v>
      </c>
      <c r="K43" s="4" t="s">
        <v>697</v>
      </c>
      <c r="L43" s="5" t="s">
        <v>698</v>
      </c>
      <c r="M43" s="5" t="s">
        <v>21</v>
      </c>
      <c r="N43" s="4" t="s">
        <v>699</v>
      </c>
      <c r="O43" s="5" t="s">
        <v>700</v>
      </c>
      <c r="P43" s="7" t="s">
        <v>701</v>
      </c>
    </row>
    <row r="44" spans="1:16" ht="60" x14ac:dyDescent="0.25">
      <c r="A44" s="4" t="s">
        <v>425</v>
      </c>
      <c r="B44" s="4" t="s">
        <v>702</v>
      </c>
      <c r="C44" s="4" t="s">
        <v>16</v>
      </c>
      <c r="D44" s="5" t="str">
        <f>"1752-6116"</f>
        <v>1752-6116</v>
      </c>
      <c r="E44" s="5" t="str">
        <f>"2022 Sep 06"</f>
        <v>2022 Sep 06</v>
      </c>
      <c r="H44" s="5">
        <v>1</v>
      </c>
      <c r="J44" s="5">
        <v>36065960</v>
      </c>
      <c r="K44" s="4" t="s">
        <v>703</v>
      </c>
      <c r="L44" s="5" t="s">
        <v>20</v>
      </c>
      <c r="M44" s="5" t="s">
        <v>21</v>
      </c>
      <c r="O44" s="5" t="s">
        <v>704</v>
      </c>
      <c r="P44" s="7" t="s">
        <v>705</v>
      </c>
    </row>
    <row r="45" spans="1:16" ht="409.5" x14ac:dyDescent="0.25">
      <c r="A45" s="4" t="s">
        <v>706</v>
      </c>
      <c r="B45" s="4" t="s">
        <v>707</v>
      </c>
      <c r="C45" s="4" t="s">
        <v>444</v>
      </c>
      <c r="D45" s="5" t="str">
        <f>"1179-2035"</f>
        <v>1179-2035</v>
      </c>
      <c r="E45" s="5" t="str">
        <f>"2022 Apr"</f>
        <v>2022 Apr</v>
      </c>
      <c r="F45" s="5">
        <v>52</v>
      </c>
      <c r="G45" s="5">
        <v>4</v>
      </c>
      <c r="H45" s="5">
        <v>933</v>
      </c>
      <c r="J45" s="5">
        <v>34687439</v>
      </c>
      <c r="K45" s="4" t="s">
        <v>708</v>
      </c>
      <c r="L45" s="5" t="s">
        <v>446</v>
      </c>
      <c r="M45" s="5" t="s">
        <v>21</v>
      </c>
      <c r="N45" s="4" t="s">
        <v>709</v>
      </c>
      <c r="O45" s="5" t="s">
        <v>710</v>
      </c>
      <c r="P45" s="7" t="s">
        <v>711</v>
      </c>
    </row>
    <row r="46" spans="1:16" ht="60" x14ac:dyDescent="0.25">
      <c r="A46" s="4" t="s">
        <v>712</v>
      </c>
      <c r="B46" s="4" t="s">
        <v>713</v>
      </c>
      <c r="C46" s="4" t="s">
        <v>163</v>
      </c>
      <c r="D46" s="5" t="str">
        <f>"2199-1170"</f>
        <v>2199-1170</v>
      </c>
      <c r="E46" s="5" t="str">
        <f>"2022 Mar 03"</f>
        <v>2022 Mar 03</v>
      </c>
      <c r="F46" s="5">
        <v>8</v>
      </c>
      <c r="G46" s="5">
        <v>1</v>
      </c>
      <c r="H46" s="5">
        <v>30</v>
      </c>
      <c r="J46" s="5">
        <v>35239063</v>
      </c>
      <c r="K46" s="4" t="s">
        <v>714</v>
      </c>
      <c r="L46" s="5" t="s">
        <v>167</v>
      </c>
      <c r="M46" s="5" t="s">
        <v>21</v>
      </c>
      <c r="O46" s="5" t="s">
        <v>715</v>
      </c>
      <c r="P46" s="7" t="s">
        <v>716</v>
      </c>
    </row>
    <row r="47" spans="1:16" ht="45" x14ac:dyDescent="0.25">
      <c r="A47" s="4" t="s">
        <v>717</v>
      </c>
      <c r="B47" s="4" t="s">
        <v>718</v>
      </c>
      <c r="C47" s="4" t="s">
        <v>719</v>
      </c>
      <c r="D47" s="5" t="str">
        <f>"0860-021X"</f>
        <v>0860-021X</v>
      </c>
      <c r="E47" s="5" t="str">
        <f>"2022 Sep"</f>
        <v>2022 Sep</v>
      </c>
      <c r="F47" s="5">
        <v>39</v>
      </c>
      <c r="G47" s="5">
        <v>3</v>
      </c>
      <c r="H47" s="5">
        <v>751</v>
      </c>
      <c r="J47" s="5">
        <v>35959341</v>
      </c>
      <c r="K47" s="4" t="s">
        <v>720</v>
      </c>
      <c r="L47" s="5" t="s">
        <v>721</v>
      </c>
      <c r="M47" s="5" t="s">
        <v>21</v>
      </c>
      <c r="O47" s="5" t="s">
        <v>722</v>
      </c>
      <c r="P47" s="7" t="s">
        <v>723</v>
      </c>
    </row>
    <row r="49" spans="1:16" x14ac:dyDescent="0.25">
      <c r="A49" s="34" t="s">
        <v>724</v>
      </c>
      <c r="B49" s="34"/>
      <c r="C49" s="34"/>
      <c r="D49" s="34"/>
      <c r="E49" s="34"/>
      <c r="F49" s="34"/>
      <c r="G49" s="34"/>
      <c r="H49" s="34"/>
      <c r="I49" s="34"/>
      <c r="J49" s="34"/>
      <c r="K49" s="34"/>
      <c r="L49" s="34"/>
      <c r="M49" s="34"/>
      <c r="N49" s="34"/>
      <c r="O49" s="34"/>
      <c r="P49" s="34"/>
    </row>
    <row r="50" spans="1:16" ht="105" x14ac:dyDescent="0.25">
      <c r="A50" s="11" t="s">
        <v>725</v>
      </c>
      <c r="B50" s="11" t="s">
        <v>726</v>
      </c>
      <c r="C50" s="11" t="s">
        <v>466</v>
      </c>
      <c r="D50" s="12" t="s">
        <v>727</v>
      </c>
      <c r="E50" s="12" t="s">
        <v>728</v>
      </c>
      <c r="F50" s="12">
        <v>36</v>
      </c>
      <c r="G50" s="12">
        <v>12</v>
      </c>
      <c r="H50" s="12">
        <v>3473</v>
      </c>
      <c r="K50" s="12" t="s">
        <v>729</v>
      </c>
      <c r="L50" s="12" t="s">
        <v>468</v>
      </c>
      <c r="M50" s="12" t="s">
        <v>21</v>
      </c>
      <c r="N50" s="12" t="s">
        <v>730</v>
      </c>
      <c r="O50" s="12" t="s">
        <v>731</v>
      </c>
      <c r="P50" s="13" t="s">
        <v>732</v>
      </c>
    </row>
    <row r="51" spans="1:16" ht="60" x14ac:dyDescent="0.25">
      <c r="A51" s="14" t="s">
        <v>733</v>
      </c>
      <c r="B51" s="14" t="s">
        <v>734</v>
      </c>
      <c r="C51" s="14" t="s">
        <v>466</v>
      </c>
      <c r="D51" s="15" t="s">
        <v>727</v>
      </c>
      <c r="E51" s="15" t="s">
        <v>735</v>
      </c>
      <c r="F51" s="15">
        <v>36</v>
      </c>
      <c r="G51" s="15">
        <v>11</v>
      </c>
      <c r="H51" s="15">
        <v>3136</v>
      </c>
      <c r="K51" s="15" t="s">
        <v>736</v>
      </c>
      <c r="L51" s="15" t="s">
        <v>468</v>
      </c>
      <c r="M51" s="15" t="s">
        <v>21</v>
      </c>
      <c r="N51" s="15" t="s">
        <v>737</v>
      </c>
      <c r="O51" s="15" t="s">
        <v>738</v>
      </c>
      <c r="P51" s="16" t="s">
        <v>739</v>
      </c>
    </row>
    <row r="52" spans="1:16" ht="45" x14ac:dyDescent="0.25">
      <c r="A52" s="11" t="s">
        <v>740</v>
      </c>
      <c r="B52" s="11" t="s">
        <v>741</v>
      </c>
      <c r="C52" s="11" t="s">
        <v>676</v>
      </c>
      <c r="D52" s="12" t="s">
        <v>742</v>
      </c>
      <c r="E52" s="12" t="s">
        <v>743</v>
      </c>
      <c r="F52" s="12">
        <v>17</v>
      </c>
      <c r="G52" s="12">
        <v>10</v>
      </c>
      <c r="H52" s="12" t="s">
        <v>744</v>
      </c>
      <c r="K52" s="12" t="s">
        <v>745</v>
      </c>
      <c r="L52" s="12" t="s">
        <v>679</v>
      </c>
      <c r="M52" s="12" t="s">
        <v>21</v>
      </c>
      <c r="N52" s="12" t="s">
        <v>746</v>
      </c>
      <c r="O52" s="12" t="s">
        <v>747</v>
      </c>
      <c r="P52" s="13" t="s">
        <v>748</v>
      </c>
    </row>
    <row r="53" spans="1:16" ht="409.5" x14ac:dyDescent="0.25">
      <c r="A53" s="14" t="s">
        <v>749</v>
      </c>
      <c r="B53" s="14" t="s">
        <v>707</v>
      </c>
      <c r="C53" s="14" t="s">
        <v>444</v>
      </c>
      <c r="D53" s="15" t="s">
        <v>750</v>
      </c>
      <c r="E53" s="15" t="s">
        <v>751</v>
      </c>
      <c r="F53" s="15"/>
      <c r="G53" s="15"/>
      <c r="H53" s="15"/>
      <c r="K53" s="15" t="s">
        <v>752</v>
      </c>
      <c r="L53" s="15" t="s">
        <v>446</v>
      </c>
      <c r="M53" s="15" t="s">
        <v>753</v>
      </c>
      <c r="N53" s="17"/>
      <c r="O53" s="15"/>
      <c r="P53" s="16" t="s">
        <v>754</v>
      </c>
    </row>
    <row r="54" spans="1:16" ht="45" x14ac:dyDescent="0.25">
      <c r="A54" s="11" t="s">
        <v>755</v>
      </c>
      <c r="B54" s="11" t="s">
        <v>756</v>
      </c>
      <c r="C54" s="11" t="s">
        <v>82</v>
      </c>
      <c r="D54" s="12" t="s">
        <v>83</v>
      </c>
      <c r="E54" s="12" t="s">
        <v>757</v>
      </c>
      <c r="F54" s="12"/>
      <c r="G54" s="12"/>
      <c r="H54" s="12"/>
      <c r="K54" s="12" t="s">
        <v>758</v>
      </c>
      <c r="L54" s="12" t="s">
        <v>86</v>
      </c>
      <c r="M54" s="12" t="s">
        <v>21</v>
      </c>
      <c r="N54" s="18"/>
      <c r="O54" s="12" t="s">
        <v>759</v>
      </c>
      <c r="P54" s="13" t="s">
        <v>760</v>
      </c>
    </row>
    <row r="55" spans="1:16" ht="75" x14ac:dyDescent="0.25">
      <c r="A55" s="14" t="s">
        <v>761</v>
      </c>
      <c r="B55" s="14" t="s">
        <v>762</v>
      </c>
      <c r="C55" s="14" t="s">
        <v>16</v>
      </c>
      <c r="D55" s="15" t="s">
        <v>17</v>
      </c>
      <c r="E55" s="15" t="s">
        <v>763</v>
      </c>
      <c r="F55" s="15"/>
      <c r="G55" s="15"/>
      <c r="H55" s="15">
        <v>1</v>
      </c>
      <c r="K55" s="15" t="s">
        <v>764</v>
      </c>
      <c r="L55" s="15" t="s">
        <v>20</v>
      </c>
      <c r="M55" s="15" t="s">
        <v>21</v>
      </c>
      <c r="N55" s="17"/>
      <c r="O55" s="15" t="s">
        <v>765</v>
      </c>
      <c r="P55" s="16" t="s">
        <v>766</v>
      </c>
    </row>
    <row r="56" spans="1:16" ht="60" x14ac:dyDescent="0.25">
      <c r="A56" s="11" t="s">
        <v>379</v>
      </c>
      <c r="B56" s="11" t="s">
        <v>767</v>
      </c>
      <c r="C56" s="11" t="s">
        <v>381</v>
      </c>
      <c r="D56" s="12" t="s">
        <v>382</v>
      </c>
      <c r="E56" s="12" t="s">
        <v>768</v>
      </c>
      <c r="F56" s="12"/>
      <c r="G56" s="12"/>
      <c r="H56" s="12">
        <v>1</v>
      </c>
      <c r="K56" s="12" t="s">
        <v>384</v>
      </c>
      <c r="L56" s="12" t="s">
        <v>290</v>
      </c>
      <c r="M56" s="12" t="s">
        <v>21</v>
      </c>
      <c r="N56" s="18"/>
      <c r="O56" s="12" t="s">
        <v>387</v>
      </c>
      <c r="P56" s="13" t="s">
        <v>388</v>
      </c>
    </row>
    <row r="57" spans="1:16" ht="60" x14ac:dyDescent="0.25">
      <c r="A57" s="14" t="s">
        <v>769</v>
      </c>
      <c r="B57" s="14" t="s">
        <v>770</v>
      </c>
      <c r="C57" s="14" t="s">
        <v>771</v>
      </c>
      <c r="D57" s="15" t="s">
        <v>772</v>
      </c>
      <c r="E57" s="15" t="s">
        <v>773</v>
      </c>
      <c r="F57" s="15">
        <v>20</v>
      </c>
      <c r="G57" s="15">
        <v>1</v>
      </c>
      <c r="H57" s="15"/>
      <c r="K57" s="15" t="s">
        <v>774</v>
      </c>
      <c r="L57" s="15" t="s">
        <v>775</v>
      </c>
      <c r="M57" s="15" t="s">
        <v>21</v>
      </c>
      <c r="N57" s="15" t="s">
        <v>776</v>
      </c>
      <c r="O57" s="15" t="s">
        <v>777</v>
      </c>
      <c r="P57" s="16" t="s">
        <v>778</v>
      </c>
    </row>
  </sheetData>
  <mergeCells count="1">
    <mergeCell ref="A49:P49"/>
  </mergeCells>
  <hyperlinks>
    <hyperlink ref="P2" r:id="rId1" xr:uid="{531BE822-9A84-4B50-BC66-E138C2BC6547}"/>
    <hyperlink ref="P3" r:id="rId2" xr:uid="{85AC2853-46C4-4E6E-948C-A08011883ECB}"/>
    <hyperlink ref="P4" r:id="rId3" xr:uid="{1C2454BC-0000-41EE-827F-60BE8220649B}"/>
    <hyperlink ref="P5" r:id="rId4" xr:uid="{A529B906-9921-4547-B16F-258CEFD2E37F}"/>
    <hyperlink ref="P6" r:id="rId5" xr:uid="{47F86760-499F-4A09-B0F4-9333792B8832}"/>
    <hyperlink ref="P7" r:id="rId6" xr:uid="{AD89AEE7-3D18-414E-AE7B-1D0FC7B9A412}"/>
    <hyperlink ref="P8" r:id="rId7" xr:uid="{0AFE7AE7-EC98-4EB5-8DD6-ED926357C566}"/>
    <hyperlink ref="P9" r:id="rId8" xr:uid="{A151C85C-646B-40F9-9756-08EE9C986C44}"/>
    <hyperlink ref="P10" r:id="rId9" xr:uid="{C6EA6092-A78F-46B8-9987-AB8D60B19B94}"/>
    <hyperlink ref="P11" r:id="rId10" xr:uid="{2A3C34E0-BC8B-441E-8EDC-5CEFA8EB4F62}"/>
    <hyperlink ref="P12" r:id="rId11" xr:uid="{D6941B2D-E52D-42DA-86F3-BD0452D3F123}"/>
    <hyperlink ref="P13" r:id="rId12" xr:uid="{3391CE16-4E3B-4874-85FF-19567AEB9F79}"/>
    <hyperlink ref="P14" r:id="rId13" xr:uid="{CC3A7906-F291-4BA1-93C3-6519C9D7D344}"/>
    <hyperlink ref="P15" r:id="rId14" xr:uid="{4082648D-9C84-47DE-81ED-1722F0117380}"/>
    <hyperlink ref="P16" r:id="rId15" xr:uid="{2C00A8DD-BB85-40C3-9ED2-0A72120D0052}"/>
    <hyperlink ref="P17" r:id="rId16" xr:uid="{94AFF507-49B7-45BA-A9F3-FEA56D1C3272}"/>
    <hyperlink ref="P18" r:id="rId17" xr:uid="{A087D1B4-3F7B-438C-A3DC-8BAF8D770D29}"/>
    <hyperlink ref="P19" r:id="rId18" xr:uid="{30AD69FF-956E-41D5-A595-FF30B219CDAA}"/>
    <hyperlink ref="P20" r:id="rId19" xr:uid="{35460A6A-E7C3-4D3F-9055-B4105DD6251B}"/>
    <hyperlink ref="P21" r:id="rId20" xr:uid="{7E527D5D-1742-46AB-8993-49158FAF3B47}"/>
    <hyperlink ref="P22" r:id="rId21" xr:uid="{7DFAA432-E17B-4840-BAFD-7CE39D929D16}"/>
    <hyperlink ref="P23" r:id="rId22" xr:uid="{14D4D27B-9D7F-4269-997A-07DABBCDA132}"/>
    <hyperlink ref="P24" r:id="rId23" xr:uid="{4DB70403-1C61-4B71-B4CF-31690DEB259A}"/>
    <hyperlink ref="P25" r:id="rId24" xr:uid="{E6F54038-897D-40BC-ACAE-1EAA88AF9692}"/>
    <hyperlink ref="P26" r:id="rId25" xr:uid="{C24C80BE-D9E7-434C-8DAC-A9BC1E016CBE}"/>
    <hyperlink ref="P27" r:id="rId26" xr:uid="{260CDFA2-9BF4-4B8B-9695-05C01468714C}"/>
    <hyperlink ref="P28" r:id="rId27" xr:uid="{1A08A36A-19EB-49F0-B7A7-1AEC23137E49}"/>
    <hyperlink ref="P29" r:id="rId28" xr:uid="{CCF128FD-E96A-4D20-8F64-06A744D35838}"/>
    <hyperlink ref="P30" r:id="rId29" xr:uid="{A6252CCE-F133-4041-AD59-0D6C5A42440C}"/>
    <hyperlink ref="P31" r:id="rId30" xr:uid="{23629BFC-2841-48B9-B90A-735587138229}"/>
    <hyperlink ref="P32" r:id="rId31" xr:uid="{228C5780-5355-49E1-A117-8DE226A843A6}"/>
    <hyperlink ref="P33" r:id="rId32" xr:uid="{019F4E69-F0CF-4EA8-AB9C-52E15D668820}"/>
    <hyperlink ref="P34" r:id="rId33" xr:uid="{4920E096-93C3-4780-87E0-B87ABD56C556}"/>
    <hyperlink ref="P35" r:id="rId34" xr:uid="{B8E8A8C7-0F74-46E8-83BA-CBC49A9A5B8A}"/>
    <hyperlink ref="P36" r:id="rId35" xr:uid="{CB42699F-0966-46FE-ACFC-EA7AE53802BF}"/>
    <hyperlink ref="P37" r:id="rId36" xr:uid="{238082EB-B080-456E-96B5-C37C485778FA}"/>
    <hyperlink ref="P38" r:id="rId37" xr:uid="{F379886F-90AE-454A-9039-76F33C39FA85}"/>
    <hyperlink ref="P39" r:id="rId38" xr:uid="{8B8FE236-F13E-4A36-BE5B-B673D0255299}"/>
    <hyperlink ref="P40" r:id="rId39" xr:uid="{49CD4EB0-29ED-4FB1-8103-DF0561567257}"/>
    <hyperlink ref="P41" r:id="rId40" xr:uid="{21409E3E-4F05-425A-92C0-E791C7ACED8A}"/>
    <hyperlink ref="P42" r:id="rId41" xr:uid="{88F2A0A0-C590-4492-A983-C6FF39940A6A}"/>
    <hyperlink ref="P43" r:id="rId42" xr:uid="{5ED43839-2C55-475E-B901-B176592135EB}"/>
    <hyperlink ref="P44" r:id="rId43" xr:uid="{C03F15EE-9D7C-4A5F-AA1C-9631DD5D3EEE}"/>
    <hyperlink ref="P45" r:id="rId44" xr:uid="{408CDA80-D1A0-409B-B14B-93C00A007A2F}"/>
    <hyperlink ref="P46" r:id="rId45" xr:uid="{02CDDE0A-6927-479A-9B80-72E10BDE3D8E}"/>
    <hyperlink ref="P47" r:id="rId46" xr:uid="{8E603BB7-ED32-4338-826F-B679E4C22DB8}"/>
    <hyperlink ref="P50" r:id="rId47" xr:uid="{9FA97C10-B9F8-40E7-97B8-B7A5165CA5AA}"/>
    <hyperlink ref="P51" r:id="rId48" xr:uid="{540F311C-E2B7-4284-88EF-555234D25ABF}"/>
    <hyperlink ref="P52" r:id="rId49" xr:uid="{42D0F326-0ECD-4FEF-AAE3-B0A0494CDE0B}"/>
    <hyperlink ref="P53" r:id="rId50" xr:uid="{99DDB236-E317-4212-8773-0049247387A3}"/>
    <hyperlink ref="P54" r:id="rId51" xr:uid="{A9D2AE06-FAA1-47BA-BE73-17BEF316235A}"/>
    <hyperlink ref="P55" r:id="rId52" xr:uid="{94A81379-3B07-4CC7-91B4-6729A005DEBF}"/>
    <hyperlink ref="P56" r:id="rId53" xr:uid="{D5D70BD2-2EED-4B69-8F9A-62DF41D2D90D}"/>
    <hyperlink ref="P57" r:id="rId54" xr:uid="{4B924A80-BF62-4018-BAA9-6A44EE541D21}"/>
  </hyperlinks>
  <pageMargins left="0.7" right="0.7" top="0.75" bottom="0.75" header="0.3" footer="0.3"/>
  <headerFooter>
    <oddHeader>&amp;C&amp;"Calibri"&amp;12&amp;KFF0000 OFFICIAL&amp;1#_x000D_</oddHeader>
  </headerFooter>
  <tableParts count="1">
    <tablePart r:id="rId55"/>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50909-45D5-4E32-8D47-B22F1037415B}">
  <dimension ref="A1:Q49"/>
  <sheetViews>
    <sheetView workbookViewId="0">
      <selection activeCell="I1" sqref="I1:J1048576"/>
    </sheetView>
  </sheetViews>
  <sheetFormatPr defaultColWidth="9.140625" defaultRowHeight="15" x14ac:dyDescent="0.25"/>
  <cols>
    <col min="1" max="1" width="38.140625" style="1" customWidth="1"/>
    <col min="2" max="2" width="33.85546875" style="1" customWidth="1"/>
    <col min="3" max="3" width="25.7109375" style="1" customWidth="1"/>
    <col min="4" max="4" width="11.85546875" style="2" customWidth="1"/>
    <col min="5" max="5" width="17.7109375" style="2" customWidth="1"/>
    <col min="6" max="6" width="10.140625" style="2" customWidth="1"/>
    <col min="7" max="7" width="9.140625" style="2"/>
    <col min="8" max="8" width="11.7109375" style="2" customWidth="1"/>
    <col min="9" max="9" width="13.140625" style="2" hidden="1" customWidth="1"/>
    <col min="10" max="10" width="19.42578125" style="2" hidden="1" customWidth="1"/>
    <col min="11" max="11" width="14.28515625" style="1" customWidth="1"/>
    <col min="12" max="12" width="17.28515625" style="1" customWidth="1"/>
    <col min="13" max="13" width="18" style="2" bestFit="1" customWidth="1"/>
    <col min="14" max="14" width="39" style="1" customWidth="1"/>
    <col min="15" max="15" width="11.85546875" style="2" hidden="1" customWidth="1"/>
    <col min="16" max="16" width="23.42578125" style="2" customWidth="1"/>
    <col min="17" max="17" width="21.7109375" style="2" customWidth="1"/>
    <col min="18" max="16384" width="9.140625" style="2"/>
  </cols>
  <sheetData>
    <row r="1" spans="1:17" x14ac:dyDescent="0.25">
      <c r="A1" s="1" t="s">
        <v>0</v>
      </c>
      <c r="B1" s="1" t="s">
        <v>1</v>
      </c>
      <c r="C1" s="1" t="s">
        <v>2</v>
      </c>
      <c r="D1" s="2" t="s">
        <v>3</v>
      </c>
      <c r="E1" s="2" t="s">
        <v>4</v>
      </c>
      <c r="F1" s="2" t="s">
        <v>5</v>
      </c>
      <c r="G1" s="2" t="s">
        <v>6</v>
      </c>
      <c r="H1" s="2" t="s">
        <v>7</v>
      </c>
      <c r="I1" s="2" t="s">
        <v>140</v>
      </c>
      <c r="J1" s="2" t="s">
        <v>141</v>
      </c>
      <c r="K1" s="1" t="s">
        <v>8</v>
      </c>
      <c r="L1" s="1" t="s">
        <v>9</v>
      </c>
      <c r="M1" s="2" t="s">
        <v>10</v>
      </c>
      <c r="N1" s="1" t="s">
        <v>11</v>
      </c>
      <c r="O1" s="2" t="s">
        <v>779</v>
      </c>
      <c r="P1" s="2" t="s">
        <v>12</v>
      </c>
      <c r="Q1" s="2" t="s">
        <v>13</v>
      </c>
    </row>
    <row r="2" spans="1:17" ht="45" x14ac:dyDescent="0.25">
      <c r="A2" s="1" t="s">
        <v>780</v>
      </c>
      <c r="B2" s="1" t="s">
        <v>781</v>
      </c>
      <c r="C2" s="1" t="s">
        <v>16</v>
      </c>
      <c r="D2" s="2" t="str">
        <f>"1752-6116"</f>
        <v>1752-6116</v>
      </c>
      <c r="E2" s="2" t="str">
        <f>"2021 Dec"</f>
        <v>2021 Dec</v>
      </c>
      <c r="F2" s="2">
        <v>20</v>
      </c>
      <c r="G2" s="2">
        <v>8</v>
      </c>
      <c r="H2" s="2">
        <v>1001</v>
      </c>
      <c r="J2" s="2">
        <v>31354108</v>
      </c>
      <c r="K2" s="1" t="s">
        <v>782</v>
      </c>
      <c r="L2" s="1" t="s">
        <v>20</v>
      </c>
      <c r="M2" s="2" t="s">
        <v>21</v>
      </c>
      <c r="N2" s="1" t="s">
        <v>783</v>
      </c>
      <c r="P2" s="2" t="s">
        <v>784</v>
      </c>
      <c r="Q2" s="6" t="s">
        <v>785</v>
      </c>
    </row>
    <row r="3" spans="1:17" ht="75" x14ac:dyDescent="0.25">
      <c r="A3" s="1" t="s">
        <v>725</v>
      </c>
      <c r="B3" s="1" t="s">
        <v>726</v>
      </c>
      <c r="C3" s="1" t="s">
        <v>466</v>
      </c>
      <c r="D3" s="2" t="str">
        <f>"1533-4287"</f>
        <v>1533-4287</v>
      </c>
      <c r="E3" s="2" t="str">
        <f>"2021 Sep 10"</f>
        <v>2021 Sep 10</v>
      </c>
      <c r="J3" s="2">
        <v>34537801</v>
      </c>
      <c r="K3" s="1" t="s">
        <v>729</v>
      </c>
      <c r="L3" s="1" t="s">
        <v>468</v>
      </c>
      <c r="M3" s="2" t="s">
        <v>21</v>
      </c>
      <c r="P3" s="2" t="s">
        <v>786</v>
      </c>
      <c r="Q3" s="6" t="s">
        <v>732</v>
      </c>
    </row>
    <row r="4" spans="1:17" ht="60" x14ac:dyDescent="0.25">
      <c r="A4" s="1" t="s">
        <v>787</v>
      </c>
      <c r="B4" s="1" t="s">
        <v>788</v>
      </c>
      <c r="C4" s="1" t="s">
        <v>789</v>
      </c>
      <c r="D4" s="2" t="str">
        <f>"1469-7793"</f>
        <v>1469-7793</v>
      </c>
      <c r="E4" s="2" t="str">
        <f>"2021 Feb"</f>
        <v>2021 Feb</v>
      </c>
      <c r="F4" s="2">
        <v>599</v>
      </c>
      <c r="G4" s="2">
        <v>3</v>
      </c>
      <c r="H4" s="2">
        <v>771</v>
      </c>
      <c r="J4" s="2">
        <v>32697366</v>
      </c>
      <c r="K4" s="1" t="s">
        <v>790</v>
      </c>
      <c r="L4" s="1" t="s">
        <v>791</v>
      </c>
      <c r="M4" s="2" t="s">
        <v>21</v>
      </c>
      <c r="N4" s="1" t="s">
        <v>792</v>
      </c>
      <c r="P4" s="2" t="s">
        <v>793</v>
      </c>
      <c r="Q4" s="6" t="s">
        <v>794</v>
      </c>
    </row>
    <row r="5" spans="1:17" ht="105" x14ac:dyDescent="0.25">
      <c r="A5" s="1" t="s">
        <v>795</v>
      </c>
      <c r="B5" s="1" t="s">
        <v>796</v>
      </c>
      <c r="C5" s="1" t="s">
        <v>797</v>
      </c>
      <c r="D5" s="2" t="str">
        <f>"1530-0315"</f>
        <v>1530-0315</v>
      </c>
      <c r="E5" s="2" t="str">
        <f>"2021 Dec 01"</f>
        <v>2021 Dec 01</v>
      </c>
      <c r="F5" s="2">
        <v>53</v>
      </c>
      <c r="G5" s="2">
        <v>12</v>
      </c>
      <c r="H5" s="2">
        <v>2618</v>
      </c>
      <c r="J5" s="2">
        <v>34649262</v>
      </c>
      <c r="K5" s="1" t="s">
        <v>798</v>
      </c>
      <c r="L5" s="1" t="s">
        <v>156</v>
      </c>
      <c r="M5" s="2" t="s">
        <v>21</v>
      </c>
      <c r="N5" s="1" t="s">
        <v>799</v>
      </c>
      <c r="P5" s="2" t="s">
        <v>800</v>
      </c>
      <c r="Q5" s="6" t="s">
        <v>801</v>
      </c>
    </row>
    <row r="6" spans="1:17" ht="60" x14ac:dyDescent="0.25">
      <c r="A6" s="1" t="s">
        <v>733</v>
      </c>
      <c r="B6" s="1" t="s">
        <v>734</v>
      </c>
      <c r="C6" s="1" t="s">
        <v>466</v>
      </c>
      <c r="D6" s="2" t="str">
        <f>"1533-4287"</f>
        <v>1533-4287</v>
      </c>
      <c r="E6" s="2" t="str">
        <f>"2021 Mar 31"</f>
        <v>2021 Mar 31</v>
      </c>
      <c r="J6" s="2">
        <v>33795602</v>
      </c>
      <c r="K6" s="1" t="s">
        <v>736</v>
      </c>
      <c r="L6" s="1" t="s">
        <v>468</v>
      </c>
      <c r="M6" s="2" t="s">
        <v>21</v>
      </c>
      <c r="P6" s="2" t="s">
        <v>802</v>
      </c>
      <c r="Q6" s="6" t="s">
        <v>739</v>
      </c>
    </row>
    <row r="7" spans="1:17" ht="195" x14ac:dyDescent="0.25">
      <c r="A7" s="1" t="s">
        <v>803</v>
      </c>
      <c r="B7" s="1" t="s">
        <v>804</v>
      </c>
      <c r="C7" s="1" t="s">
        <v>102</v>
      </c>
      <c r="D7" s="2" t="str">
        <f>"1473-0480"</f>
        <v>1473-0480</v>
      </c>
      <c r="E7" s="2" t="str">
        <f>"2021 Jan"</f>
        <v>2021 Jan</v>
      </c>
      <c r="F7" s="2">
        <v>55</v>
      </c>
      <c r="G7" s="2">
        <v>2</v>
      </c>
      <c r="H7" s="2">
        <v>118</v>
      </c>
      <c r="J7" s="2">
        <v>32816788</v>
      </c>
      <c r="K7" s="1" t="s">
        <v>805</v>
      </c>
      <c r="L7" s="1" t="s">
        <v>106</v>
      </c>
      <c r="M7" s="2" t="s">
        <v>21</v>
      </c>
      <c r="N7" s="1" t="s">
        <v>806</v>
      </c>
      <c r="P7" s="2" t="s">
        <v>807</v>
      </c>
      <c r="Q7" s="6" t="s">
        <v>808</v>
      </c>
    </row>
    <row r="8" spans="1:17" ht="60" x14ac:dyDescent="0.25">
      <c r="A8" s="1" t="s">
        <v>809</v>
      </c>
      <c r="B8" s="1" t="s">
        <v>810</v>
      </c>
      <c r="C8" s="1" t="s">
        <v>112</v>
      </c>
      <c r="D8" s="2" t="str">
        <f>"1536-3724"</f>
        <v>1536-3724</v>
      </c>
      <c r="E8" s="2" t="str">
        <f>"2021 Nov 01"</f>
        <v>2021 Nov 01</v>
      </c>
      <c r="F8" s="2">
        <v>31</v>
      </c>
      <c r="G8" s="2">
        <v>6</v>
      </c>
      <c r="H8" s="2" t="s">
        <v>811</v>
      </c>
      <c r="J8" s="2">
        <v>32073475</v>
      </c>
      <c r="K8" s="1" t="s">
        <v>812</v>
      </c>
      <c r="L8" s="1" t="s">
        <v>116</v>
      </c>
      <c r="M8" s="2" t="s">
        <v>21</v>
      </c>
      <c r="N8" s="1" t="s">
        <v>813</v>
      </c>
      <c r="P8" s="2" t="s">
        <v>814</v>
      </c>
      <c r="Q8" s="6" t="s">
        <v>815</v>
      </c>
    </row>
    <row r="9" spans="1:17" ht="90" x14ac:dyDescent="0.25">
      <c r="A9" s="1" t="s">
        <v>816</v>
      </c>
      <c r="B9" s="1" t="s">
        <v>817</v>
      </c>
      <c r="C9" s="1" t="s">
        <v>112</v>
      </c>
      <c r="D9" s="2" t="str">
        <f>"1536-3724"</f>
        <v>1536-3724</v>
      </c>
      <c r="E9" s="2" t="str">
        <f>"2021 Sep 01"</f>
        <v>2021 Sep 01</v>
      </c>
      <c r="F9" s="2">
        <v>31</v>
      </c>
      <c r="G9" s="2">
        <v>5</v>
      </c>
      <c r="H9" s="2">
        <v>401</v>
      </c>
      <c r="J9" s="2">
        <v>32073477</v>
      </c>
      <c r="K9" s="1" t="s">
        <v>818</v>
      </c>
      <c r="L9" s="1" t="s">
        <v>116</v>
      </c>
      <c r="M9" s="2" t="s">
        <v>21</v>
      </c>
      <c r="N9" s="1" t="s">
        <v>819</v>
      </c>
      <c r="P9" s="2" t="s">
        <v>820</v>
      </c>
      <c r="Q9" s="6" t="s">
        <v>821</v>
      </c>
    </row>
    <row r="10" spans="1:17" ht="150" x14ac:dyDescent="0.25">
      <c r="A10" s="1" t="s">
        <v>822</v>
      </c>
      <c r="B10" s="1" t="s">
        <v>823</v>
      </c>
      <c r="C10" s="1" t="s">
        <v>824</v>
      </c>
      <c r="D10" s="2" t="str">
        <f>"1715-5320"</f>
        <v>1715-5320</v>
      </c>
      <c r="E10" s="2" t="str">
        <f>"2021 Mar"</f>
        <v>2021 Mar</v>
      </c>
      <c r="F10" s="2">
        <v>46</v>
      </c>
      <c r="G10" s="2">
        <v>3</v>
      </c>
      <c r="H10" s="2">
        <v>280</v>
      </c>
      <c r="J10" s="2">
        <v>33075232</v>
      </c>
      <c r="K10" s="1" t="s">
        <v>825</v>
      </c>
      <c r="L10" s="1" t="s">
        <v>826</v>
      </c>
      <c r="M10" s="2" t="s">
        <v>21</v>
      </c>
      <c r="N10" s="1" t="s">
        <v>827</v>
      </c>
      <c r="P10" s="2" t="s">
        <v>828</v>
      </c>
      <c r="Q10" s="6" t="s">
        <v>829</v>
      </c>
    </row>
    <row r="11" spans="1:17" ht="60" x14ac:dyDescent="0.25">
      <c r="A11" s="1" t="s">
        <v>830</v>
      </c>
      <c r="B11" s="1" t="s">
        <v>831</v>
      </c>
      <c r="C11" s="1" t="s">
        <v>832</v>
      </c>
      <c r="D11" s="2" t="str">
        <f>"2624-9367"</f>
        <v>2624-9367</v>
      </c>
      <c r="E11" s="2" t="str">
        <f>"2021 Jan 28"</f>
        <v>2021 Jan 28</v>
      </c>
      <c r="F11" s="2">
        <v>2</v>
      </c>
      <c r="H11" s="2">
        <v>546205</v>
      </c>
      <c r="J11" s="2">
        <v>33585810</v>
      </c>
      <c r="K11" s="1" t="s">
        <v>833</v>
      </c>
      <c r="L11" s="1" t="s">
        <v>834</v>
      </c>
      <c r="M11" s="2" t="s">
        <v>21</v>
      </c>
      <c r="P11" s="2" t="s">
        <v>835</v>
      </c>
      <c r="Q11" s="6" t="s">
        <v>836</v>
      </c>
    </row>
    <row r="12" spans="1:17" ht="45" x14ac:dyDescent="0.25">
      <c r="A12" s="1" t="s">
        <v>837</v>
      </c>
      <c r="B12" s="1" t="s">
        <v>838</v>
      </c>
      <c r="C12" s="1" t="s">
        <v>839</v>
      </c>
      <c r="D12" s="2" t="str">
        <f>"1664-042X"</f>
        <v>1664-042X</v>
      </c>
      <c r="E12" s="2" t="str">
        <f>"2021 Nov 12"</f>
        <v>2021 Nov 12</v>
      </c>
      <c r="F12" s="2">
        <v>12</v>
      </c>
      <c r="H12" s="2">
        <v>758015</v>
      </c>
      <c r="J12" s="2">
        <v>34867462</v>
      </c>
      <c r="K12" s="1" t="s">
        <v>840</v>
      </c>
      <c r="L12" s="1" t="s">
        <v>640</v>
      </c>
      <c r="M12" s="2" t="s">
        <v>21</v>
      </c>
      <c r="P12" s="2" t="s">
        <v>841</v>
      </c>
      <c r="Q12" s="6" t="s">
        <v>842</v>
      </c>
    </row>
    <row r="13" spans="1:17" ht="30" x14ac:dyDescent="0.25">
      <c r="A13" s="1" t="s">
        <v>843</v>
      </c>
      <c r="B13" s="1" t="s">
        <v>844</v>
      </c>
      <c r="C13" s="1" t="s">
        <v>832</v>
      </c>
      <c r="D13" s="2" t="str">
        <f>"2624-9367"</f>
        <v>2624-9367</v>
      </c>
      <c r="E13" s="2" t="str">
        <f>"2021 Apr 22"</f>
        <v>2021 Apr 22</v>
      </c>
      <c r="F13" s="2">
        <v>3</v>
      </c>
      <c r="H13" s="2">
        <v>681766</v>
      </c>
      <c r="J13" s="2">
        <v>33969301</v>
      </c>
      <c r="K13" s="1" t="s">
        <v>845</v>
      </c>
      <c r="L13" s="1" t="s">
        <v>834</v>
      </c>
      <c r="M13" s="2" t="s">
        <v>753</v>
      </c>
      <c r="P13" s="2" t="s">
        <v>846</v>
      </c>
      <c r="Q13" s="6" t="s">
        <v>847</v>
      </c>
    </row>
    <row r="14" spans="1:17" ht="120" x14ac:dyDescent="0.25">
      <c r="A14" s="1" t="s">
        <v>848</v>
      </c>
      <c r="B14" s="1" t="s">
        <v>849</v>
      </c>
      <c r="C14" s="1" t="s">
        <v>36</v>
      </c>
      <c r="D14" s="2" t="str">
        <f>"1543-2742"</f>
        <v>1543-2742</v>
      </c>
      <c r="E14" s="2" t="str">
        <f>"2021 Jan 01"</f>
        <v>2021 Jan 01</v>
      </c>
      <c r="F14" s="2">
        <v>31</v>
      </c>
      <c r="G14" s="2">
        <v>1</v>
      </c>
      <c r="H14" s="2">
        <v>40</v>
      </c>
      <c r="J14" s="2">
        <v>33248439</v>
      </c>
      <c r="K14" s="1" t="s">
        <v>850</v>
      </c>
      <c r="L14" s="1" t="s">
        <v>40</v>
      </c>
      <c r="M14" s="2" t="s">
        <v>21</v>
      </c>
      <c r="N14" s="1" t="s">
        <v>851</v>
      </c>
      <c r="P14" s="2" t="s">
        <v>852</v>
      </c>
      <c r="Q14" s="6" t="s">
        <v>853</v>
      </c>
    </row>
    <row r="15" spans="1:17" ht="225" x14ac:dyDescent="0.25">
      <c r="A15" s="1" t="s">
        <v>854</v>
      </c>
      <c r="B15" s="1" t="s">
        <v>855</v>
      </c>
      <c r="C15" s="1" t="s">
        <v>36</v>
      </c>
      <c r="D15" s="2" t="str">
        <f>"1543-2742"</f>
        <v>1543-2742</v>
      </c>
      <c r="E15" s="2" t="str">
        <f>"2021 Jul 01"</f>
        <v>2021 Jul 01</v>
      </c>
      <c r="F15" s="2">
        <v>31</v>
      </c>
      <c r="G15" s="2">
        <v>4</v>
      </c>
      <c r="H15" s="2">
        <v>314</v>
      </c>
      <c r="J15" s="2">
        <v>34030124</v>
      </c>
      <c r="K15" s="1" t="s">
        <v>856</v>
      </c>
      <c r="L15" s="1" t="s">
        <v>40</v>
      </c>
      <c r="M15" s="2" t="s">
        <v>21</v>
      </c>
      <c r="N15" s="1" t="s">
        <v>857</v>
      </c>
      <c r="P15" s="2" t="s">
        <v>858</v>
      </c>
      <c r="Q15" s="6" t="s">
        <v>859</v>
      </c>
    </row>
    <row r="16" spans="1:17" ht="150" x14ac:dyDescent="0.25">
      <c r="A16" s="1" t="s">
        <v>860</v>
      </c>
      <c r="B16" s="1" t="s">
        <v>861</v>
      </c>
      <c r="C16" s="1" t="s">
        <v>862</v>
      </c>
      <c r="D16" s="2" t="str">
        <f>"2168-3824"</f>
        <v>2168-3824</v>
      </c>
      <c r="E16" s="2" t="str">
        <f>"2021 Mar"</f>
        <v>2021 Mar</v>
      </c>
      <c r="F16" s="2">
        <v>92</v>
      </c>
      <c r="G16" s="2">
        <v>1</v>
      </c>
      <c r="H16" s="2">
        <v>1</v>
      </c>
      <c r="J16" s="2">
        <v>32023202</v>
      </c>
      <c r="K16" s="1" t="s">
        <v>863</v>
      </c>
      <c r="L16" s="1" t="s">
        <v>864</v>
      </c>
      <c r="M16" s="2" t="s">
        <v>21</v>
      </c>
      <c r="N16" s="1" t="s">
        <v>865</v>
      </c>
      <c r="P16" s="2" t="s">
        <v>866</v>
      </c>
      <c r="Q16" s="6" t="s">
        <v>867</v>
      </c>
    </row>
    <row r="17" spans="1:17" ht="60" x14ac:dyDescent="0.25">
      <c r="A17" s="1" t="s">
        <v>868</v>
      </c>
      <c r="B17" s="1" t="s">
        <v>869</v>
      </c>
      <c r="C17" s="1" t="s">
        <v>163</v>
      </c>
      <c r="D17" s="2" t="str">
        <f>"2199-1170"</f>
        <v>2199-1170</v>
      </c>
      <c r="E17" s="2" t="str">
        <f>"2021 Aug 24"</f>
        <v>2021 Aug 24</v>
      </c>
      <c r="F17" s="2">
        <v>7</v>
      </c>
      <c r="G17" s="2">
        <v>1</v>
      </c>
      <c r="H17" s="2">
        <v>62</v>
      </c>
      <c r="J17" s="2">
        <v>34427796</v>
      </c>
      <c r="K17" s="1" t="s">
        <v>870</v>
      </c>
      <c r="L17" s="1" t="s">
        <v>167</v>
      </c>
      <c r="M17" s="2" t="s">
        <v>21</v>
      </c>
      <c r="P17" s="2" t="s">
        <v>871</v>
      </c>
      <c r="Q17" s="6" t="s">
        <v>872</v>
      </c>
    </row>
    <row r="18" spans="1:17" ht="90" x14ac:dyDescent="0.25">
      <c r="A18" s="1" t="s">
        <v>873</v>
      </c>
      <c r="B18" s="1" t="s">
        <v>874</v>
      </c>
      <c r="C18" s="1" t="s">
        <v>533</v>
      </c>
      <c r="D18" s="2" t="str">
        <f>"1873-1600"</f>
        <v>1873-1600</v>
      </c>
      <c r="E18" s="2" t="str">
        <f>"2021 Mar"</f>
        <v>2021 Mar</v>
      </c>
      <c r="F18" s="2">
        <v>48</v>
      </c>
      <c r="H18" s="2">
        <v>20</v>
      </c>
      <c r="J18" s="2">
        <v>33341518</v>
      </c>
      <c r="K18" s="1" t="s">
        <v>875</v>
      </c>
      <c r="L18" s="1" t="s">
        <v>535</v>
      </c>
      <c r="M18" s="2" t="s">
        <v>21</v>
      </c>
      <c r="N18" s="1" t="s">
        <v>876</v>
      </c>
      <c r="P18" s="2" t="s">
        <v>877</v>
      </c>
      <c r="Q18" s="6" t="s">
        <v>878</v>
      </c>
    </row>
    <row r="19" spans="1:17" ht="150" x14ac:dyDescent="0.25">
      <c r="A19" s="1" t="s">
        <v>879</v>
      </c>
      <c r="B19" s="1" t="s">
        <v>880</v>
      </c>
      <c r="C19" s="1" t="s">
        <v>36</v>
      </c>
      <c r="D19" s="2" t="str">
        <f>"1543-2742"</f>
        <v>1543-2742</v>
      </c>
      <c r="E19" s="2" t="str">
        <f>"2021 Jul 01"</f>
        <v>2021 Jul 01</v>
      </c>
      <c r="F19" s="2">
        <v>31</v>
      </c>
      <c r="G19" s="2">
        <v>4</v>
      </c>
      <c r="H19" s="2">
        <v>359</v>
      </c>
      <c r="J19" s="2">
        <v>34039771</v>
      </c>
      <c r="K19" s="1" t="s">
        <v>881</v>
      </c>
      <c r="L19" s="1" t="s">
        <v>40</v>
      </c>
      <c r="M19" s="2" t="s">
        <v>21</v>
      </c>
      <c r="N19" s="1" t="s">
        <v>882</v>
      </c>
      <c r="P19" s="2" t="s">
        <v>883</v>
      </c>
      <c r="Q19" s="6" t="s">
        <v>884</v>
      </c>
    </row>
    <row r="20" spans="1:17" ht="120" x14ac:dyDescent="0.25">
      <c r="A20" s="1" t="s">
        <v>885</v>
      </c>
      <c r="B20" s="1" t="s">
        <v>886</v>
      </c>
      <c r="C20" s="1" t="s">
        <v>55</v>
      </c>
      <c r="D20" s="2" t="str">
        <f>"1878-1861"</f>
        <v>1878-1861</v>
      </c>
      <c r="E20" s="2" t="str">
        <f>"2021 Aug"</f>
        <v>2021 Aug</v>
      </c>
      <c r="F20" s="2">
        <v>24</v>
      </c>
      <c r="G20" s="2">
        <v>8</v>
      </c>
      <c r="H20" s="2">
        <v>831</v>
      </c>
      <c r="J20" s="2">
        <v>33773931</v>
      </c>
      <c r="K20" s="1" t="s">
        <v>887</v>
      </c>
      <c r="L20" s="1" t="s">
        <v>59</v>
      </c>
      <c r="M20" s="2" t="s">
        <v>21</v>
      </c>
      <c r="N20" s="1" t="s">
        <v>888</v>
      </c>
      <c r="P20" s="2" t="s">
        <v>889</v>
      </c>
      <c r="Q20" s="6" t="s">
        <v>890</v>
      </c>
    </row>
    <row r="21" spans="1:17" ht="90" x14ac:dyDescent="0.25">
      <c r="A21" s="1" t="s">
        <v>891</v>
      </c>
      <c r="B21" s="1" t="s">
        <v>892</v>
      </c>
      <c r="C21" s="1" t="s">
        <v>893</v>
      </c>
      <c r="D21" s="2" t="str">
        <f>"1741-0444"</f>
        <v>1741-0444</v>
      </c>
      <c r="E21" s="2" t="str">
        <f>"2021 Nov"</f>
        <v>2021 Nov</v>
      </c>
      <c r="F21" s="2">
        <v>59</v>
      </c>
      <c r="G21" s="10">
        <v>44906</v>
      </c>
      <c r="H21" s="2">
        <v>2253</v>
      </c>
      <c r="J21" s="2">
        <v>34529184</v>
      </c>
      <c r="K21" s="1" t="s">
        <v>894</v>
      </c>
      <c r="L21" s="1" t="s">
        <v>895</v>
      </c>
      <c r="M21" s="2" t="s">
        <v>21</v>
      </c>
      <c r="N21" s="1" t="s">
        <v>896</v>
      </c>
      <c r="P21" s="2" t="s">
        <v>897</v>
      </c>
      <c r="Q21" s="6" t="s">
        <v>898</v>
      </c>
    </row>
    <row r="22" spans="1:17" ht="45" x14ac:dyDescent="0.25">
      <c r="A22" s="1" t="s">
        <v>899</v>
      </c>
      <c r="B22" s="1" t="s">
        <v>900</v>
      </c>
      <c r="C22" s="1" t="s">
        <v>65</v>
      </c>
      <c r="D22" s="2" t="str">
        <f>"2055-7647"</f>
        <v>2055-7647</v>
      </c>
      <c r="E22" s="2" t="str">
        <f>"2021 Mar 05"</f>
        <v>2021 Mar 05</v>
      </c>
      <c r="F22" s="2">
        <v>7</v>
      </c>
      <c r="G22" s="2">
        <v>1</v>
      </c>
      <c r="H22" s="2" t="s">
        <v>901</v>
      </c>
      <c r="J22" s="2">
        <v>33754081</v>
      </c>
      <c r="K22" s="1" t="s">
        <v>902</v>
      </c>
      <c r="L22" s="1" t="s">
        <v>70</v>
      </c>
      <c r="M22" s="2" t="s">
        <v>21</v>
      </c>
      <c r="P22" s="2" t="s">
        <v>903</v>
      </c>
      <c r="Q22" s="6" t="s">
        <v>904</v>
      </c>
    </row>
    <row r="23" spans="1:17" ht="60" x14ac:dyDescent="0.25">
      <c r="A23" s="1" t="s">
        <v>905</v>
      </c>
      <c r="B23" s="1" t="s">
        <v>906</v>
      </c>
      <c r="C23" s="1" t="s">
        <v>907</v>
      </c>
      <c r="D23" s="2" t="str">
        <f>"2044-6055"</f>
        <v>2044-6055</v>
      </c>
      <c r="E23" s="2" t="str">
        <f>"2021 Dec 14"</f>
        <v>2021 Dec 14</v>
      </c>
      <c r="F23" s="2">
        <v>11</v>
      </c>
      <c r="G23" s="2">
        <v>12</v>
      </c>
      <c r="H23" s="2" t="s">
        <v>908</v>
      </c>
      <c r="J23" s="2">
        <v>34907058</v>
      </c>
      <c r="K23" s="1" t="s">
        <v>909</v>
      </c>
      <c r="L23" s="1" t="s">
        <v>70</v>
      </c>
      <c r="M23" s="2" t="s">
        <v>21</v>
      </c>
      <c r="N23" s="1" t="s">
        <v>910</v>
      </c>
      <c r="P23" s="2" t="s">
        <v>911</v>
      </c>
      <c r="Q23" s="6" t="s">
        <v>912</v>
      </c>
    </row>
    <row r="24" spans="1:17" ht="180" x14ac:dyDescent="0.25">
      <c r="A24" s="1" t="s">
        <v>913</v>
      </c>
      <c r="B24" s="1" t="s">
        <v>914</v>
      </c>
      <c r="C24" s="1" t="s">
        <v>82</v>
      </c>
      <c r="D24" s="2" t="str">
        <f>"1600-0838"</f>
        <v>1600-0838</v>
      </c>
      <c r="E24" s="2" t="str">
        <f>"2021 Mar"</f>
        <v>2021 Mar</v>
      </c>
      <c r="F24" s="2">
        <v>31</v>
      </c>
      <c r="G24" s="2">
        <v>3</v>
      </c>
      <c r="H24" s="2">
        <v>691</v>
      </c>
      <c r="J24" s="2">
        <v>33124056</v>
      </c>
      <c r="K24" s="1" t="s">
        <v>915</v>
      </c>
      <c r="L24" s="1" t="s">
        <v>86</v>
      </c>
      <c r="M24" s="2" t="s">
        <v>21</v>
      </c>
      <c r="N24" s="1" t="s">
        <v>916</v>
      </c>
      <c r="P24" s="2" t="s">
        <v>917</v>
      </c>
      <c r="Q24" s="6" t="s">
        <v>918</v>
      </c>
    </row>
    <row r="25" spans="1:17" ht="120" x14ac:dyDescent="0.25">
      <c r="A25" s="1" t="s">
        <v>919</v>
      </c>
      <c r="B25" s="1" t="s">
        <v>920</v>
      </c>
      <c r="C25" s="1" t="s">
        <v>921</v>
      </c>
      <c r="D25" s="2" t="str">
        <f>"1466-447X"</f>
        <v>1466-447X</v>
      </c>
      <c r="E25" s="2" t="str">
        <f>"2021 Mar"</f>
        <v>2021 Mar</v>
      </c>
      <c r="F25" s="2">
        <v>39</v>
      </c>
      <c r="G25" s="2">
        <v>5</v>
      </c>
      <c r="H25" s="2">
        <v>513</v>
      </c>
      <c r="J25" s="2">
        <v>33140693</v>
      </c>
      <c r="K25" s="1" t="s">
        <v>922</v>
      </c>
      <c r="L25" s="1" t="s">
        <v>923</v>
      </c>
      <c r="M25" s="2" t="s">
        <v>924</v>
      </c>
      <c r="N25" s="1" t="s">
        <v>925</v>
      </c>
      <c r="P25" s="2" t="s">
        <v>926</v>
      </c>
      <c r="Q25" s="6" t="s">
        <v>927</v>
      </c>
    </row>
    <row r="26" spans="1:17" ht="45" x14ac:dyDescent="0.25">
      <c r="A26" s="1" t="s">
        <v>928</v>
      </c>
      <c r="B26" s="1" t="s">
        <v>929</v>
      </c>
      <c r="C26" s="1" t="s">
        <v>466</v>
      </c>
      <c r="D26" s="2" t="str">
        <f>"1533-4287"</f>
        <v>1533-4287</v>
      </c>
      <c r="E26" s="2" t="str">
        <f>"2021 Jun 01"</f>
        <v>2021 Jun 01</v>
      </c>
      <c r="F26" s="2">
        <v>35</v>
      </c>
      <c r="G26" s="2">
        <v>6</v>
      </c>
      <c r="H26" s="2">
        <v>1620</v>
      </c>
      <c r="J26" s="2">
        <v>30741866</v>
      </c>
      <c r="K26" s="1" t="s">
        <v>930</v>
      </c>
      <c r="L26" s="1" t="s">
        <v>468</v>
      </c>
      <c r="M26" s="2" t="s">
        <v>21</v>
      </c>
      <c r="N26" s="1" t="s">
        <v>931</v>
      </c>
      <c r="P26" s="2" t="s">
        <v>932</v>
      </c>
      <c r="Q26" s="6" t="s">
        <v>933</v>
      </c>
    </row>
    <row r="27" spans="1:17" ht="60" x14ac:dyDescent="0.25">
      <c r="A27" s="1" t="s">
        <v>934</v>
      </c>
      <c r="B27" s="1" t="s">
        <v>935</v>
      </c>
      <c r="C27" s="1" t="s">
        <v>466</v>
      </c>
      <c r="D27" s="2" t="str">
        <f>"1533-4287"</f>
        <v>1533-4287</v>
      </c>
      <c r="E27" s="2" t="str">
        <f>"2021 Jun 01"</f>
        <v>2021 Jun 01</v>
      </c>
      <c r="F27" s="2">
        <v>35</v>
      </c>
      <c r="G27" s="2">
        <v>6</v>
      </c>
      <c r="H27" s="2">
        <v>1732</v>
      </c>
      <c r="J27" s="2">
        <v>30418327</v>
      </c>
      <c r="K27" s="1" t="s">
        <v>936</v>
      </c>
      <c r="L27" s="1" t="s">
        <v>468</v>
      </c>
      <c r="M27" s="2" t="s">
        <v>21</v>
      </c>
      <c r="N27" s="1" t="s">
        <v>937</v>
      </c>
      <c r="P27" s="2" t="s">
        <v>938</v>
      </c>
      <c r="Q27" s="6" t="s">
        <v>939</v>
      </c>
    </row>
    <row r="28" spans="1:17" ht="225" x14ac:dyDescent="0.25">
      <c r="A28" s="1" t="s">
        <v>940</v>
      </c>
      <c r="B28" s="1" t="s">
        <v>941</v>
      </c>
      <c r="C28" s="1" t="s">
        <v>102</v>
      </c>
      <c r="D28" s="2" t="str">
        <f>"1473-0480"</f>
        <v>1473-0480</v>
      </c>
      <c r="E28" s="2" t="str">
        <f>"2021 Jan"</f>
        <v>2021 Jan</v>
      </c>
      <c r="F28" s="2">
        <v>55</v>
      </c>
      <c r="G28" s="2">
        <v>2</v>
      </c>
      <c r="H28" s="2">
        <v>115</v>
      </c>
      <c r="J28" s="2">
        <v>32868314</v>
      </c>
      <c r="K28" s="1" t="s">
        <v>942</v>
      </c>
      <c r="L28" s="1" t="s">
        <v>106</v>
      </c>
      <c r="M28" s="2" t="s">
        <v>21</v>
      </c>
      <c r="N28" s="1" t="s">
        <v>943</v>
      </c>
      <c r="P28" s="2" t="s">
        <v>807</v>
      </c>
      <c r="Q28" s="6" t="s">
        <v>944</v>
      </c>
    </row>
    <row r="29" spans="1:17" ht="120" x14ac:dyDescent="0.25">
      <c r="A29" s="1" t="s">
        <v>945</v>
      </c>
      <c r="B29" s="1" t="s">
        <v>946</v>
      </c>
      <c r="C29" s="1" t="s">
        <v>55</v>
      </c>
      <c r="D29" s="2" t="str">
        <f>"1878-1861"</f>
        <v>1878-1861</v>
      </c>
      <c r="E29" s="2" t="str">
        <f>"2021 Feb"</f>
        <v>2021 Feb</v>
      </c>
      <c r="F29" s="2">
        <v>24</v>
      </c>
      <c r="G29" s="2">
        <v>2</v>
      </c>
      <c r="H29" s="2">
        <v>164</v>
      </c>
      <c r="J29" s="2">
        <v>33187881</v>
      </c>
      <c r="K29" s="1" t="s">
        <v>947</v>
      </c>
      <c r="L29" s="1" t="s">
        <v>59</v>
      </c>
      <c r="M29" s="2" t="s">
        <v>21</v>
      </c>
      <c r="N29" s="1" t="s">
        <v>948</v>
      </c>
      <c r="P29" s="2" t="s">
        <v>949</v>
      </c>
      <c r="Q29" s="6" t="s">
        <v>950</v>
      </c>
    </row>
    <row r="30" spans="1:17" ht="45" x14ac:dyDescent="0.25">
      <c r="A30" s="1" t="s">
        <v>951</v>
      </c>
      <c r="B30" s="1" t="s">
        <v>952</v>
      </c>
      <c r="C30" s="1" t="s">
        <v>789</v>
      </c>
      <c r="D30" s="2" t="str">
        <f>"1469-7793"</f>
        <v>1469-7793</v>
      </c>
      <c r="E30" s="2" t="str">
        <f>"2021 Feb"</f>
        <v>2021 Feb</v>
      </c>
      <c r="F30" s="2">
        <v>599</v>
      </c>
      <c r="G30" s="2">
        <v>3</v>
      </c>
      <c r="H30" s="2">
        <v>819</v>
      </c>
      <c r="J30" s="2">
        <v>32358802</v>
      </c>
      <c r="K30" s="1" t="s">
        <v>953</v>
      </c>
      <c r="L30" s="1" t="s">
        <v>791</v>
      </c>
      <c r="M30" s="2" t="s">
        <v>21</v>
      </c>
      <c r="N30" s="1" t="s">
        <v>954</v>
      </c>
      <c r="P30" s="2" t="s">
        <v>955</v>
      </c>
      <c r="Q30" s="6" t="s">
        <v>956</v>
      </c>
    </row>
    <row r="31" spans="1:17" ht="105" x14ac:dyDescent="0.25">
      <c r="A31" s="1" t="s">
        <v>957</v>
      </c>
      <c r="B31" s="1" t="s">
        <v>958</v>
      </c>
      <c r="C31" s="1" t="s">
        <v>55</v>
      </c>
      <c r="D31" s="2" t="str">
        <f>"1878-1861"</f>
        <v>1878-1861</v>
      </c>
      <c r="E31" s="2" t="str">
        <f>"2021 Jul"</f>
        <v>2021 Jul</v>
      </c>
      <c r="F31" s="2">
        <v>24</v>
      </c>
      <c r="G31" s="2">
        <v>7</v>
      </c>
      <c r="H31" s="2">
        <v>660</v>
      </c>
      <c r="J31" s="2">
        <v>33707154</v>
      </c>
      <c r="K31" s="1" t="s">
        <v>959</v>
      </c>
      <c r="L31" s="1" t="s">
        <v>59</v>
      </c>
      <c r="M31" s="2" t="s">
        <v>21</v>
      </c>
      <c r="N31" s="1" t="s">
        <v>960</v>
      </c>
      <c r="P31" s="2" t="s">
        <v>961</v>
      </c>
      <c r="Q31" s="6" t="s">
        <v>962</v>
      </c>
    </row>
    <row r="32" spans="1:17" ht="90" x14ac:dyDescent="0.25">
      <c r="A32" s="1" t="s">
        <v>963</v>
      </c>
      <c r="B32" s="1" t="s">
        <v>964</v>
      </c>
      <c r="C32" s="1" t="s">
        <v>181</v>
      </c>
      <c r="D32" s="2" t="str">
        <f>"2072-6643"</f>
        <v>2072-6643</v>
      </c>
      <c r="E32" s="2" t="str">
        <f>"2021 Aug 12"</f>
        <v>2021 Aug 12</v>
      </c>
      <c r="F32" s="2">
        <v>13</v>
      </c>
      <c r="G32" s="2">
        <v>8</v>
      </c>
      <c r="J32" s="2">
        <v>34444928</v>
      </c>
      <c r="K32" s="1" t="s">
        <v>965</v>
      </c>
      <c r="L32" s="1" t="s">
        <v>185</v>
      </c>
      <c r="M32" s="2" t="s">
        <v>646</v>
      </c>
      <c r="N32" s="1" t="s">
        <v>966</v>
      </c>
      <c r="P32" s="2" t="s">
        <v>967</v>
      </c>
      <c r="Q32" s="6" t="s">
        <v>968</v>
      </c>
    </row>
    <row r="33" spans="1:17" ht="60" x14ac:dyDescent="0.25">
      <c r="A33" s="1" t="s">
        <v>969</v>
      </c>
      <c r="B33" s="1" t="s">
        <v>970</v>
      </c>
      <c r="C33" s="1" t="s">
        <v>444</v>
      </c>
      <c r="D33" s="2" t="str">
        <f>"1179-2035"</f>
        <v>1179-2035</v>
      </c>
      <c r="E33" s="2" t="str">
        <f>"2021 Nov"</f>
        <v>2021 Nov</v>
      </c>
      <c r="F33" s="2">
        <v>51</v>
      </c>
      <c r="G33" s="2">
        <v>11</v>
      </c>
      <c r="H33" s="2">
        <v>2251</v>
      </c>
      <c r="J33" s="2">
        <v>34181189</v>
      </c>
      <c r="K33" s="1" t="s">
        <v>971</v>
      </c>
      <c r="L33" s="1" t="s">
        <v>446</v>
      </c>
      <c r="M33" s="2" t="s">
        <v>21</v>
      </c>
      <c r="N33" s="1" t="s">
        <v>972</v>
      </c>
      <c r="P33" s="2" t="s">
        <v>973</v>
      </c>
      <c r="Q33" s="6" t="s">
        <v>974</v>
      </c>
    </row>
    <row r="34" spans="1:17" ht="105" x14ac:dyDescent="0.25">
      <c r="A34" s="1" t="s">
        <v>975</v>
      </c>
      <c r="B34" s="1" t="s">
        <v>976</v>
      </c>
      <c r="C34" s="1" t="s">
        <v>82</v>
      </c>
      <c r="D34" s="2" t="str">
        <f>"1600-0838"</f>
        <v>1600-0838</v>
      </c>
      <c r="E34" s="2" t="str">
        <f>"2021 Oct"</f>
        <v>2021 Oct</v>
      </c>
      <c r="F34" s="2">
        <v>31</v>
      </c>
      <c r="G34" s="2">
        <v>10</v>
      </c>
      <c r="H34" s="2">
        <v>1932</v>
      </c>
      <c r="J34" s="2">
        <v>34189782</v>
      </c>
      <c r="K34" s="1" t="s">
        <v>977</v>
      </c>
      <c r="L34" s="1" t="s">
        <v>86</v>
      </c>
      <c r="M34" s="2" t="s">
        <v>21</v>
      </c>
      <c r="N34" s="1" t="s">
        <v>978</v>
      </c>
      <c r="P34" s="2" t="s">
        <v>979</v>
      </c>
      <c r="Q34" s="6" t="s">
        <v>980</v>
      </c>
    </row>
    <row r="35" spans="1:17" ht="45" x14ac:dyDescent="0.25">
      <c r="A35" s="1" t="s">
        <v>981</v>
      </c>
      <c r="B35" s="1" t="s">
        <v>982</v>
      </c>
      <c r="C35" s="1" t="s">
        <v>983</v>
      </c>
      <c r="D35" s="2" t="str">
        <f>"1873-2380"</f>
        <v>1873-2380</v>
      </c>
      <c r="E35" s="2" t="str">
        <f>"2021 Feb 12"</f>
        <v>2021 Feb 12</v>
      </c>
      <c r="F35" s="2">
        <v>116</v>
      </c>
      <c r="H35" s="2">
        <v>110106</v>
      </c>
      <c r="J35" s="2">
        <v>33429072</v>
      </c>
      <c r="K35" s="1" t="s">
        <v>984</v>
      </c>
      <c r="L35" s="1" t="s">
        <v>608</v>
      </c>
      <c r="M35" s="2" t="s">
        <v>21</v>
      </c>
      <c r="N35" s="1" t="s">
        <v>985</v>
      </c>
      <c r="P35" s="2" t="s">
        <v>986</v>
      </c>
      <c r="Q35" s="6" t="s">
        <v>987</v>
      </c>
    </row>
    <row r="36" spans="1:17" ht="60" x14ac:dyDescent="0.25">
      <c r="A36" s="1" t="s">
        <v>988</v>
      </c>
      <c r="B36" s="1" t="s">
        <v>989</v>
      </c>
      <c r="C36" s="1" t="s">
        <v>907</v>
      </c>
      <c r="D36" s="2" t="str">
        <f>"2044-6055"</f>
        <v>2044-6055</v>
      </c>
      <c r="E36" s="2" t="str">
        <f>"2021 Nov 03"</f>
        <v>2021 Nov 03</v>
      </c>
      <c r="F36" s="2">
        <v>11</v>
      </c>
      <c r="G36" s="2">
        <v>11</v>
      </c>
      <c r="H36" s="2" t="s">
        <v>990</v>
      </c>
      <c r="J36" s="2">
        <v>34732485</v>
      </c>
      <c r="K36" s="1" t="s">
        <v>991</v>
      </c>
      <c r="L36" s="1" t="s">
        <v>70</v>
      </c>
      <c r="M36" s="2" t="s">
        <v>21</v>
      </c>
      <c r="N36" s="1" t="s">
        <v>992</v>
      </c>
      <c r="P36" s="2" t="s">
        <v>993</v>
      </c>
      <c r="Q36" s="6" t="s">
        <v>994</v>
      </c>
    </row>
    <row r="37" spans="1:17" ht="120" x14ac:dyDescent="0.25">
      <c r="A37" s="1" t="s">
        <v>995</v>
      </c>
      <c r="B37" s="1" t="s">
        <v>996</v>
      </c>
      <c r="C37" s="1" t="s">
        <v>16</v>
      </c>
      <c r="D37" s="2" t="str">
        <f>"1752-6116"</f>
        <v>1752-6116</v>
      </c>
      <c r="E37" s="2" t="str">
        <f>"2021 Feb"</f>
        <v>2021 Feb</v>
      </c>
      <c r="F37" s="2">
        <v>20</v>
      </c>
      <c r="G37" s="2">
        <v>1</v>
      </c>
      <c r="H37" s="2">
        <v>55</v>
      </c>
      <c r="J37" s="2">
        <v>30480477</v>
      </c>
      <c r="K37" s="1" t="s">
        <v>997</v>
      </c>
      <c r="L37" s="1" t="s">
        <v>20</v>
      </c>
      <c r="M37" s="2" t="s">
        <v>21</v>
      </c>
      <c r="N37" s="1" t="s">
        <v>998</v>
      </c>
      <c r="P37" s="2" t="s">
        <v>999</v>
      </c>
      <c r="Q37" s="6" t="s">
        <v>1000</v>
      </c>
    </row>
    <row r="38" spans="1:17" ht="210" x14ac:dyDescent="0.25">
      <c r="A38" s="1" t="s">
        <v>1001</v>
      </c>
      <c r="B38" s="1" t="s">
        <v>1002</v>
      </c>
      <c r="C38" s="1" t="s">
        <v>102</v>
      </c>
      <c r="D38" s="2" t="str">
        <f>"1473-0480"</f>
        <v>1473-0480</v>
      </c>
      <c r="E38" s="2" t="str">
        <f>"2021 Jan"</f>
        <v>2021 Jan</v>
      </c>
      <c r="F38" s="2">
        <v>55</v>
      </c>
      <c r="G38" s="2">
        <v>1</v>
      </c>
      <c r="H38" s="2">
        <v>38</v>
      </c>
      <c r="J38" s="2">
        <v>33199358</v>
      </c>
      <c r="K38" s="1" t="s">
        <v>1003</v>
      </c>
      <c r="L38" s="1" t="s">
        <v>106</v>
      </c>
      <c r="M38" s="2" t="s">
        <v>21</v>
      </c>
      <c r="N38" s="1" t="s">
        <v>1004</v>
      </c>
      <c r="P38" s="2" t="s">
        <v>1005</v>
      </c>
      <c r="Q38" s="6" t="s">
        <v>1006</v>
      </c>
    </row>
    <row r="39" spans="1:17" ht="120" x14ac:dyDescent="0.25">
      <c r="A39" s="1" t="s">
        <v>1007</v>
      </c>
      <c r="B39" s="1" t="s">
        <v>1008</v>
      </c>
      <c r="C39" s="1" t="s">
        <v>36</v>
      </c>
      <c r="D39" s="2" t="str">
        <f>"1543-2742"</f>
        <v>1543-2742</v>
      </c>
      <c r="E39" s="2" t="str">
        <f>"2021 Jan 01"</f>
        <v>2021 Jan 01</v>
      </c>
      <c r="F39" s="2">
        <v>31</v>
      </c>
      <c r="G39" s="2">
        <v>1</v>
      </c>
      <c r="H39" s="2">
        <v>9</v>
      </c>
      <c r="J39" s="2">
        <v>33260142</v>
      </c>
      <c r="K39" s="1" t="s">
        <v>1009</v>
      </c>
      <c r="L39" s="1" t="s">
        <v>40</v>
      </c>
      <c r="M39" s="2" t="s">
        <v>21</v>
      </c>
      <c r="N39" s="1" t="s">
        <v>1010</v>
      </c>
      <c r="P39" s="2" t="s">
        <v>1011</v>
      </c>
      <c r="Q39" s="6" t="s">
        <v>1012</v>
      </c>
    </row>
    <row r="40" spans="1:17" ht="75" x14ac:dyDescent="0.25">
      <c r="A40" s="1" t="s">
        <v>1013</v>
      </c>
      <c r="B40" s="1" t="s">
        <v>1014</v>
      </c>
      <c r="C40" s="1" t="s">
        <v>676</v>
      </c>
      <c r="D40" s="2" t="str">
        <f>"1932-6203"</f>
        <v>1932-6203</v>
      </c>
      <c r="E40" s="2" t="str">
        <f>"2021 Aug 20"</f>
        <v>2021 Aug 20</v>
      </c>
      <c r="F40" s="2">
        <v>16</v>
      </c>
      <c r="G40" s="2">
        <v>8</v>
      </c>
      <c r="H40" s="2" t="s">
        <v>1015</v>
      </c>
      <c r="J40" s="2">
        <v>34415922</v>
      </c>
      <c r="K40" s="1" t="s">
        <v>1016</v>
      </c>
      <c r="L40" s="1" t="s">
        <v>679</v>
      </c>
      <c r="M40" s="2" t="s">
        <v>21</v>
      </c>
      <c r="N40" s="1" t="s">
        <v>1017</v>
      </c>
      <c r="P40" s="2" t="s">
        <v>1018</v>
      </c>
      <c r="Q40" s="6" t="s">
        <v>1019</v>
      </c>
    </row>
    <row r="41" spans="1:17" ht="75" x14ac:dyDescent="0.25">
      <c r="A41" s="1" t="s">
        <v>1020</v>
      </c>
      <c r="B41" s="1" t="s">
        <v>1021</v>
      </c>
      <c r="C41" s="1" t="s">
        <v>1022</v>
      </c>
      <c r="D41" s="2" t="str">
        <f>"1872-7646"</f>
        <v>1872-7646</v>
      </c>
      <c r="E41" s="2" t="str">
        <f>"2021 Jun"</f>
        <v>2021 Jun</v>
      </c>
      <c r="F41" s="2">
        <v>77</v>
      </c>
      <c r="H41" s="2">
        <v>102789</v>
      </c>
      <c r="J41" s="2">
        <v>33845276</v>
      </c>
      <c r="K41" s="1" t="s">
        <v>1023</v>
      </c>
      <c r="L41" s="1" t="s">
        <v>1024</v>
      </c>
      <c r="M41" s="2" t="s">
        <v>21</v>
      </c>
      <c r="N41" s="1" t="s">
        <v>1025</v>
      </c>
      <c r="P41" s="2" t="s">
        <v>1026</v>
      </c>
      <c r="Q41" s="6" t="s">
        <v>1027</v>
      </c>
    </row>
    <row r="42" spans="1:17" ht="60" x14ac:dyDescent="0.25">
      <c r="A42" s="1" t="s">
        <v>372</v>
      </c>
      <c r="B42" s="1" t="s">
        <v>1028</v>
      </c>
      <c r="C42" s="1" t="s">
        <v>92</v>
      </c>
      <c r="D42" s="2" t="str">
        <f>"2213-2961"</f>
        <v>2213-2961</v>
      </c>
      <c r="E42" s="2" t="str">
        <f>"2021 Jul 24"</f>
        <v>2021 Jul 24</v>
      </c>
      <c r="J42" s="2">
        <v>34314879</v>
      </c>
      <c r="K42" s="1" t="s">
        <v>1029</v>
      </c>
      <c r="L42" s="1" t="s">
        <v>95</v>
      </c>
      <c r="M42" s="2" t="s">
        <v>21</v>
      </c>
      <c r="P42" s="2" t="s">
        <v>1030</v>
      </c>
      <c r="Q42" s="6" t="s">
        <v>1031</v>
      </c>
    </row>
    <row r="43" spans="1:17" ht="135" x14ac:dyDescent="0.25">
      <c r="A43" s="1" t="s">
        <v>1032</v>
      </c>
      <c r="B43" s="1" t="s">
        <v>1033</v>
      </c>
      <c r="C43" s="1" t="s">
        <v>36</v>
      </c>
      <c r="D43" s="2" t="str">
        <f>"1543-2742"</f>
        <v>1543-2742</v>
      </c>
      <c r="E43" s="2" t="str">
        <f>"2021 Mar 01"</f>
        <v>2021 Mar 01</v>
      </c>
      <c r="F43" s="2">
        <v>31</v>
      </c>
      <c r="G43" s="2">
        <v>2</v>
      </c>
      <c r="H43" s="2">
        <v>101</v>
      </c>
      <c r="J43" s="2">
        <v>33383570</v>
      </c>
      <c r="K43" s="1" t="s">
        <v>1034</v>
      </c>
      <c r="L43" s="1" t="s">
        <v>40</v>
      </c>
      <c r="M43" s="2" t="s">
        <v>21</v>
      </c>
      <c r="N43" s="1" t="s">
        <v>1035</v>
      </c>
      <c r="P43" s="2" t="s">
        <v>1036</v>
      </c>
      <c r="Q43" s="6" t="s">
        <v>1037</v>
      </c>
    </row>
    <row r="44" spans="1:17" ht="45" x14ac:dyDescent="0.25">
      <c r="A44" s="1" t="s">
        <v>1038</v>
      </c>
      <c r="B44" s="1" t="s">
        <v>1039</v>
      </c>
      <c r="C44" s="1" t="s">
        <v>16</v>
      </c>
      <c r="D44" s="2" t="str">
        <f>"1752-6116"</f>
        <v>1752-6116</v>
      </c>
      <c r="E44" s="2" t="str">
        <f>"2021 Dec"</f>
        <v>2021 Dec</v>
      </c>
      <c r="F44" s="2">
        <v>20</v>
      </c>
      <c r="G44" s="2">
        <v>8</v>
      </c>
      <c r="H44" s="2">
        <v>974</v>
      </c>
      <c r="J44" s="2">
        <v>31364954</v>
      </c>
      <c r="K44" s="1" t="s">
        <v>1040</v>
      </c>
      <c r="L44" s="1" t="s">
        <v>20</v>
      </c>
      <c r="M44" s="2" t="s">
        <v>21</v>
      </c>
      <c r="N44" s="1" t="s">
        <v>1041</v>
      </c>
      <c r="P44" s="2" t="s">
        <v>1042</v>
      </c>
      <c r="Q44" s="6" t="s">
        <v>1043</v>
      </c>
    </row>
    <row r="45" spans="1:17" ht="105" x14ac:dyDescent="0.25">
      <c r="A45" s="1" t="s">
        <v>1044</v>
      </c>
      <c r="B45" s="1" t="s">
        <v>1045</v>
      </c>
      <c r="C45" s="1" t="s">
        <v>102</v>
      </c>
      <c r="D45" s="2" t="str">
        <f>"1473-0480"</f>
        <v>1473-0480</v>
      </c>
      <c r="E45" s="2" t="str">
        <f>"2021 Mar"</f>
        <v>2021 Mar</v>
      </c>
      <c r="F45" s="2">
        <v>55</v>
      </c>
      <c r="G45" s="2">
        <v>6</v>
      </c>
      <c r="H45" s="2">
        <v>319</v>
      </c>
      <c r="J45" s="2">
        <v>33115706</v>
      </c>
      <c r="K45" s="1" t="s">
        <v>1046</v>
      </c>
      <c r="L45" s="1" t="s">
        <v>106</v>
      </c>
      <c r="M45" s="2" t="s">
        <v>21</v>
      </c>
      <c r="N45" s="1" t="s">
        <v>1047</v>
      </c>
      <c r="P45" s="2" t="s">
        <v>1048</v>
      </c>
      <c r="Q45" s="6" t="s">
        <v>1049</v>
      </c>
    </row>
    <row r="46" spans="1:17" ht="45" x14ac:dyDescent="0.25">
      <c r="A46" s="1" t="s">
        <v>417</v>
      </c>
      <c r="B46" s="1" t="s">
        <v>1050</v>
      </c>
      <c r="C46" s="1" t="s">
        <v>16</v>
      </c>
      <c r="D46" s="2" t="str">
        <f>"1752-6116"</f>
        <v>1752-6116</v>
      </c>
      <c r="E46" s="2" t="str">
        <f>"2021 Aug 17"</f>
        <v>2021 Aug 17</v>
      </c>
      <c r="H46" s="2">
        <v>1</v>
      </c>
      <c r="J46" s="2">
        <v>34402417</v>
      </c>
      <c r="K46" s="1" t="s">
        <v>1051</v>
      </c>
      <c r="L46" s="1" t="s">
        <v>20</v>
      </c>
      <c r="M46" s="2" t="s">
        <v>21</v>
      </c>
      <c r="P46" s="2" t="s">
        <v>1052</v>
      </c>
      <c r="Q46" s="6" t="s">
        <v>1053</v>
      </c>
    </row>
    <row r="47" spans="1:17" ht="75" x14ac:dyDescent="0.25">
      <c r="A47" s="1" t="s">
        <v>1054</v>
      </c>
      <c r="B47" s="1" t="s">
        <v>1055</v>
      </c>
      <c r="C47" s="1" t="s">
        <v>36</v>
      </c>
      <c r="D47" s="2" t="str">
        <f>"1543-2742"</f>
        <v>1543-2742</v>
      </c>
      <c r="E47" s="2" t="str">
        <f>"2021 Sep 01"</f>
        <v>2021 Sep 01</v>
      </c>
      <c r="F47" s="2">
        <v>31</v>
      </c>
      <c r="G47" s="2">
        <v>5</v>
      </c>
      <c r="H47" s="2">
        <v>427</v>
      </c>
      <c r="J47" s="2">
        <v>34284349</v>
      </c>
      <c r="K47" s="1" t="s">
        <v>1056</v>
      </c>
      <c r="L47" s="1" t="s">
        <v>40</v>
      </c>
      <c r="M47" s="2" t="s">
        <v>21</v>
      </c>
      <c r="N47" s="1" t="s">
        <v>1057</v>
      </c>
      <c r="P47" s="2" t="s">
        <v>1058</v>
      </c>
      <c r="Q47" s="6" t="s">
        <v>1059</v>
      </c>
    </row>
    <row r="48" spans="1:17" ht="105" x14ac:dyDescent="0.25">
      <c r="A48" s="1" t="s">
        <v>1060</v>
      </c>
      <c r="B48" s="1" t="s">
        <v>1061</v>
      </c>
      <c r="C48" s="1" t="s">
        <v>181</v>
      </c>
      <c r="D48" s="2" t="str">
        <f>"2072-6643"</f>
        <v>2072-6643</v>
      </c>
      <c r="E48" s="2" t="str">
        <f>"2021 Jul 11"</f>
        <v>2021 Jul 11</v>
      </c>
      <c r="F48" s="2">
        <v>13</v>
      </c>
      <c r="G48" s="2">
        <v>7</v>
      </c>
      <c r="J48" s="2">
        <v>34371881</v>
      </c>
      <c r="K48" s="1" t="s">
        <v>1062</v>
      </c>
      <c r="L48" s="1" t="s">
        <v>185</v>
      </c>
      <c r="M48" s="2" t="s">
        <v>21</v>
      </c>
      <c r="N48" s="1" t="s">
        <v>1063</v>
      </c>
      <c r="P48" s="2" t="s">
        <v>1064</v>
      </c>
      <c r="Q48" s="6" t="s">
        <v>1065</v>
      </c>
    </row>
    <row r="49" spans="1:17" ht="90" x14ac:dyDescent="0.25">
      <c r="A49" s="1" t="s">
        <v>1066</v>
      </c>
      <c r="B49" s="1" t="s">
        <v>1067</v>
      </c>
      <c r="C49" s="1" t="s">
        <v>921</v>
      </c>
      <c r="D49" s="2" t="str">
        <f>"1466-447X"</f>
        <v>1466-447X</v>
      </c>
      <c r="E49" s="2" t="str">
        <f>"2021 Feb"</f>
        <v>2021 Feb</v>
      </c>
      <c r="F49" s="2">
        <v>39</v>
      </c>
      <c r="G49" s="2">
        <v>4</v>
      </c>
      <c r="H49" s="2">
        <v>359</v>
      </c>
      <c r="J49" s="2">
        <v>32962508</v>
      </c>
      <c r="K49" s="1" t="s">
        <v>1068</v>
      </c>
      <c r="L49" s="1" t="s">
        <v>923</v>
      </c>
      <c r="M49" s="2" t="s">
        <v>21</v>
      </c>
      <c r="N49" s="1" t="s">
        <v>1069</v>
      </c>
      <c r="P49" s="2" t="s">
        <v>1070</v>
      </c>
      <c r="Q49" s="6" t="s">
        <v>1071</v>
      </c>
    </row>
  </sheetData>
  <hyperlinks>
    <hyperlink ref="Q2" r:id="rId1" xr:uid="{275B57E3-9B6A-42C8-A03C-3344BEC18ECF}"/>
    <hyperlink ref="Q3" r:id="rId2" xr:uid="{3C77D302-8647-4727-8B11-AD118F4F552E}"/>
    <hyperlink ref="Q4" r:id="rId3" xr:uid="{75EC7B19-130C-4968-8FBF-6204EA687A51}"/>
    <hyperlink ref="Q5" r:id="rId4" xr:uid="{9DA67288-D39A-411B-B1DE-513F59B30CD8}"/>
    <hyperlink ref="Q6" r:id="rId5" xr:uid="{F188BCDF-4BD6-4980-9796-9626AB4DD036}"/>
    <hyperlink ref="Q7" r:id="rId6" xr:uid="{3B092F59-F22F-498B-978A-885A643ECCC6}"/>
    <hyperlink ref="Q8" r:id="rId7" xr:uid="{C9C5BA56-FA58-49CB-ADF3-603E26D2C162}"/>
    <hyperlink ref="Q9" r:id="rId8" xr:uid="{EAC5FD60-EC1F-4C3E-A367-EAA48A9918E2}"/>
    <hyperlink ref="Q10" r:id="rId9" xr:uid="{E2860235-B752-4C0F-843E-45806AC5C209}"/>
    <hyperlink ref="Q11" r:id="rId10" xr:uid="{805DED0F-DCB9-4FA7-AA70-E996F2E55936}"/>
    <hyperlink ref="Q12" r:id="rId11" xr:uid="{EF274B63-F069-42B9-8D51-43F2EE3084E9}"/>
    <hyperlink ref="Q14" r:id="rId12" xr:uid="{01094E61-084D-4BBC-A4BE-5419AEE1E5FB}"/>
    <hyperlink ref="Q15" r:id="rId13" xr:uid="{ABD2D603-66B1-47B5-BA86-22EE40FDA982}"/>
    <hyperlink ref="Q13" r:id="rId14" xr:uid="{48B1DA14-F42A-4B92-97BE-220BC0DC4980}"/>
    <hyperlink ref="Q16" r:id="rId15" xr:uid="{2F3B4198-4145-4B84-868C-657053CB22FB}"/>
    <hyperlink ref="Q17" r:id="rId16" xr:uid="{42CFFB16-263B-4EED-BC84-0BDBBF4AE27C}"/>
    <hyperlink ref="Q18" r:id="rId17" xr:uid="{A3DF0CCD-6DBD-457C-A7B1-665BA4CFA5A1}"/>
    <hyperlink ref="Q19" r:id="rId18" xr:uid="{48D94BC2-4DCE-47FD-AD90-3721E027961E}"/>
    <hyperlink ref="Q20" r:id="rId19" xr:uid="{63986458-BB5D-4549-BFA0-9C231E3DC329}"/>
    <hyperlink ref="Q21" r:id="rId20" xr:uid="{E8543721-0A37-4E6B-8798-5D9F1FAF755B}"/>
    <hyperlink ref="Q22" r:id="rId21" xr:uid="{2303F24A-59B9-41F1-A251-D4CB6CCA5ABE}"/>
    <hyperlink ref="Q23" r:id="rId22" xr:uid="{6068C01A-271B-461C-8666-61CF8622E142}"/>
    <hyperlink ref="Q24" r:id="rId23" xr:uid="{ED8D85CA-2603-4760-A934-DE75F9E1BC37}"/>
    <hyperlink ref="Q25" r:id="rId24" xr:uid="{32E96B58-5BF8-46E8-BDD7-C410264CC066}"/>
    <hyperlink ref="Q26" r:id="rId25" xr:uid="{CAD5C923-005F-4491-8044-F4D6DAB360D1}"/>
    <hyperlink ref="Q27" r:id="rId26" xr:uid="{906F60C8-D05D-4678-9155-21C2FE2F5573}"/>
    <hyperlink ref="Q28" r:id="rId27" xr:uid="{552EC29A-5D94-4333-A68F-D590C04B341B}"/>
    <hyperlink ref="Q29" r:id="rId28" xr:uid="{7A317FC8-4A9D-4BF9-A4BB-CE8584E7C950}"/>
    <hyperlink ref="Q30" r:id="rId29" xr:uid="{4D3C4443-D208-42B7-9ECC-A3CF59A42DEB}"/>
    <hyperlink ref="Q31" r:id="rId30" xr:uid="{084B3A73-034A-43FA-9F5E-BA9B9352011E}"/>
    <hyperlink ref="Q32" r:id="rId31" xr:uid="{26AD444F-30E6-49B3-AE44-C5092F4B4851}"/>
    <hyperlink ref="Q33" r:id="rId32" xr:uid="{5A09AD84-D161-4332-A186-7321002F7F9B}"/>
    <hyperlink ref="Q34" r:id="rId33" xr:uid="{2994C6D6-958F-4F02-8E92-2A1392887A53}"/>
    <hyperlink ref="Q35" r:id="rId34" xr:uid="{EC691CFA-1947-47CC-9B9C-2CAE3953B2E6}"/>
    <hyperlink ref="Q36" r:id="rId35" xr:uid="{7F9A1406-610D-44C7-8916-A398EF3E7BC4}"/>
    <hyperlink ref="Q37" r:id="rId36" xr:uid="{DEF0862A-C61F-4650-9ECC-26992AB5D0DE}"/>
    <hyperlink ref="Q38" r:id="rId37" xr:uid="{C8C9426C-6B89-434D-BE62-0EB8C9E9A0DC}"/>
    <hyperlink ref="Q39" r:id="rId38" xr:uid="{75218D3E-7C6D-4910-83A5-220401C13E75}"/>
    <hyperlink ref="Q40" r:id="rId39" xr:uid="{016AF3C4-7114-4BEF-82D0-B205AE986D9C}"/>
    <hyperlink ref="Q41" r:id="rId40" xr:uid="{89FF3A2E-3932-4F75-8C1C-CC7A7A221A71}"/>
    <hyperlink ref="Q42" r:id="rId41" xr:uid="{25EA3167-D3D8-40AA-8998-ADDA52C3421E}"/>
    <hyperlink ref="Q43" r:id="rId42" xr:uid="{6CE62FAE-03DD-408C-B85C-D9B3EF2A5063}"/>
    <hyperlink ref="Q44" r:id="rId43" xr:uid="{E5DC5971-0CDE-4FD7-9CF1-8BC59BBFF37C}"/>
    <hyperlink ref="Q45" r:id="rId44" xr:uid="{6EBE4E92-5548-4CC1-B1F1-6611B7A7A313}"/>
    <hyperlink ref="Q46" r:id="rId45" xr:uid="{0E22D223-A2A9-4722-A4C3-2F2676023099}"/>
    <hyperlink ref="Q47" r:id="rId46" xr:uid="{24CF3658-CC06-44EC-9321-4037E058989A}"/>
    <hyperlink ref="Q48" r:id="rId47" xr:uid="{9028A69C-D933-4504-85F6-D10BA4A994F0}"/>
    <hyperlink ref="Q49" r:id="rId48" xr:uid="{6B5150F1-908D-432A-B098-EB04FC046151}"/>
  </hyperlinks>
  <pageMargins left="0.7" right="0.7" top="0.75" bottom="0.75" header="0.3" footer="0.3"/>
  <headerFooter>
    <oddHeader>&amp;C&amp;"Calibri"&amp;12&amp;KFF0000 OFFICIAL&amp;1#_x000D_</oddHeader>
  </headerFooter>
  <tableParts count="1">
    <tablePart r:id="rId49"/>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1F8B7-221E-4436-B7B7-72272BEFEBBE}">
  <dimension ref="A1:Q71"/>
  <sheetViews>
    <sheetView topLeftCell="A40" workbookViewId="0">
      <selection activeCell="K42" sqref="K42"/>
    </sheetView>
  </sheetViews>
  <sheetFormatPr defaultColWidth="9.140625" defaultRowHeight="15" x14ac:dyDescent="0.25"/>
  <cols>
    <col min="1" max="1" width="36.85546875" style="1" customWidth="1"/>
    <col min="2" max="2" width="32.85546875" style="1" customWidth="1"/>
    <col min="3" max="3" width="28.42578125" style="1" customWidth="1"/>
    <col min="4" max="4" width="11.140625" style="2" customWidth="1"/>
    <col min="5" max="5" width="17.7109375" style="2" customWidth="1"/>
    <col min="6" max="6" width="10.140625" style="3" customWidth="1"/>
    <col min="7" max="7" width="9.140625" style="3"/>
    <col min="8" max="8" width="11.7109375" style="3" customWidth="1"/>
    <col min="9" max="9" width="13.140625" style="2" hidden="1" customWidth="1"/>
    <col min="10" max="10" width="19.42578125" style="2" hidden="1" customWidth="1"/>
    <col min="11" max="11" width="15.140625" style="1" customWidth="1"/>
    <col min="12" max="12" width="18.85546875" style="1" customWidth="1"/>
    <col min="13" max="13" width="22.85546875" style="2" customWidth="1"/>
    <col min="14" max="14" width="38.7109375" style="1" customWidth="1"/>
    <col min="15" max="15" width="11.85546875" style="2" hidden="1" customWidth="1"/>
    <col min="16" max="16" width="20.85546875" style="2" customWidth="1"/>
    <col min="17" max="17" width="19.42578125" style="2" customWidth="1"/>
    <col min="18" max="16384" width="9.140625" style="2"/>
  </cols>
  <sheetData>
    <row r="1" spans="1:17" x14ac:dyDescent="0.25">
      <c r="A1" s="1" t="s">
        <v>0</v>
      </c>
      <c r="B1" s="1" t="s">
        <v>1</v>
      </c>
      <c r="C1" s="1" t="s">
        <v>2</v>
      </c>
      <c r="D1" s="2" t="s">
        <v>3</v>
      </c>
      <c r="E1" s="2" t="s">
        <v>4</v>
      </c>
      <c r="F1" s="3" t="s">
        <v>5</v>
      </c>
      <c r="G1" s="3" t="s">
        <v>6</v>
      </c>
      <c r="H1" s="3" t="s">
        <v>7</v>
      </c>
      <c r="I1" s="2" t="s">
        <v>140</v>
      </c>
      <c r="J1" s="2" t="s">
        <v>141</v>
      </c>
      <c r="K1" s="1" t="s">
        <v>8</v>
      </c>
      <c r="L1" s="1" t="s">
        <v>9</v>
      </c>
      <c r="M1" s="2" t="s">
        <v>10</v>
      </c>
      <c r="N1" s="1" t="s">
        <v>11</v>
      </c>
      <c r="O1" s="2" t="s">
        <v>779</v>
      </c>
      <c r="P1" s="2" t="s">
        <v>12</v>
      </c>
      <c r="Q1" s="2" t="s">
        <v>13</v>
      </c>
    </row>
    <row r="2" spans="1:17" ht="105" x14ac:dyDescent="0.25">
      <c r="A2" s="1" t="s">
        <v>1072</v>
      </c>
      <c r="B2" s="1" t="s">
        <v>1073</v>
      </c>
      <c r="C2" s="1" t="s">
        <v>55</v>
      </c>
      <c r="D2" s="2" t="str">
        <f>"1878-1861"</f>
        <v>1878-1861</v>
      </c>
      <c r="E2" s="2" t="str">
        <f>"2020 Jul"</f>
        <v>2020 Jul</v>
      </c>
      <c r="F2" s="3">
        <v>23</v>
      </c>
      <c r="G2" s="3">
        <v>7</v>
      </c>
      <c r="H2" s="3">
        <v>664</v>
      </c>
      <c r="J2" s="2">
        <v>32418804</v>
      </c>
      <c r="K2" s="1" t="s">
        <v>1074</v>
      </c>
      <c r="L2" s="1" t="s">
        <v>59</v>
      </c>
      <c r="M2" s="2" t="s">
        <v>21</v>
      </c>
      <c r="N2" s="1" t="s">
        <v>1075</v>
      </c>
      <c r="P2" s="2" t="s">
        <v>1076</v>
      </c>
      <c r="Q2" s="6" t="s">
        <v>1077</v>
      </c>
    </row>
    <row r="3" spans="1:17" ht="120" x14ac:dyDescent="0.25">
      <c r="A3" s="1" t="s">
        <v>1078</v>
      </c>
      <c r="B3" s="1" t="s">
        <v>1079</v>
      </c>
      <c r="C3" s="1" t="s">
        <v>55</v>
      </c>
      <c r="D3" s="2" t="str">
        <f>"1878-1861"</f>
        <v>1878-1861</v>
      </c>
      <c r="E3" s="2" t="str">
        <f>"2020 Mar"</f>
        <v>2020 Mar</v>
      </c>
      <c r="F3" s="3">
        <v>23</v>
      </c>
      <c r="G3" s="3">
        <v>3</v>
      </c>
      <c r="H3" s="3">
        <v>241</v>
      </c>
      <c r="J3" s="2">
        <v>31023590</v>
      </c>
      <c r="K3" s="1" t="s">
        <v>1080</v>
      </c>
      <c r="L3" s="1" t="s">
        <v>59</v>
      </c>
      <c r="M3" s="2" t="s">
        <v>21</v>
      </c>
      <c r="N3" s="1" t="s">
        <v>1081</v>
      </c>
      <c r="P3" s="2" t="s">
        <v>1082</v>
      </c>
      <c r="Q3" s="6" t="s">
        <v>1083</v>
      </c>
    </row>
    <row r="4" spans="1:17" ht="360" x14ac:dyDescent="0.25">
      <c r="A4" s="1" t="s">
        <v>1084</v>
      </c>
      <c r="B4" s="1" t="s">
        <v>1085</v>
      </c>
      <c r="C4" s="1" t="s">
        <v>1086</v>
      </c>
      <c r="D4" s="2" t="str">
        <f>"2041-1723"</f>
        <v>2041-1723</v>
      </c>
      <c r="E4" s="2" t="str">
        <f>"2020 Jun 19"</f>
        <v>2020 Jun 19</v>
      </c>
      <c r="F4" s="3">
        <v>11</v>
      </c>
      <c r="G4" s="3">
        <v>1</v>
      </c>
      <c r="H4" s="3">
        <v>3150</v>
      </c>
      <c r="J4" s="2">
        <v>32561755</v>
      </c>
      <c r="K4" s="1" t="s">
        <v>1087</v>
      </c>
      <c r="L4" s="1" t="s">
        <v>1088</v>
      </c>
      <c r="M4" s="2" t="s">
        <v>21</v>
      </c>
      <c r="N4" s="1" t="s">
        <v>1089</v>
      </c>
      <c r="P4" s="2" t="s">
        <v>1090</v>
      </c>
      <c r="Q4" s="6" t="s">
        <v>1091</v>
      </c>
    </row>
    <row r="5" spans="1:17" ht="105" x14ac:dyDescent="0.25">
      <c r="A5" s="1" t="s">
        <v>1092</v>
      </c>
      <c r="B5" s="1" t="s">
        <v>1093</v>
      </c>
      <c r="C5" s="1" t="s">
        <v>102</v>
      </c>
      <c r="D5" s="2" t="str">
        <f>"1473-0480"</f>
        <v>1473-0480</v>
      </c>
      <c r="E5" s="2" t="str">
        <f>"2020 May"</f>
        <v>2020 May</v>
      </c>
      <c r="F5" s="3">
        <v>54</v>
      </c>
      <c r="G5" s="3">
        <v>9</v>
      </c>
      <c r="H5" s="3">
        <v>498</v>
      </c>
      <c r="J5" s="2">
        <v>31630091</v>
      </c>
      <c r="K5" s="1" t="s">
        <v>1094</v>
      </c>
      <c r="L5" s="1" t="s">
        <v>106</v>
      </c>
      <c r="M5" s="2" t="s">
        <v>633</v>
      </c>
      <c r="N5" s="1" t="s">
        <v>1095</v>
      </c>
      <c r="P5" s="2" t="s">
        <v>807</v>
      </c>
      <c r="Q5" s="6" t="s">
        <v>1096</v>
      </c>
    </row>
    <row r="6" spans="1:17" ht="120" x14ac:dyDescent="0.25">
      <c r="A6" s="1" t="s">
        <v>1097</v>
      </c>
      <c r="B6" s="1" t="s">
        <v>1098</v>
      </c>
      <c r="C6" s="1" t="s">
        <v>55</v>
      </c>
      <c r="D6" s="2" t="str">
        <f>"1878-1861"</f>
        <v>1878-1861</v>
      </c>
      <c r="E6" s="2" t="str">
        <f>"2020 Mar"</f>
        <v>2020 Mar</v>
      </c>
      <c r="F6" s="3">
        <v>23</v>
      </c>
      <c r="G6" s="3">
        <v>3</v>
      </c>
      <c r="H6" s="3">
        <v>215</v>
      </c>
      <c r="J6" s="2">
        <v>31704027</v>
      </c>
      <c r="K6" s="1" t="s">
        <v>1099</v>
      </c>
      <c r="L6" s="1" t="s">
        <v>59</v>
      </c>
      <c r="M6" s="2" t="s">
        <v>21</v>
      </c>
      <c r="N6" s="1" t="s">
        <v>1100</v>
      </c>
      <c r="P6" s="2" t="s">
        <v>1101</v>
      </c>
      <c r="Q6" s="6" t="s">
        <v>1102</v>
      </c>
    </row>
    <row r="7" spans="1:17" ht="60" x14ac:dyDescent="0.25">
      <c r="A7" s="1" t="s">
        <v>1103</v>
      </c>
      <c r="B7" s="1" t="s">
        <v>1104</v>
      </c>
      <c r="C7" s="1" t="s">
        <v>1105</v>
      </c>
      <c r="D7" s="2" t="str">
        <f>"1664-2392"</f>
        <v>1664-2392</v>
      </c>
      <c r="E7" s="2" t="str">
        <f>"2020 Jan 21"</f>
        <v>2020 Jan 21</v>
      </c>
      <c r="F7" s="3">
        <v>10</v>
      </c>
      <c r="H7" s="3">
        <v>880</v>
      </c>
      <c r="J7" s="2">
        <v>32038477</v>
      </c>
      <c r="K7" s="1" t="s">
        <v>1106</v>
      </c>
      <c r="L7" s="1" t="s">
        <v>1107</v>
      </c>
      <c r="M7" s="2" t="s">
        <v>21</v>
      </c>
      <c r="P7" s="2" t="s">
        <v>1108</v>
      </c>
      <c r="Q7" s="6" t="s">
        <v>1109</v>
      </c>
    </row>
    <row r="8" spans="1:17" ht="135" x14ac:dyDescent="0.25">
      <c r="A8" s="1" t="s">
        <v>1110</v>
      </c>
      <c r="B8" s="1" t="s">
        <v>1111</v>
      </c>
      <c r="C8" s="1" t="s">
        <v>55</v>
      </c>
      <c r="D8" s="2" t="str">
        <f>"1878-1861"</f>
        <v>1878-1861</v>
      </c>
      <c r="E8" s="2" t="str">
        <f>"2020 Jan"</f>
        <v>2020 Jan</v>
      </c>
      <c r="F8" s="3">
        <v>23</v>
      </c>
      <c r="G8" s="3">
        <v>1</v>
      </c>
      <c r="H8" s="3">
        <v>75</v>
      </c>
      <c r="J8" s="2">
        <v>31526663</v>
      </c>
      <c r="K8" s="1" t="s">
        <v>1112</v>
      </c>
      <c r="L8" s="1" t="s">
        <v>59</v>
      </c>
      <c r="M8" s="2" t="s">
        <v>21</v>
      </c>
      <c r="N8" s="1" t="s">
        <v>1113</v>
      </c>
      <c r="P8" s="2" t="s">
        <v>1114</v>
      </c>
      <c r="Q8" s="6" t="s">
        <v>1115</v>
      </c>
    </row>
    <row r="9" spans="1:17" ht="75" x14ac:dyDescent="0.25">
      <c r="A9" s="1" t="s">
        <v>1116</v>
      </c>
      <c r="B9" s="1" t="s">
        <v>1117</v>
      </c>
      <c r="C9" s="1" t="s">
        <v>921</v>
      </c>
      <c r="D9" s="2" t="str">
        <f>"1466-447X"</f>
        <v>1466-447X</v>
      </c>
      <c r="E9" s="2" t="str">
        <f>"2020 Apr"</f>
        <v>2020 Apr</v>
      </c>
      <c r="F9" s="3">
        <v>38</v>
      </c>
      <c r="G9" s="3">
        <v>8</v>
      </c>
      <c r="H9" s="3">
        <v>886</v>
      </c>
      <c r="J9" s="2">
        <v>32122274</v>
      </c>
      <c r="K9" s="1" t="s">
        <v>1118</v>
      </c>
      <c r="L9" s="1" t="s">
        <v>923</v>
      </c>
      <c r="M9" s="2" t="s">
        <v>21</v>
      </c>
      <c r="N9" s="1" t="s">
        <v>1119</v>
      </c>
      <c r="P9" s="2" t="s">
        <v>1120</v>
      </c>
      <c r="Q9" s="6" t="s">
        <v>1121</v>
      </c>
    </row>
    <row r="10" spans="1:17" ht="135" x14ac:dyDescent="0.25">
      <c r="A10" s="1" t="s">
        <v>1122</v>
      </c>
      <c r="B10" s="1" t="s">
        <v>1123</v>
      </c>
      <c r="C10" s="1" t="s">
        <v>55</v>
      </c>
      <c r="D10" s="2" t="str">
        <f>"1878-1861"</f>
        <v>1878-1861</v>
      </c>
      <c r="E10" s="2" t="str">
        <f>"2020 Dec"</f>
        <v>2020 Dec</v>
      </c>
      <c r="F10" s="3">
        <v>23</v>
      </c>
      <c r="G10" s="3">
        <v>12</v>
      </c>
      <c r="H10" s="3">
        <v>1118</v>
      </c>
      <c r="J10" s="2">
        <v>32507448</v>
      </c>
      <c r="K10" s="1" t="s">
        <v>1124</v>
      </c>
      <c r="L10" s="1" t="s">
        <v>59</v>
      </c>
      <c r="M10" s="2" t="s">
        <v>21</v>
      </c>
      <c r="N10" s="1" t="s">
        <v>1125</v>
      </c>
      <c r="P10" s="2" t="s">
        <v>1126</v>
      </c>
      <c r="Q10" s="6" t="s">
        <v>1127</v>
      </c>
    </row>
    <row r="11" spans="1:17" ht="45" x14ac:dyDescent="0.25">
      <c r="A11" s="1" t="s">
        <v>14</v>
      </c>
      <c r="B11" s="1" t="s">
        <v>15</v>
      </c>
      <c r="C11" s="1" t="s">
        <v>16</v>
      </c>
      <c r="D11" s="2" t="str">
        <f>"1752-6116"</f>
        <v>1752-6116</v>
      </c>
      <c r="E11" s="2" t="str">
        <f>"2020 Oct 28"</f>
        <v>2020 Oct 28</v>
      </c>
      <c r="H11" s="3">
        <v>1</v>
      </c>
      <c r="J11" s="2">
        <v>33112700</v>
      </c>
      <c r="K11" s="1" t="s">
        <v>19</v>
      </c>
      <c r="L11" s="1" t="s">
        <v>20</v>
      </c>
      <c r="M11" s="2" t="s">
        <v>21</v>
      </c>
      <c r="P11" s="2" t="s">
        <v>23</v>
      </c>
      <c r="Q11" s="6" t="s">
        <v>24</v>
      </c>
    </row>
    <row r="12" spans="1:17" ht="120" x14ac:dyDescent="0.25">
      <c r="A12" s="1" t="s">
        <v>1128</v>
      </c>
      <c r="B12" s="1" t="s">
        <v>1129</v>
      </c>
      <c r="C12" s="1" t="s">
        <v>55</v>
      </c>
      <c r="D12" s="2" t="str">
        <f>"1878-1861"</f>
        <v>1878-1861</v>
      </c>
      <c r="E12" s="2" t="str">
        <f>"2020 Nov"</f>
        <v>2020 Nov</v>
      </c>
      <c r="F12" s="3">
        <v>23</v>
      </c>
      <c r="G12" s="3">
        <v>11</v>
      </c>
      <c r="H12" s="3">
        <v>1006</v>
      </c>
      <c r="J12" s="2">
        <v>32576495</v>
      </c>
      <c r="K12" s="1" t="s">
        <v>1130</v>
      </c>
      <c r="L12" s="1" t="s">
        <v>59</v>
      </c>
      <c r="M12" s="2" t="s">
        <v>924</v>
      </c>
      <c r="N12" s="1" t="s">
        <v>1131</v>
      </c>
      <c r="P12" s="2" t="s">
        <v>1132</v>
      </c>
      <c r="Q12" s="6" t="s">
        <v>1133</v>
      </c>
    </row>
    <row r="13" spans="1:17" ht="75" x14ac:dyDescent="0.25">
      <c r="A13" s="1" t="s">
        <v>1134</v>
      </c>
      <c r="B13" s="1" t="s">
        <v>1135</v>
      </c>
      <c r="C13" s="1" t="s">
        <v>133</v>
      </c>
      <c r="D13" s="2" t="str">
        <f>"1536-7290"</f>
        <v>1536-7290</v>
      </c>
      <c r="E13" s="2" t="str">
        <f>"2020 Mar"</f>
        <v>2020 Mar</v>
      </c>
      <c r="F13" s="3">
        <v>20</v>
      </c>
      <c r="G13" s="3">
        <v>2</v>
      </c>
      <c r="H13" s="3">
        <v>147</v>
      </c>
      <c r="J13" s="2">
        <v>31092119</v>
      </c>
      <c r="K13" s="1" t="s">
        <v>1136</v>
      </c>
      <c r="L13" s="1" t="s">
        <v>500</v>
      </c>
      <c r="M13" s="2" t="s">
        <v>21</v>
      </c>
      <c r="N13" s="1" t="s">
        <v>1137</v>
      </c>
      <c r="P13" s="2" t="s">
        <v>1138</v>
      </c>
      <c r="Q13" s="6" t="s">
        <v>1139</v>
      </c>
    </row>
    <row r="14" spans="1:17" ht="90" x14ac:dyDescent="0.25">
      <c r="A14" s="1" t="s">
        <v>1140</v>
      </c>
      <c r="B14" s="1" t="s">
        <v>810</v>
      </c>
      <c r="C14" s="1" t="s">
        <v>1141</v>
      </c>
      <c r="D14" s="2" t="str">
        <f>"1366-5847"</f>
        <v>1366-5847</v>
      </c>
      <c r="E14" s="2" t="str">
        <f>"2020 Jul"</f>
        <v>2020 Jul</v>
      </c>
      <c r="F14" s="3">
        <v>63</v>
      </c>
      <c r="G14" s="3">
        <v>7</v>
      </c>
      <c r="H14" s="3">
        <v>850</v>
      </c>
      <c r="J14" s="2">
        <v>32301393</v>
      </c>
      <c r="K14" s="1" t="s">
        <v>1142</v>
      </c>
      <c r="L14" s="1" t="s">
        <v>1143</v>
      </c>
      <c r="M14" s="2" t="s">
        <v>21</v>
      </c>
      <c r="N14" s="1" t="s">
        <v>1144</v>
      </c>
      <c r="P14" s="2" t="s">
        <v>1145</v>
      </c>
      <c r="Q14" s="6" t="s">
        <v>1146</v>
      </c>
    </row>
    <row r="15" spans="1:17" ht="165" x14ac:dyDescent="0.25">
      <c r="A15" s="1" t="s">
        <v>1147</v>
      </c>
      <c r="B15" s="1" t="s">
        <v>810</v>
      </c>
      <c r="C15" s="1" t="s">
        <v>921</v>
      </c>
      <c r="D15" s="2" t="str">
        <f>"1466-447X"</f>
        <v>1466-447X</v>
      </c>
      <c r="E15" s="2" t="str">
        <f>"2020 Mar"</f>
        <v>2020 Mar</v>
      </c>
      <c r="F15" s="3">
        <v>38</v>
      </c>
      <c r="G15" s="3">
        <v>5</v>
      </c>
      <c r="H15" s="3">
        <v>528</v>
      </c>
      <c r="J15" s="2">
        <v>31918624</v>
      </c>
      <c r="K15" s="1" t="s">
        <v>1148</v>
      </c>
      <c r="L15" s="1" t="s">
        <v>923</v>
      </c>
      <c r="M15" s="2" t="s">
        <v>21</v>
      </c>
      <c r="N15" s="1" t="s">
        <v>1149</v>
      </c>
      <c r="P15" s="2" t="s">
        <v>1150</v>
      </c>
      <c r="Q15" s="6" t="s">
        <v>1151</v>
      </c>
    </row>
    <row r="16" spans="1:17" ht="135" x14ac:dyDescent="0.25">
      <c r="A16" s="1" t="s">
        <v>1152</v>
      </c>
      <c r="B16" s="1" t="s">
        <v>1153</v>
      </c>
      <c r="C16" s="1" t="s">
        <v>36</v>
      </c>
      <c r="D16" s="2" t="str">
        <f>"1543-2742"</f>
        <v>1543-2742</v>
      </c>
      <c r="E16" s="2" t="str">
        <f>"2020 Sep 01"</f>
        <v>2020 Sep 01</v>
      </c>
      <c r="F16" s="3">
        <v>30</v>
      </c>
      <c r="G16" s="3">
        <v>5</v>
      </c>
      <c r="H16" s="3">
        <v>305</v>
      </c>
      <c r="J16" s="2">
        <v>32707564</v>
      </c>
      <c r="K16" s="1" t="s">
        <v>1154</v>
      </c>
      <c r="L16" s="1" t="s">
        <v>40</v>
      </c>
      <c r="M16" s="2" t="s">
        <v>21</v>
      </c>
      <c r="N16" s="1" t="s">
        <v>1155</v>
      </c>
      <c r="P16" s="2" t="s">
        <v>1156</v>
      </c>
      <c r="Q16" s="6" t="s">
        <v>1157</v>
      </c>
    </row>
    <row r="17" spans="1:17" ht="120" x14ac:dyDescent="0.25">
      <c r="A17" s="1" t="s">
        <v>1158</v>
      </c>
      <c r="B17" s="1" t="s">
        <v>1159</v>
      </c>
      <c r="C17" s="1" t="s">
        <v>921</v>
      </c>
      <c r="D17" s="2" t="str">
        <f>"1466-447X"</f>
        <v>1466-447X</v>
      </c>
      <c r="E17" s="2" t="str">
        <f>"2020 Nov"</f>
        <v>2020 Nov</v>
      </c>
      <c r="F17" s="3">
        <v>38</v>
      </c>
      <c r="G17" s="3">
        <v>22</v>
      </c>
      <c r="H17" s="3">
        <v>2532</v>
      </c>
      <c r="J17" s="2">
        <v>32643546</v>
      </c>
      <c r="K17" s="1" t="s">
        <v>1160</v>
      </c>
      <c r="L17" s="1" t="s">
        <v>923</v>
      </c>
      <c r="M17" s="2" t="s">
        <v>21</v>
      </c>
      <c r="N17" s="1" t="s">
        <v>1161</v>
      </c>
      <c r="P17" s="2" t="s">
        <v>1162</v>
      </c>
      <c r="Q17" s="6" t="s">
        <v>1163</v>
      </c>
    </row>
    <row r="18" spans="1:17" ht="135" x14ac:dyDescent="0.25">
      <c r="A18" s="1" t="s">
        <v>1164</v>
      </c>
      <c r="B18" s="1" t="s">
        <v>1165</v>
      </c>
      <c r="C18" s="1" t="s">
        <v>133</v>
      </c>
      <c r="D18" s="2" t="str">
        <f>"1536-7290"</f>
        <v>1536-7290</v>
      </c>
      <c r="E18" s="2" t="str">
        <f>"2020 Jul"</f>
        <v>2020 Jul</v>
      </c>
      <c r="F18" s="3">
        <v>20</v>
      </c>
      <c r="G18" s="3">
        <v>6</v>
      </c>
      <c r="H18" s="3">
        <v>767</v>
      </c>
      <c r="J18" s="2">
        <v>31512552</v>
      </c>
      <c r="K18" s="1" t="s">
        <v>1166</v>
      </c>
      <c r="L18" s="1" t="s">
        <v>500</v>
      </c>
      <c r="M18" s="2" t="s">
        <v>21</v>
      </c>
      <c r="N18" s="1" t="s">
        <v>1167</v>
      </c>
      <c r="P18" s="2" t="s">
        <v>1168</v>
      </c>
      <c r="Q18" s="6" t="s">
        <v>1169</v>
      </c>
    </row>
    <row r="19" spans="1:17" ht="225" x14ac:dyDescent="0.25">
      <c r="A19" s="1" t="s">
        <v>1170</v>
      </c>
      <c r="B19" s="1" t="s">
        <v>1171</v>
      </c>
      <c r="C19" s="1" t="s">
        <v>102</v>
      </c>
      <c r="D19" s="2" t="str">
        <f>"1473-0480"</f>
        <v>1473-0480</v>
      </c>
      <c r="E19" s="2" t="str">
        <f>"2020 Jun"</f>
        <v>2020 Jun</v>
      </c>
      <c r="F19" s="3">
        <v>54</v>
      </c>
      <c r="G19" s="3">
        <v>11</v>
      </c>
      <c r="H19" s="3">
        <v>631</v>
      </c>
      <c r="J19" s="2">
        <v>31959678</v>
      </c>
      <c r="K19" s="1" t="s">
        <v>1172</v>
      </c>
      <c r="L19" s="1" t="s">
        <v>106</v>
      </c>
      <c r="M19" s="2" t="s">
        <v>1173</v>
      </c>
      <c r="N19" s="1" t="s">
        <v>1174</v>
      </c>
      <c r="P19" s="2" t="s">
        <v>1175</v>
      </c>
      <c r="Q19" s="6" t="s">
        <v>1176</v>
      </c>
    </row>
    <row r="20" spans="1:17" ht="75" x14ac:dyDescent="0.25">
      <c r="A20" s="1" t="s">
        <v>1177</v>
      </c>
      <c r="B20" s="1" t="s">
        <v>1178</v>
      </c>
      <c r="C20" s="1" t="s">
        <v>676</v>
      </c>
      <c r="D20" s="2" t="str">
        <f>"1932-6203"</f>
        <v>1932-6203</v>
      </c>
      <c r="E20" s="2" t="str">
        <f>"2020 Jun 04"</f>
        <v>2020 Jun 04</v>
      </c>
      <c r="F20" s="3">
        <v>15</v>
      </c>
      <c r="G20" s="3">
        <v>6</v>
      </c>
      <c r="H20" s="3" t="s">
        <v>1179</v>
      </c>
      <c r="J20" s="2">
        <v>32497061</v>
      </c>
      <c r="K20" s="1" t="s">
        <v>1180</v>
      </c>
      <c r="L20" s="1" t="s">
        <v>679</v>
      </c>
      <c r="M20" s="2" t="s">
        <v>646</v>
      </c>
      <c r="N20" s="1" t="s">
        <v>1181</v>
      </c>
      <c r="P20" s="2" t="s">
        <v>1182</v>
      </c>
      <c r="Q20" s="6" t="s">
        <v>1183</v>
      </c>
    </row>
    <row r="21" spans="1:17" ht="75" x14ac:dyDescent="0.25">
      <c r="A21" s="1" t="s">
        <v>1184</v>
      </c>
      <c r="B21" s="1" t="s">
        <v>946</v>
      </c>
      <c r="C21" s="1" t="s">
        <v>55</v>
      </c>
      <c r="D21" s="2" t="str">
        <f>"1878-1861"</f>
        <v>1878-1861</v>
      </c>
      <c r="E21" s="2" t="str">
        <f>"2020 Oct"</f>
        <v>2020 Oct</v>
      </c>
      <c r="F21" s="3">
        <v>23</v>
      </c>
      <c r="G21" s="3">
        <v>10</v>
      </c>
      <c r="H21" s="3">
        <v>991</v>
      </c>
      <c r="J21" s="2">
        <v>32389611</v>
      </c>
      <c r="K21" s="1" t="s">
        <v>1185</v>
      </c>
      <c r="L21" s="1" t="s">
        <v>59</v>
      </c>
      <c r="M21" s="2" t="s">
        <v>21</v>
      </c>
      <c r="N21" s="1" t="s">
        <v>1186</v>
      </c>
      <c r="P21" s="2" t="s">
        <v>1187</v>
      </c>
      <c r="Q21" s="6" t="s">
        <v>1188</v>
      </c>
    </row>
    <row r="22" spans="1:17" ht="45" x14ac:dyDescent="0.25">
      <c r="A22" s="1" t="s">
        <v>1189</v>
      </c>
      <c r="B22" s="1" t="s">
        <v>1190</v>
      </c>
      <c r="C22" s="1" t="s">
        <v>676</v>
      </c>
      <c r="D22" s="2" t="str">
        <f>"1932-6203"</f>
        <v>1932-6203</v>
      </c>
      <c r="E22" s="2" t="str">
        <f>"2020 Jun 15"</f>
        <v>2020 Jun 15</v>
      </c>
      <c r="F22" s="3">
        <v>15</v>
      </c>
      <c r="G22" s="3">
        <v>6</v>
      </c>
      <c r="H22" s="3" t="s">
        <v>1191</v>
      </c>
      <c r="J22" s="2">
        <v>32542013</v>
      </c>
      <c r="K22" s="1" t="s">
        <v>1192</v>
      </c>
      <c r="L22" s="1" t="s">
        <v>679</v>
      </c>
      <c r="M22" s="2" t="s">
        <v>21</v>
      </c>
      <c r="N22" s="1" t="s">
        <v>1193</v>
      </c>
      <c r="P22" s="2" t="s">
        <v>1194</v>
      </c>
      <c r="Q22" s="6" t="s">
        <v>1195</v>
      </c>
    </row>
    <row r="23" spans="1:17" ht="45" x14ac:dyDescent="0.25">
      <c r="A23" s="1" t="s">
        <v>1196</v>
      </c>
      <c r="B23" s="1" t="s">
        <v>1197</v>
      </c>
      <c r="C23" s="1" t="s">
        <v>36</v>
      </c>
      <c r="D23" s="2" t="str">
        <f>"1543-2742"</f>
        <v>1543-2742</v>
      </c>
      <c r="E23" s="2" t="str">
        <f>"2020 Mar 01"</f>
        <v>2020 Mar 01</v>
      </c>
      <c r="F23" s="3">
        <v>30</v>
      </c>
      <c r="G23" s="3">
        <v>2</v>
      </c>
      <c r="H23" s="3" t="s">
        <v>1198</v>
      </c>
      <c r="J23" s="2">
        <v>32045882</v>
      </c>
      <c r="K23" s="1" t="s">
        <v>1199</v>
      </c>
      <c r="L23" s="1" t="s">
        <v>40</v>
      </c>
      <c r="M23" s="2" t="s">
        <v>21</v>
      </c>
      <c r="P23" s="2" t="s">
        <v>1200</v>
      </c>
      <c r="Q23" s="6" t="s">
        <v>1201</v>
      </c>
    </row>
    <row r="24" spans="1:17" ht="75" x14ac:dyDescent="0.25">
      <c r="A24" s="1" t="s">
        <v>1202</v>
      </c>
      <c r="B24" s="1" t="s">
        <v>1203</v>
      </c>
      <c r="C24" s="1" t="s">
        <v>444</v>
      </c>
      <c r="D24" s="2" t="str">
        <f>"1179-2035"</f>
        <v>1179-2035</v>
      </c>
      <c r="E24" s="2" t="str">
        <f>"2020 Jan"</f>
        <v>2020 Jan</v>
      </c>
      <c r="F24" s="3">
        <v>50</v>
      </c>
      <c r="G24" s="3">
        <v>1</v>
      </c>
      <c r="H24" s="3">
        <v>133</v>
      </c>
      <c r="J24" s="2">
        <v>31541409</v>
      </c>
      <c r="K24" s="1" t="s">
        <v>1204</v>
      </c>
      <c r="L24" s="1" t="s">
        <v>446</v>
      </c>
      <c r="M24" s="2" t="s">
        <v>21</v>
      </c>
      <c r="N24" s="1" t="s">
        <v>1205</v>
      </c>
      <c r="P24" s="2" t="s">
        <v>1206</v>
      </c>
      <c r="Q24" s="6" t="s">
        <v>1207</v>
      </c>
    </row>
    <row r="25" spans="1:17" ht="75" x14ac:dyDescent="0.25">
      <c r="A25" s="1" t="s">
        <v>1208</v>
      </c>
      <c r="B25" s="1" t="s">
        <v>702</v>
      </c>
      <c r="C25" s="1" t="s">
        <v>921</v>
      </c>
      <c r="D25" s="2" t="str">
        <f>"1466-447X"</f>
        <v>1466-447X</v>
      </c>
      <c r="E25" s="2" t="str">
        <f>"2020 Aug"</f>
        <v>2020 Aug</v>
      </c>
      <c r="F25" s="3">
        <v>38</v>
      </c>
      <c r="G25" s="3">
        <v>16</v>
      </c>
      <c r="H25" s="3">
        <v>1859</v>
      </c>
      <c r="J25" s="2">
        <v>32329647</v>
      </c>
      <c r="K25" s="1" t="s">
        <v>1209</v>
      </c>
      <c r="L25" s="1" t="s">
        <v>923</v>
      </c>
      <c r="M25" s="2" t="s">
        <v>21</v>
      </c>
      <c r="N25" s="1" t="s">
        <v>1210</v>
      </c>
      <c r="P25" s="2" t="s">
        <v>1211</v>
      </c>
      <c r="Q25" s="6" t="s">
        <v>1212</v>
      </c>
    </row>
    <row r="26" spans="1:17" ht="180" x14ac:dyDescent="0.25">
      <c r="A26" s="1" t="s">
        <v>1213</v>
      </c>
      <c r="B26" s="1" t="s">
        <v>1214</v>
      </c>
      <c r="C26" s="1" t="s">
        <v>102</v>
      </c>
      <c r="D26" s="2" t="str">
        <f>"1473-0480"</f>
        <v>1473-0480</v>
      </c>
      <c r="E26" s="2" t="str">
        <f>"2020 Nov"</f>
        <v>2020 Nov</v>
      </c>
      <c r="F26" s="3">
        <v>54</v>
      </c>
      <c r="G26" s="3">
        <v>21</v>
      </c>
      <c r="H26" s="3">
        <v>1288</v>
      </c>
      <c r="J26" s="2">
        <v>32586943</v>
      </c>
      <c r="K26" s="1" t="s">
        <v>1215</v>
      </c>
      <c r="L26" s="1" t="s">
        <v>106</v>
      </c>
      <c r="M26" s="2" t="s">
        <v>21</v>
      </c>
      <c r="N26" s="1" t="s">
        <v>1216</v>
      </c>
      <c r="P26" s="2" t="s">
        <v>1217</v>
      </c>
      <c r="Q26" s="6" t="s">
        <v>1218</v>
      </c>
    </row>
    <row r="27" spans="1:17" ht="105" x14ac:dyDescent="0.25">
      <c r="A27" s="1" t="s">
        <v>1219</v>
      </c>
      <c r="B27" s="1" t="s">
        <v>1220</v>
      </c>
      <c r="C27" s="1" t="s">
        <v>824</v>
      </c>
      <c r="D27" s="2" t="str">
        <f>"1715-5320"</f>
        <v>1715-5320</v>
      </c>
      <c r="E27" s="2" t="str">
        <f>"2020 Oct"</f>
        <v>2020 Oct</v>
      </c>
      <c r="F27" s="3">
        <v>45</v>
      </c>
      <c r="G27" s="3">
        <v>10</v>
      </c>
      <c r="H27" s="3">
        <v>1174</v>
      </c>
      <c r="J27" s="2">
        <v>32544343</v>
      </c>
      <c r="K27" s="1" t="s">
        <v>1221</v>
      </c>
      <c r="L27" s="1" t="s">
        <v>826</v>
      </c>
      <c r="M27" s="2" t="s">
        <v>21</v>
      </c>
      <c r="N27" s="1" t="s">
        <v>1222</v>
      </c>
      <c r="P27" s="2" t="s">
        <v>1223</v>
      </c>
      <c r="Q27" s="6" t="s">
        <v>1224</v>
      </c>
    </row>
    <row r="28" spans="1:17" ht="45" x14ac:dyDescent="0.25">
      <c r="A28" s="1" t="s">
        <v>1225</v>
      </c>
      <c r="B28" s="1" t="s">
        <v>1226</v>
      </c>
      <c r="C28" s="1" t="s">
        <v>832</v>
      </c>
      <c r="D28" s="2" t="str">
        <f>"2624-9367"</f>
        <v>2624-9367</v>
      </c>
      <c r="E28" s="2" t="str">
        <f>"2020 Jul 30"</f>
        <v>2020 Jul 30</v>
      </c>
      <c r="F28" s="3">
        <v>2</v>
      </c>
      <c r="H28" s="3">
        <v>95</v>
      </c>
      <c r="J28" s="2">
        <v>33345086</v>
      </c>
      <c r="K28" s="1" t="s">
        <v>1227</v>
      </c>
      <c r="L28" s="1" t="s">
        <v>834</v>
      </c>
      <c r="M28" s="2" t="s">
        <v>21</v>
      </c>
      <c r="P28" s="2" t="s">
        <v>1228</v>
      </c>
      <c r="Q28" s="6" t="s">
        <v>1229</v>
      </c>
    </row>
    <row r="29" spans="1:17" ht="120" x14ac:dyDescent="0.25">
      <c r="A29" s="1" t="s">
        <v>1230</v>
      </c>
      <c r="B29" s="1" t="s">
        <v>1231</v>
      </c>
      <c r="C29" s="1" t="s">
        <v>921</v>
      </c>
      <c r="D29" s="2" t="str">
        <f>"1466-447X"</f>
        <v>1466-447X</v>
      </c>
      <c r="E29" s="2" t="str">
        <f>"2020 Mar"</f>
        <v>2020 Mar</v>
      </c>
      <c r="F29" s="3">
        <v>38</v>
      </c>
      <c r="G29" s="3">
        <v>5</v>
      </c>
      <c r="H29" s="3">
        <v>486</v>
      </c>
      <c r="J29" s="2">
        <v>31865835</v>
      </c>
      <c r="K29" s="1" t="s">
        <v>1232</v>
      </c>
      <c r="L29" s="1" t="s">
        <v>923</v>
      </c>
      <c r="M29" s="2" t="s">
        <v>21</v>
      </c>
      <c r="N29" s="1" t="s">
        <v>1233</v>
      </c>
      <c r="P29" s="2" t="s">
        <v>1234</v>
      </c>
      <c r="Q29" s="6" t="s">
        <v>1235</v>
      </c>
    </row>
    <row r="30" spans="1:17" ht="150" x14ac:dyDescent="0.25">
      <c r="A30" s="1" t="s">
        <v>1236</v>
      </c>
      <c r="B30" s="1" t="s">
        <v>1237</v>
      </c>
      <c r="C30" s="1" t="s">
        <v>102</v>
      </c>
      <c r="D30" s="2" t="str">
        <f>"1473-0480"</f>
        <v>1473-0480</v>
      </c>
      <c r="E30" s="2" t="str">
        <f>"2020 Apr"</f>
        <v>2020 Apr</v>
      </c>
      <c r="F30" s="3">
        <v>54</v>
      </c>
      <c r="G30" s="3">
        <v>7</v>
      </c>
      <c r="H30" s="3">
        <v>402</v>
      </c>
      <c r="J30" s="2">
        <v>32024647</v>
      </c>
      <c r="K30" s="1" t="s">
        <v>1238</v>
      </c>
      <c r="L30" s="1" t="s">
        <v>106</v>
      </c>
      <c r="M30" s="2" t="s">
        <v>21</v>
      </c>
      <c r="N30" s="1" t="s">
        <v>1239</v>
      </c>
      <c r="P30" s="2" t="s">
        <v>1240</v>
      </c>
      <c r="Q30" s="6" t="s">
        <v>1241</v>
      </c>
    </row>
    <row r="31" spans="1:17" ht="135" x14ac:dyDescent="0.25">
      <c r="A31" s="1" t="s">
        <v>1242</v>
      </c>
      <c r="B31" s="1" t="s">
        <v>1243</v>
      </c>
      <c r="C31" s="1" t="s">
        <v>102</v>
      </c>
      <c r="D31" s="2" t="str">
        <f>"1473-0480"</f>
        <v>1473-0480</v>
      </c>
      <c r="E31" s="2" t="str">
        <f>"2020 Mar"</f>
        <v>2020 Mar</v>
      </c>
      <c r="F31" s="3">
        <v>54</v>
      </c>
      <c r="G31" s="3">
        <v>5</v>
      </c>
      <c r="H31" s="3">
        <v>260</v>
      </c>
      <c r="J31" s="2">
        <v>31399426</v>
      </c>
      <c r="K31" s="1" t="s">
        <v>1244</v>
      </c>
      <c r="L31" s="1" t="s">
        <v>106</v>
      </c>
      <c r="M31" s="2" t="s">
        <v>1173</v>
      </c>
      <c r="N31" s="1" t="s">
        <v>1245</v>
      </c>
      <c r="P31" s="2" t="s">
        <v>807</v>
      </c>
      <c r="Q31" s="6" t="s">
        <v>1246</v>
      </c>
    </row>
    <row r="32" spans="1:17" ht="150" x14ac:dyDescent="0.25">
      <c r="A32" s="1" t="s">
        <v>1247</v>
      </c>
      <c r="B32" s="1" t="s">
        <v>1248</v>
      </c>
      <c r="C32" s="1" t="s">
        <v>102</v>
      </c>
      <c r="D32" s="2" t="str">
        <f>"1473-0480"</f>
        <v>1473-0480</v>
      </c>
      <c r="E32" s="2" t="str">
        <f>"2020 Jun"</f>
        <v>2020 Jun</v>
      </c>
      <c r="F32" s="3">
        <v>54</v>
      </c>
      <c r="G32" s="3">
        <v>11</v>
      </c>
      <c r="H32" s="3">
        <v>627</v>
      </c>
      <c r="J32" s="2">
        <v>31519545</v>
      </c>
      <c r="K32" s="1" t="s">
        <v>1249</v>
      </c>
      <c r="L32" s="1" t="s">
        <v>106</v>
      </c>
      <c r="M32" s="2" t="s">
        <v>1173</v>
      </c>
      <c r="N32" s="1" t="s">
        <v>1250</v>
      </c>
      <c r="P32" s="2" t="s">
        <v>1251</v>
      </c>
      <c r="Q32" s="6" t="s">
        <v>1252</v>
      </c>
    </row>
    <row r="33" spans="1:17" ht="105" x14ac:dyDescent="0.25">
      <c r="A33" s="1" t="s">
        <v>1253</v>
      </c>
      <c r="B33" s="1" t="s">
        <v>1254</v>
      </c>
      <c r="C33" s="1" t="s">
        <v>102</v>
      </c>
      <c r="D33" s="2" t="str">
        <f>"1473-0480"</f>
        <v>1473-0480</v>
      </c>
      <c r="E33" s="2" t="str">
        <f>"2020 Apr"</f>
        <v>2020 Apr</v>
      </c>
      <c r="F33" s="3">
        <v>54</v>
      </c>
      <c r="G33" s="3">
        <v>7</v>
      </c>
      <c r="H33" s="3">
        <v>390</v>
      </c>
      <c r="J33" s="2">
        <v>32060142</v>
      </c>
      <c r="K33" s="1" t="s">
        <v>1255</v>
      </c>
      <c r="L33" s="1" t="s">
        <v>106</v>
      </c>
      <c r="M33" s="2" t="s">
        <v>1173</v>
      </c>
      <c r="N33" s="1" t="s">
        <v>1256</v>
      </c>
      <c r="P33" s="2" t="s">
        <v>1257</v>
      </c>
      <c r="Q33" s="6" t="s">
        <v>1258</v>
      </c>
    </row>
    <row r="34" spans="1:17" ht="105" x14ac:dyDescent="0.25">
      <c r="A34" s="1" t="s">
        <v>1259</v>
      </c>
      <c r="B34" s="1" t="s">
        <v>1260</v>
      </c>
      <c r="C34" s="1" t="s">
        <v>55</v>
      </c>
      <c r="D34" s="2" t="str">
        <f>"1878-1861"</f>
        <v>1878-1861</v>
      </c>
      <c r="E34" s="2" t="str">
        <f>"2020 Jul"</f>
        <v>2020 Jul</v>
      </c>
      <c r="F34" s="3">
        <v>23</v>
      </c>
      <c r="G34" s="3">
        <v>7</v>
      </c>
      <c r="H34" s="3">
        <v>636</v>
      </c>
      <c r="J34" s="2">
        <v>32416971</v>
      </c>
      <c r="K34" s="1" t="s">
        <v>1261</v>
      </c>
      <c r="L34" s="1" t="s">
        <v>59</v>
      </c>
      <c r="M34" s="2" t="s">
        <v>21</v>
      </c>
      <c r="N34" s="1" t="s">
        <v>1262</v>
      </c>
      <c r="Q34" s="6" t="s">
        <v>1263</v>
      </c>
    </row>
    <row r="35" spans="1:17" ht="75" x14ac:dyDescent="0.25">
      <c r="A35" s="1" t="s">
        <v>1264</v>
      </c>
      <c r="B35" s="1" t="s">
        <v>1265</v>
      </c>
      <c r="C35" s="1" t="s">
        <v>839</v>
      </c>
      <c r="D35" s="2" t="str">
        <f>"1664-042X"</f>
        <v>1664-042X</v>
      </c>
      <c r="E35" s="2" t="str">
        <f>"2020 May 25"</f>
        <v>2020 May 25</v>
      </c>
      <c r="F35" s="3">
        <v>11</v>
      </c>
      <c r="H35" s="3">
        <v>497</v>
      </c>
      <c r="J35" s="2">
        <v>32523546</v>
      </c>
      <c r="K35" s="1" t="s">
        <v>1266</v>
      </c>
      <c r="L35" s="1" t="s">
        <v>640</v>
      </c>
      <c r="M35" s="2" t="s">
        <v>21</v>
      </c>
      <c r="P35" s="2" t="s">
        <v>1267</v>
      </c>
      <c r="Q35" s="6" t="s">
        <v>1268</v>
      </c>
    </row>
    <row r="36" spans="1:17" ht="225" x14ac:dyDescent="0.25">
      <c r="A36" s="1" t="s">
        <v>1269</v>
      </c>
      <c r="B36" s="1" t="s">
        <v>1270</v>
      </c>
      <c r="C36" s="1" t="s">
        <v>36</v>
      </c>
      <c r="D36" s="2" t="str">
        <f>"1543-2742"</f>
        <v>1543-2742</v>
      </c>
      <c r="E36" s="2" t="str">
        <f>"2020 Jan 01"</f>
        <v>2020 Jan 01</v>
      </c>
      <c r="F36" s="3">
        <v>30</v>
      </c>
      <c r="G36" s="3">
        <v>1</v>
      </c>
      <c r="H36" s="3">
        <v>34</v>
      </c>
      <c r="J36" s="2">
        <v>31629353</v>
      </c>
      <c r="K36" s="1" t="s">
        <v>1271</v>
      </c>
      <c r="L36" s="1" t="s">
        <v>40</v>
      </c>
      <c r="M36" s="2" t="s">
        <v>21</v>
      </c>
      <c r="N36" s="1" t="s">
        <v>1272</v>
      </c>
      <c r="P36" s="2" t="s">
        <v>1273</v>
      </c>
      <c r="Q36" s="6" t="s">
        <v>1274</v>
      </c>
    </row>
    <row r="37" spans="1:17" ht="60" x14ac:dyDescent="0.25">
      <c r="A37" s="1" t="s">
        <v>1275</v>
      </c>
      <c r="B37" s="1" t="s">
        <v>1276</v>
      </c>
      <c r="C37" s="1" t="s">
        <v>102</v>
      </c>
      <c r="D37" s="2" t="str">
        <f>"1473-0480"</f>
        <v>1473-0480</v>
      </c>
      <c r="E37" s="2" t="str">
        <f>"2020 Dec 22"</f>
        <v>2020 Dec 22</v>
      </c>
      <c r="J37" s="2">
        <v>33355175</v>
      </c>
      <c r="K37" s="1" t="s">
        <v>1277</v>
      </c>
      <c r="L37" s="1" t="s">
        <v>106</v>
      </c>
      <c r="M37" s="2" t="s">
        <v>21</v>
      </c>
      <c r="P37" s="2" t="s">
        <v>1278</v>
      </c>
      <c r="Q37" s="6" t="s">
        <v>1279</v>
      </c>
    </row>
    <row r="38" spans="1:17" ht="105" x14ac:dyDescent="0.25">
      <c r="A38" s="1" t="s">
        <v>1280</v>
      </c>
      <c r="B38" s="1" t="s">
        <v>1281</v>
      </c>
      <c r="C38" s="1" t="s">
        <v>55</v>
      </c>
      <c r="D38" s="2" t="str">
        <f>"1878-1861"</f>
        <v>1878-1861</v>
      </c>
      <c r="E38" s="2" t="str">
        <f>"2020 Apr"</f>
        <v>2020 Apr</v>
      </c>
      <c r="F38" s="3">
        <v>23</v>
      </c>
      <c r="G38" s="3">
        <v>4</v>
      </c>
      <c r="H38" s="3">
        <v>322</v>
      </c>
      <c r="J38" s="2">
        <v>31784237</v>
      </c>
      <c r="K38" s="1" t="s">
        <v>1282</v>
      </c>
      <c r="L38" s="1" t="s">
        <v>59</v>
      </c>
      <c r="M38" s="2" t="s">
        <v>21</v>
      </c>
      <c r="N38" s="1" t="s">
        <v>1283</v>
      </c>
      <c r="P38" s="2" t="s">
        <v>1284</v>
      </c>
      <c r="Q38" s="6" t="s">
        <v>1285</v>
      </c>
    </row>
    <row r="39" spans="1:17" ht="120" x14ac:dyDescent="0.25">
      <c r="A39" s="1" t="s">
        <v>1286</v>
      </c>
      <c r="B39" s="1" t="s">
        <v>1287</v>
      </c>
      <c r="C39" s="1" t="s">
        <v>797</v>
      </c>
      <c r="D39" s="2" t="str">
        <f>"1530-0315"</f>
        <v>1530-0315</v>
      </c>
      <c r="E39" s="2" t="str">
        <f>"2020 Mar"</f>
        <v>2020 Mar</v>
      </c>
      <c r="F39" s="3">
        <v>52</v>
      </c>
      <c r="G39" s="3">
        <v>3</v>
      </c>
      <c r="H39" s="3">
        <v>680</v>
      </c>
      <c r="J39" s="2">
        <v>32032235</v>
      </c>
      <c r="K39" s="1" t="s">
        <v>1288</v>
      </c>
      <c r="L39" s="1" t="s">
        <v>156</v>
      </c>
      <c r="M39" s="2" t="s">
        <v>21</v>
      </c>
      <c r="N39" s="1" t="s">
        <v>1289</v>
      </c>
      <c r="P39" s="2" t="s">
        <v>1290</v>
      </c>
      <c r="Q39" s="6" t="s">
        <v>1291</v>
      </c>
    </row>
    <row r="40" spans="1:17" ht="135" x14ac:dyDescent="0.25">
      <c r="A40" s="1" t="s">
        <v>1292</v>
      </c>
      <c r="B40" s="1" t="s">
        <v>1293</v>
      </c>
      <c r="C40" s="1" t="s">
        <v>82</v>
      </c>
      <c r="D40" s="2" t="str">
        <f>"1600-0838"</f>
        <v>1600-0838</v>
      </c>
      <c r="E40" s="2" t="str">
        <f>"2020 Mar"</f>
        <v>2020 Mar</v>
      </c>
      <c r="F40" s="3">
        <v>30</v>
      </c>
      <c r="G40" s="3">
        <v>3</v>
      </c>
      <c r="H40" s="3">
        <v>540</v>
      </c>
      <c r="J40" s="2">
        <v>31680306</v>
      </c>
      <c r="K40" s="1" t="s">
        <v>1294</v>
      </c>
      <c r="L40" s="1" t="s">
        <v>86</v>
      </c>
      <c r="M40" s="2" t="s">
        <v>21</v>
      </c>
      <c r="N40" s="1" t="s">
        <v>1295</v>
      </c>
      <c r="P40" s="2" t="s">
        <v>1296</v>
      </c>
      <c r="Q40" s="6" t="s">
        <v>1297</v>
      </c>
    </row>
    <row r="41" spans="1:17" ht="105" x14ac:dyDescent="0.25">
      <c r="A41" s="1" t="s">
        <v>1298</v>
      </c>
      <c r="B41" s="1" t="s">
        <v>1299</v>
      </c>
      <c r="C41" s="1" t="s">
        <v>1300</v>
      </c>
      <c r="D41" s="2" t="str">
        <f>"1077-5552"</f>
        <v>1077-5552</v>
      </c>
      <c r="E41" s="2" t="str">
        <f>"2020"</f>
        <v>2020</v>
      </c>
      <c r="F41" s="3">
        <v>26</v>
      </c>
      <c r="H41" s="3">
        <v>56</v>
      </c>
      <c r="J41" s="2">
        <v>32139349</v>
      </c>
      <c r="K41" s="1">
        <v>999</v>
      </c>
      <c r="L41" s="1" t="s">
        <v>1301</v>
      </c>
      <c r="M41" s="2" t="s">
        <v>21</v>
      </c>
      <c r="N41" s="1" t="s">
        <v>1302</v>
      </c>
      <c r="P41" s="2" t="s">
        <v>1303</v>
      </c>
      <c r="Q41" s="6" t="s">
        <v>1304</v>
      </c>
    </row>
    <row r="42" spans="1:17" ht="60" x14ac:dyDescent="0.25">
      <c r="A42" s="1" t="s">
        <v>1305</v>
      </c>
      <c r="B42" s="1" t="s">
        <v>1306</v>
      </c>
      <c r="C42" s="1" t="s">
        <v>133</v>
      </c>
      <c r="D42" s="2" t="str">
        <f>"1536-7290"</f>
        <v>1536-7290</v>
      </c>
      <c r="E42" s="2" t="str">
        <f>"2020 Feb"</f>
        <v>2020 Feb</v>
      </c>
      <c r="F42" s="3">
        <v>20</v>
      </c>
      <c r="G42" s="3">
        <v>1</v>
      </c>
      <c r="H42" s="3">
        <v>61</v>
      </c>
      <c r="J42" s="2">
        <v>31079552</v>
      </c>
      <c r="K42" s="1" t="s">
        <v>1307</v>
      </c>
      <c r="L42" s="1" t="s">
        <v>500</v>
      </c>
      <c r="M42" s="2" t="s">
        <v>924</v>
      </c>
      <c r="N42" s="1" t="s">
        <v>1308</v>
      </c>
      <c r="P42" s="2" t="s">
        <v>1309</v>
      </c>
      <c r="Q42" s="6" t="s">
        <v>1310</v>
      </c>
    </row>
    <row r="43" spans="1:17" ht="75" x14ac:dyDescent="0.25">
      <c r="A43" s="1" t="s">
        <v>1311</v>
      </c>
      <c r="B43" s="1" t="s">
        <v>1312</v>
      </c>
      <c r="C43" s="1" t="s">
        <v>444</v>
      </c>
      <c r="D43" s="2" t="str">
        <f>"1179-2035"</f>
        <v>1179-2035</v>
      </c>
      <c r="E43" s="2" t="str">
        <f>"2020 Oct"</f>
        <v>2020 Oct</v>
      </c>
      <c r="F43" s="3">
        <v>50</v>
      </c>
      <c r="G43" s="3">
        <v>10</v>
      </c>
      <c r="H43" s="3">
        <v>1709</v>
      </c>
      <c r="J43" s="2">
        <v>32623642</v>
      </c>
      <c r="K43" s="1" t="s">
        <v>1313</v>
      </c>
      <c r="L43" s="1" t="s">
        <v>446</v>
      </c>
      <c r="M43" s="2" t="s">
        <v>21</v>
      </c>
      <c r="N43" s="1" t="s">
        <v>1314</v>
      </c>
      <c r="P43" s="2" t="s">
        <v>1315</v>
      </c>
      <c r="Q43" s="6" t="s">
        <v>1316</v>
      </c>
    </row>
    <row r="44" spans="1:17" ht="75" x14ac:dyDescent="0.25">
      <c r="A44" s="1" t="s">
        <v>1317</v>
      </c>
      <c r="B44" s="1" t="s">
        <v>1318</v>
      </c>
      <c r="C44" s="1" t="s">
        <v>466</v>
      </c>
      <c r="D44" s="2" t="str">
        <f>"1533-4287"</f>
        <v>1533-4287</v>
      </c>
      <c r="E44" s="2" t="str">
        <f>"2020 Mar"</f>
        <v>2020 Mar</v>
      </c>
      <c r="F44" s="3">
        <v>34</v>
      </c>
      <c r="G44" s="3">
        <v>3</v>
      </c>
      <c r="H44" s="3">
        <v>818</v>
      </c>
      <c r="J44" s="2">
        <v>30113917</v>
      </c>
      <c r="K44" s="1" t="s">
        <v>1319</v>
      </c>
      <c r="L44" s="1" t="s">
        <v>468</v>
      </c>
      <c r="M44" s="2" t="s">
        <v>21</v>
      </c>
      <c r="N44" s="1" t="s">
        <v>1320</v>
      </c>
      <c r="P44" s="2" t="s">
        <v>1321</v>
      </c>
      <c r="Q44" s="6" t="s">
        <v>1322</v>
      </c>
    </row>
    <row r="45" spans="1:17" ht="45" x14ac:dyDescent="0.25">
      <c r="A45" s="1" t="s">
        <v>1323</v>
      </c>
      <c r="B45" s="1" t="s">
        <v>1324</v>
      </c>
      <c r="C45" s="1" t="s">
        <v>1325</v>
      </c>
      <c r="D45" s="2" t="str">
        <f>"2075-4663"</f>
        <v>2075-4663</v>
      </c>
      <c r="E45" s="2" t="str">
        <f>"2020 Mar 26"</f>
        <v>2020 Mar 26</v>
      </c>
      <c r="F45" s="3">
        <v>8</v>
      </c>
      <c r="G45" s="3">
        <v>4</v>
      </c>
      <c r="J45" s="2">
        <v>32224945</v>
      </c>
      <c r="K45" s="1" t="s">
        <v>1326</v>
      </c>
      <c r="L45" s="1" t="s">
        <v>775</v>
      </c>
      <c r="M45" s="2" t="s">
        <v>21</v>
      </c>
      <c r="P45" s="2" t="s">
        <v>1327</v>
      </c>
      <c r="Q45" s="6" t="s">
        <v>1328</v>
      </c>
    </row>
    <row r="46" spans="1:17" ht="150" x14ac:dyDescent="0.25">
      <c r="A46" s="1" t="s">
        <v>1329</v>
      </c>
      <c r="B46" s="1" t="s">
        <v>1330</v>
      </c>
      <c r="C46" s="1" t="s">
        <v>921</v>
      </c>
      <c r="D46" s="2" t="str">
        <f>"1466-447X"</f>
        <v>1466-447X</v>
      </c>
      <c r="E46" s="2" t="str">
        <f>"2020 Sep"</f>
        <v>2020 Sep</v>
      </c>
      <c r="F46" s="3">
        <v>38</v>
      </c>
      <c r="G46" s="3">
        <v>18</v>
      </c>
      <c r="H46" s="3">
        <v>2092</v>
      </c>
      <c r="J46" s="2">
        <v>32475220</v>
      </c>
      <c r="K46" s="1" t="s">
        <v>1331</v>
      </c>
      <c r="L46" s="1" t="s">
        <v>923</v>
      </c>
      <c r="M46" s="2" t="s">
        <v>21</v>
      </c>
      <c r="N46" s="1" t="s">
        <v>1332</v>
      </c>
      <c r="P46" s="2" t="s">
        <v>1333</v>
      </c>
      <c r="Q46" s="6" t="s">
        <v>1334</v>
      </c>
    </row>
    <row r="47" spans="1:17" ht="45" x14ac:dyDescent="0.25">
      <c r="A47" s="1" t="s">
        <v>1335</v>
      </c>
      <c r="B47" s="1" t="s">
        <v>1336</v>
      </c>
      <c r="C47" s="1" t="s">
        <v>832</v>
      </c>
      <c r="D47" s="2" t="str">
        <f>"2624-9367"</f>
        <v>2624-9367</v>
      </c>
      <c r="E47" s="2" t="str">
        <f>"2020 Dec 07"</f>
        <v>2020 Dec 07</v>
      </c>
      <c r="F47" s="3">
        <v>2</v>
      </c>
      <c r="H47" s="3">
        <v>596369</v>
      </c>
      <c r="J47" s="2">
        <v>33345177</v>
      </c>
      <c r="K47" s="1" t="s">
        <v>1337</v>
      </c>
      <c r="L47" s="1" t="s">
        <v>834</v>
      </c>
      <c r="M47" s="2" t="s">
        <v>21</v>
      </c>
      <c r="P47" s="2" t="s">
        <v>1338</v>
      </c>
      <c r="Q47" s="6" t="s">
        <v>1339</v>
      </c>
    </row>
    <row r="48" spans="1:17" ht="105" x14ac:dyDescent="0.25">
      <c r="A48" s="1" t="s">
        <v>1340</v>
      </c>
      <c r="B48" s="1" t="s">
        <v>1341</v>
      </c>
      <c r="C48" s="1" t="s">
        <v>444</v>
      </c>
      <c r="D48" s="2" t="str">
        <f>"1179-2035"</f>
        <v>1179-2035</v>
      </c>
      <c r="E48" s="2" t="str">
        <f>"2020 Sep"</f>
        <v>2020 Sep</v>
      </c>
      <c r="F48" s="3">
        <v>50</v>
      </c>
      <c r="G48" s="3">
        <v>9</v>
      </c>
      <c r="H48" s="3">
        <v>1683</v>
      </c>
      <c r="J48" s="2">
        <v>32026315</v>
      </c>
      <c r="K48" s="1" t="s">
        <v>1342</v>
      </c>
      <c r="L48" s="1" t="s">
        <v>446</v>
      </c>
      <c r="M48" s="2" t="s">
        <v>21</v>
      </c>
      <c r="N48" s="1" t="s">
        <v>1343</v>
      </c>
      <c r="P48" s="2" t="s">
        <v>1344</v>
      </c>
      <c r="Q48" s="6" t="s">
        <v>1345</v>
      </c>
    </row>
    <row r="49" spans="1:17" ht="75" x14ac:dyDescent="0.25">
      <c r="A49" s="1" t="s">
        <v>1346</v>
      </c>
      <c r="B49" s="1" t="s">
        <v>1347</v>
      </c>
      <c r="C49" s="1" t="s">
        <v>466</v>
      </c>
      <c r="D49" s="2" t="str">
        <f>"1533-4287"</f>
        <v>1533-4287</v>
      </c>
      <c r="E49" s="2" t="str">
        <f>"2020 Sep"</f>
        <v>2020 Sep</v>
      </c>
      <c r="F49" s="3">
        <v>34</v>
      </c>
      <c r="G49" s="3">
        <v>9</v>
      </c>
      <c r="H49" s="3">
        <v>2557</v>
      </c>
      <c r="J49" s="2">
        <v>29985224</v>
      </c>
      <c r="K49" s="1" t="s">
        <v>1348</v>
      </c>
      <c r="L49" s="1" t="s">
        <v>468</v>
      </c>
      <c r="M49" s="2" t="s">
        <v>21</v>
      </c>
      <c r="N49" s="1" t="s">
        <v>1349</v>
      </c>
      <c r="P49" s="2" t="s">
        <v>1350</v>
      </c>
      <c r="Q49" s="6" t="s">
        <v>1351</v>
      </c>
    </row>
    <row r="50" spans="1:17" ht="60" x14ac:dyDescent="0.25">
      <c r="A50" s="1" t="s">
        <v>1352</v>
      </c>
      <c r="B50" s="1" t="s">
        <v>1353</v>
      </c>
      <c r="C50" s="1" t="s">
        <v>466</v>
      </c>
      <c r="D50" s="2" t="str">
        <f>"1533-4287"</f>
        <v>1533-4287</v>
      </c>
      <c r="E50" s="2" t="str">
        <f>"2020 Oct 15"</f>
        <v>2020 Oct 15</v>
      </c>
      <c r="J50" s="2">
        <v>33065705</v>
      </c>
      <c r="K50" s="1" t="s">
        <v>1354</v>
      </c>
      <c r="L50" s="1" t="s">
        <v>468</v>
      </c>
      <c r="M50" s="2" t="s">
        <v>21</v>
      </c>
      <c r="P50" s="2" t="s">
        <v>1355</v>
      </c>
      <c r="Q50" s="6" t="s">
        <v>1356</v>
      </c>
    </row>
    <row r="51" spans="1:17" ht="135" x14ac:dyDescent="0.25">
      <c r="A51" s="1" t="s">
        <v>1357</v>
      </c>
      <c r="B51" s="1" t="s">
        <v>1358</v>
      </c>
      <c r="C51" s="1" t="s">
        <v>46</v>
      </c>
      <c r="D51" s="2" t="str">
        <f>"1439-6327"</f>
        <v>1439-6327</v>
      </c>
      <c r="E51" s="2" t="str">
        <f>"2020 Aug"</f>
        <v>2020 Aug</v>
      </c>
      <c r="F51" s="3">
        <v>120</v>
      </c>
      <c r="G51" s="3">
        <v>8</v>
      </c>
      <c r="H51" s="3">
        <v>1777</v>
      </c>
      <c r="J51" s="2">
        <v>32500280</v>
      </c>
      <c r="K51" s="1" t="s">
        <v>1359</v>
      </c>
      <c r="L51" s="1" t="s">
        <v>50</v>
      </c>
      <c r="M51" s="2" t="s">
        <v>21</v>
      </c>
      <c r="N51" s="1" t="s">
        <v>1360</v>
      </c>
      <c r="P51" s="2" t="s">
        <v>1361</v>
      </c>
      <c r="Q51" s="6" t="s">
        <v>1362</v>
      </c>
    </row>
    <row r="52" spans="1:17" ht="180" x14ac:dyDescent="0.25">
      <c r="A52" s="1" t="s">
        <v>1363</v>
      </c>
      <c r="B52" s="1" t="s">
        <v>1364</v>
      </c>
      <c r="C52" s="1" t="s">
        <v>102</v>
      </c>
      <c r="D52" s="2" t="str">
        <f>"1473-0480"</f>
        <v>1473-0480</v>
      </c>
      <c r="E52" s="2" t="str">
        <f>"2020 Aug"</f>
        <v>2020 Aug</v>
      </c>
      <c r="F52" s="3">
        <v>54</v>
      </c>
      <c r="G52" s="3">
        <v>16</v>
      </c>
      <c r="H52" s="3">
        <v>991</v>
      </c>
      <c r="J52" s="2">
        <v>31959675</v>
      </c>
      <c r="K52" s="1" t="s">
        <v>1365</v>
      </c>
      <c r="L52" s="1" t="s">
        <v>106</v>
      </c>
      <c r="M52" s="2" t="s">
        <v>21</v>
      </c>
      <c r="N52" s="1" t="s">
        <v>1366</v>
      </c>
      <c r="P52" s="2" t="s">
        <v>1367</v>
      </c>
      <c r="Q52" s="6" t="s">
        <v>1368</v>
      </c>
    </row>
    <row r="53" spans="1:17" ht="75" x14ac:dyDescent="0.25">
      <c r="A53" s="1" t="s">
        <v>1369</v>
      </c>
      <c r="B53" s="1" t="s">
        <v>1370</v>
      </c>
      <c r="C53" s="1" t="s">
        <v>1371</v>
      </c>
      <c r="D53" s="2" t="str">
        <f>"1554-527X"</f>
        <v>1554-527X</v>
      </c>
      <c r="E53" s="2" t="str">
        <f>"2020 Oct"</f>
        <v>2020 Oct</v>
      </c>
      <c r="F53" s="3">
        <v>38</v>
      </c>
      <c r="G53" s="3">
        <v>10</v>
      </c>
      <c r="H53" s="3">
        <v>2250</v>
      </c>
      <c r="J53" s="2">
        <v>32017242</v>
      </c>
      <c r="K53" s="1" t="s">
        <v>1372</v>
      </c>
      <c r="L53" s="1" t="s">
        <v>1373</v>
      </c>
      <c r="M53" s="2" t="s">
        <v>21</v>
      </c>
      <c r="N53" s="1" t="s">
        <v>1374</v>
      </c>
      <c r="P53" s="2" t="s">
        <v>1375</v>
      </c>
      <c r="Q53" s="6" t="s">
        <v>1376</v>
      </c>
    </row>
    <row r="54" spans="1:17" ht="75" x14ac:dyDescent="0.25">
      <c r="A54" s="1" t="s">
        <v>1377</v>
      </c>
      <c r="B54" s="1" t="s">
        <v>1378</v>
      </c>
      <c r="C54" s="1" t="s">
        <v>545</v>
      </c>
      <c r="D54" s="2" t="str">
        <f>"1522-1601"</f>
        <v>1522-1601</v>
      </c>
      <c r="E54" s="2" t="str">
        <f>"2020 Oct 01"</f>
        <v>2020 Oct 01</v>
      </c>
      <c r="F54" s="3">
        <v>129</v>
      </c>
      <c r="G54" s="3">
        <v>4</v>
      </c>
      <c r="H54" s="3">
        <v>934</v>
      </c>
      <c r="J54" s="2">
        <v>32853111</v>
      </c>
      <c r="K54" s="1" t="s">
        <v>1379</v>
      </c>
      <c r="L54" s="1" t="s">
        <v>547</v>
      </c>
      <c r="M54" s="2" t="s">
        <v>21</v>
      </c>
      <c r="N54" s="1" t="s">
        <v>1380</v>
      </c>
      <c r="P54" s="2" t="s">
        <v>1381</v>
      </c>
      <c r="Q54" s="6" t="s">
        <v>1382</v>
      </c>
    </row>
    <row r="55" spans="1:17" ht="225" x14ac:dyDescent="0.25">
      <c r="A55" s="1" t="s">
        <v>1383</v>
      </c>
      <c r="B55" s="1" t="s">
        <v>1384</v>
      </c>
      <c r="C55" s="1" t="s">
        <v>36</v>
      </c>
      <c r="D55" s="2" t="str">
        <f>"1543-2742"</f>
        <v>1543-2742</v>
      </c>
      <c r="E55" s="2" t="str">
        <f>"2020 Jan 01"</f>
        <v>2020 Jan 01</v>
      </c>
      <c r="F55" s="3">
        <v>30</v>
      </c>
      <c r="G55" s="3">
        <v>1</v>
      </c>
      <c r="H55" s="3">
        <v>83</v>
      </c>
      <c r="J55" s="2">
        <v>31891914</v>
      </c>
      <c r="K55" s="1" t="s">
        <v>1385</v>
      </c>
      <c r="L55" s="1" t="s">
        <v>40</v>
      </c>
      <c r="M55" s="2" t="s">
        <v>21</v>
      </c>
      <c r="N55" s="1" t="s">
        <v>1386</v>
      </c>
      <c r="P55" s="2" t="s">
        <v>1387</v>
      </c>
      <c r="Q55" s="6" t="s">
        <v>1388</v>
      </c>
    </row>
    <row r="56" spans="1:17" ht="45" x14ac:dyDescent="0.25">
      <c r="A56" s="1" t="s">
        <v>1389</v>
      </c>
      <c r="B56" s="1" t="s">
        <v>1390</v>
      </c>
      <c r="C56" s="1" t="s">
        <v>1391</v>
      </c>
      <c r="D56" s="2" t="str">
        <f>"2208-7958"</f>
        <v>2208-7958</v>
      </c>
      <c r="E56" s="2" t="str">
        <f>"2020 Jan-Feb"</f>
        <v>2020 Jan-Feb</v>
      </c>
      <c r="F56" s="3">
        <v>49</v>
      </c>
      <c r="G56" s="8">
        <v>44593</v>
      </c>
      <c r="H56" s="3">
        <v>17</v>
      </c>
      <c r="J56" s="2">
        <v>32008270</v>
      </c>
      <c r="K56" s="1" t="s">
        <v>1392</v>
      </c>
      <c r="L56" s="1" t="s">
        <v>1393</v>
      </c>
      <c r="M56" s="2" t="s">
        <v>21</v>
      </c>
      <c r="N56" s="1" t="s">
        <v>1394</v>
      </c>
      <c r="P56" s="2" t="s">
        <v>1395</v>
      </c>
      <c r="Q56" s="6" t="s">
        <v>1396</v>
      </c>
    </row>
    <row r="57" spans="1:17" ht="60" x14ac:dyDescent="0.25">
      <c r="A57" s="1" t="s">
        <v>1397</v>
      </c>
      <c r="B57" s="1" t="s">
        <v>1398</v>
      </c>
      <c r="C57" s="1" t="s">
        <v>1399</v>
      </c>
      <c r="D57" s="2" t="str">
        <f>"1476-8259"</f>
        <v>1476-8259</v>
      </c>
      <c r="E57" s="2" t="str">
        <f>"2020 May"</f>
        <v>2020 May</v>
      </c>
      <c r="F57" s="3">
        <v>23</v>
      </c>
      <c r="G57" s="3">
        <v>7</v>
      </c>
      <c r="H57" s="3">
        <v>271</v>
      </c>
      <c r="J57" s="2">
        <v>32054321</v>
      </c>
      <c r="K57" s="1" t="s">
        <v>1400</v>
      </c>
      <c r="L57" s="1" t="s">
        <v>1143</v>
      </c>
      <c r="M57" s="2" t="s">
        <v>21</v>
      </c>
      <c r="N57" s="1" t="s">
        <v>1401</v>
      </c>
      <c r="P57" s="2" t="s">
        <v>1402</v>
      </c>
      <c r="Q57" s="6" t="s">
        <v>1403</v>
      </c>
    </row>
    <row r="58" spans="1:17" ht="30" x14ac:dyDescent="0.25">
      <c r="A58" s="1" t="s">
        <v>1404</v>
      </c>
      <c r="B58" s="1" t="s">
        <v>844</v>
      </c>
      <c r="C58" s="1" t="s">
        <v>832</v>
      </c>
      <c r="D58" s="2" t="str">
        <f>"2624-9367"</f>
        <v>2624-9367</v>
      </c>
      <c r="E58" s="2" t="str">
        <f>"2020 Dec 03"</f>
        <v>2020 Dec 03</v>
      </c>
      <c r="F58" s="3">
        <v>2</v>
      </c>
      <c r="H58" s="3">
        <v>589013</v>
      </c>
      <c r="J58" s="2">
        <v>33345160</v>
      </c>
      <c r="K58" s="1" t="s">
        <v>1405</v>
      </c>
      <c r="L58" s="1" t="s">
        <v>834</v>
      </c>
      <c r="M58" s="2" t="s">
        <v>21</v>
      </c>
      <c r="P58" s="2" t="s">
        <v>1406</v>
      </c>
      <c r="Q58" s="6" t="s">
        <v>1407</v>
      </c>
    </row>
    <row r="59" spans="1:17" ht="150" x14ac:dyDescent="0.25">
      <c r="A59" s="1" t="s">
        <v>1408</v>
      </c>
      <c r="B59" s="1" t="s">
        <v>1409</v>
      </c>
      <c r="C59" s="1" t="s">
        <v>102</v>
      </c>
      <c r="D59" s="2" t="str">
        <f>"1473-0480"</f>
        <v>1473-0480</v>
      </c>
      <c r="E59" s="2" t="str">
        <f>"2020 Nov"</f>
        <v>2020 Nov</v>
      </c>
      <c r="F59" s="3">
        <v>54</v>
      </c>
      <c r="G59" s="3">
        <v>21</v>
      </c>
      <c r="H59" s="3">
        <v>1247</v>
      </c>
      <c r="J59" s="2">
        <v>32661127</v>
      </c>
      <c r="K59" s="1" t="s">
        <v>1410</v>
      </c>
      <c r="L59" s="1" t="s">
        <v>106</v>
      </c>
      <c r="M59" s="2" t="s">
        <v>1173</v>
      </c>
      <c r="N59" s="1" t="s">
        <v>1411</v>
      </c>
      <c r="P59" s="2" t="s">
        <v>1412</v>
      </c>
      <c r="Q59" s="6" t="s">
        <v>1413</v>
      </c>
    </row>
    <row r="60" spans="1:17" ht="120" x14ac:dyDescent="0.25">
      <c r="A60" s="1" t="s">
        <v>1414</v>
      </c>
      <c r="B60" s="1" t="s">
        <v>1415</v>
      </c>
      <c r="C60" s="1" t="s">
        <v>55</v>
      </c>
      <c r="D60" s="2" t="str">
        <f>"1878-1861"</f>
        <v>1878-1861</v>
      </c>
      <c r="E60" s="2" t="str">
        <f>"2020 Jul"</f>
        <v>2020 Jul</v>
      </c>
      <c r="F60" s="3">
        <v>23</v>
      </c>
      <c r="G60" s="3">
        <v>7</v>
      </c>
      <c r="H60" s="3">
        <v>639</v>
      </c>
      <c r="J60" s="2">
        <v>32451268</v>
      </c>
      <c r="K60" s="1" t="s">
        <v>1416</v>
      </c>
      <c r="L60" s="1" t="s">
        <v>59</v>
      </c>
      <c r="M60" s="2" t="s">
        <v>21</v>
      </c>
      <c r="N60" s="1" t="s">
        <v>1417</v>
      </c>
      <c r="P60" s="2" t="s">
        <v>1418</v>
      </c>
      <c r="Q60" s="6" t="s">
        <v>1419</v>
      </c>
    </row>
    <row r="61" spans="1:17" ht="105" x14ac:dyDescent="0.25">
      <c r="A61" s="1" t="s">
        <v>1420</v>
      </c>
      <c r="B61" s="1" t="s">
        <v>1421</v>
      </c>
      <c r="C61" s="1" t="s">
        <v>444</v>
      </c>
      <c r="D61" s="2" t="str">
        <f>"1179-2035"</f>
        <v>1179-2035</v>
      </c>
      <c r="E61" s="2" t="str">
        <f>"2020 Jul"</f>
        <v>2020 Jul</v>
      </c>
      <c r="F61" s="3">
        <v>50</v>
      </c>
      <c r="G61" s="3">
        <v>7</v>
      </c>
      <c r="H61" s="3">
        <v>1233</v>
      </c>
      <c r="J61" s="2">
        <v>32449141</v>
      </c>
      <c r="K61" s="1" t="s">
        <v>1422</v>
      </c>
      <c r="L61" s="1" t="s">
        <v>446</v>
      </c>
      <c r="M61" s="2" t="s">
        <v>21</v>
      </c>
      <c r="N61" s="1" t="s">
        <v>1423</v>
      </c>
      <c r="P61" s="2" t="s">
        <v>1424</v>
      </c>
      <c r="Q61" s="6" t="s">
        <v>1425</v>
      </c>
    </row>
    <row r="62" spans="1:17" ht="75" x14ac:dyDescent="0.25">
      <c r="A62" s="1" t="s">
        <v>1426</v>
      </c>
      <c r="B62" s="1" t="s">
        <v>1427</v>
      </c>
      <c r="C62" s="1" t="s">
        <v>839</v>
      </c>
      <c r="D62" s="2" t="str">
        <f>"1664-042X"</f>
        <v>1664-042X</v>
      </c>
      <c r="E62" s="2" t="str">
        <f>"2020 Aug 27"</f>
        <v>2020 Aug 27</v>
      </c>
      <c r="F62" s="3">
        <v>11</v>
      </c>
      <c r="H62" s="3">
        <v>965</v>
      </c>
      <c r="J62" s="2">
        <v>32973544</v>
      </c>
      <c r="K62" s="1" t="s">
        <v>1428</v>
      </c>
      <c r="L62" s="1" t="s">
        <v>640</v>
      </c>
      <c r="M62" s="2" t="s">
        <v>21</v>
      </c>
      <c r="P62" s="2" t="s">
        <v>1429</v>
      </c>
      <c r="Q62" s="6" t="s">
        <v>1430</v>
      </c>
    </row>
    <row r="63" spans="1:17" ht="75" x14ac:dyDescent="0.25">
      <c r="A63" s="1" t="s">
        <v>1431</v>
      </c>
      <c r="B63" s="1" t="s">
        <v>1432</v>
      </c>
      <c r="C63" s="1" t="s">
        <v>133</v>
      </c>
      <c r="D63" s="2" t="str">
        <f>"1536-7290"</f>
        <v>1536-7290</v>
      </c>
      <c r="E63" s="2" t="str">
        <f>"2020 Nov"</f>
        <v>2020 Nov</v>
      </c>
      <c r="F63" s="3">
        <v>20</v>
      </c>
      <c r="G63" s="3">
        <v>10</v>
      </c>
      <c r="H63" s="3">
        <v>1329</v>
      </c>
      <c r="J63" s="2">
        <v>31955652</v>
      </c>
      <c r="K63" s="1" t="s">
        <v>1433</v>
      </c>
      <c r="L63" s="1" t="s">
        <v>500</v>
      </c>
      <c r="M63" s="2" t="s">
        <v>21</v>
      </c>
      <c r="N63" s="1" t="s">
        <v>1434</v>
      </c>
      <c r="P63" s="2" t="s">
        <v>1435</v>
      </c>
      <c r="Q63" s="6" t="s">
        <v>1436</v>
      </c>
    </row>
    <row r="64" spans="1:17" ht="120" x14ac:dyDescent="0.25">
      <c r="A64" s="1" t="s">
        <v>1437</v>
      </c>
      <c r="B64" s="1" t="s">
        <v>1438</v>
      </c>
      <c r="C64" s="1" t="s">
        <v>921</v>
      </c>
      <c r="D64" s="2" t="str">
        <f>"1466-447X"</f>
        <v>1466-447X</v>
      </c>
      <c r="E64" s="2" t="str">
        <f>"2020 Feb"</f>
        <v>2020 Feb</v>
      </c>
      <c r="F64" s="3">
        <v>38</v>
      </c>
      <c r="G64" s="3">
        <v>3</v>
      </c>
      <c r="H64" s="3">
        <v>280</v>
      </c>
      <c r="J64" s="2">
        <v>31766951</v>
      </c>
      <c r="K64" s="1" t="s">
        <v>1439</v>
      </c>
      <c r="L64" s="1" t="s">
        <v>923</v>
      </c>
      <c r="M64" s="2" t="s">
        <v>21</v>
      </c>
      <c r="N64" s="1" t="s">
        <v>1440</v>
      </c>
      <c r="P64" s="2" t="s">
        <v>1441</v>
      </c>
      <c r="Q64" s="6" t="s">
        <v>1442</v>
      </c>
    </row>
    <row r="65" spans="1:17" ht="75" x14ac:dyDescent="0.25">
      <c r="A65" s="1" t="s">
        <v>1443</v>
      </c>
      <c r="B65" s="1" t="s">
        <v>1444</v>
      </c>
      <c r="C65" s="1" t="s">
        <v>533</v>
      </c>
      <c r="D65" s="2" t="str">
        <f>"1873-1600"</f>
        <v>1873-1600</v>
      </c>
      <c r="E65" s="2" t="str">
        <f>"2020 Sep"</f>
        <v>2020 Sep</v>
      </c>
      <c r="F65" s="3">
        <v>45</v>
      </c>
      <c r="H65" s="3">
        <v>38</v>
      </c>
      <c r="J65" s="2">
        <v>32622328</v>
      </c>
      <c r="K65" s="1" t="s">
        <v>1445</v>
      </c>
      <c r="L65" s="1" t="s">
        <v>535</v>
      </c>
      <c r="M65" s="2" t="s">
        <v>21</v>
      </c>
      <c r="N65" s="1" t="s">
        <v>1446</v>
      </c>
      <c r="P65" s="2" t="s">
        <v>1447</v>
      </c>
      <c r="Q65" s="6" t="s">
        <v>1448</v>
      </c>
    </row>
    <row r="66" spans="1:17" ht="150" x14ac:dyDescent="0.25">
      <c r="A66" s="1" t="s">
        <v>1449</v>
      </c>
      <c r="B66" s="1" t="s">
        <v>1450</v>
      </c>
      <c r="C66" s="1" t="s">
        <v>1451</v>
      </c>
      <c r="D66" s="2" t="str">
        <f>"1938-162X"</f>
        <v>1938-162X</v>
      </c>
      <c r="E66" s="2" t="str">
        <f>"2020 Sep 01"</f>
        <v>2020 Sep 01</v>
      </c>
      <c r="F66" s="3">
        <v>55</v>
      </c>
      <c r="G66" s="3">
        <v>9</v>
      </c>
      <c r="H66" s="3">
        <v>885</v>
      </c>
      <c r="J66" s="2">
        <v>32991701</v>
      </c>
      <c r="K66" s="1" t="s">
        <v>1452</v>
      </c>
      <c r="L66" s="1" t="s">
        <v>1453</v>
      </c>
      <c r="M66" s="2" t="s">
        <v>21</v>
      </c>
      <c r="N66" s="1" t="s">
        <v>1454</v>
      </c>
      <c r="P66" s="2" t="s">
        <v>1455</v>
      </c>
      <c r="Q66" s="6" t="s">
        <v>1456</v>
      </c>
    </row>
    <row r="67" spans="1:17" ht="90" x14ac:dyDescent="0.25">
      <c r="A67" s="1" t="s">
        <v>1457</v>
      </c>
      <c r="B67" s="1" t="s">
        <v>1458</v>
      </c>
      <c r="C67" s="1" t="s">
        <v>466</v>
      </c>
      <c r="D67" s="2" t="str">
        <f>"1533-4287"</f>
        <v>1533-4287</v>
      </c>
      <c r="E67" s="2" t="str">
        <f>"2020 Jan"</f>
        <v>2020 Jan</v>
      </c>
      <c r="F67" s="3">
        <v>34</v>
      </c>
      <c r="G67" s="3">
        <v>1</v>
      </c>
      <c r="H67" s="3">
        <v>54</v>
      </c>
      <c r="J67" s="2">
        <v>30844983</v>
      </c>
      <c r="K67" s="1" t="s">
        <v>1459</v>
      </c>
      <c r="L67" s="1" t="s">
        <v>468</v>
      </c>
      <c r="M67" s="2" t="s">
        <v>21</v>
      </c>
      <c r="N67" s="1" t="s">
        <v>1460</v>
      </c>
      <c r="P67" s="2" t="s">
        <v>1461</v>
      </c>
      <c r="Q67" s="6" t="s">
        <v>1462</v>
      </c>
    </row>
    <row r="68" spans="1:17" ht="75" x14ac:dyDescent="0.25">
      <c r="A68" s="1" t="s">
        <v>1463</v>
      </c>
      <c r="B68" s="1" t="s">
        <v>810</v>
      </c>
      <c r="C68" s="1" t="s">
        <v>55</v>
      </c>
      <c r="D68" s="2" t="str">
        <f>"1878-1861"</f>
        <v>1878-1861</v>
      </c>
      <c r="E68" s="2" t="str">
        <f>"2020 Sep"</f>
        <v>2020 Sep</v>
      </c>
      <c r="F68" s="3">
        <v>23</v>
      </c>
      <c r="G68" s="3">
        <v>9</v>
      </c>
      <c r="H68" s="3">
        <v>820</v>
      </c>
      <c r="J68" s="2">
        <v>32522401</v>
      </c>
      <c r="K68" s="1" t="s">
        <v>1464</v>
      </c>
      <c r="L68" s="1" t="s">
        <v>59</v>
      </c>
      <c r="M68" s="2" t="s">
        <v>21</v>
      </c>
      <c r="N68" s="1" t="s">
        <v>1465</v>
      </c>
      <c r="P68" s="2" t="s">
        <v>1466</v>
      </c>
      <c r="Q68" s="6" t="s">
        <v>1467</v>
      </c>
    </row>
    <row r="69" spans="1:17" ht="75" x14ac:dyDescent="0.25">
      <c r="A69" s="1" t="s">
        <v>1468</v>
      </c>
      <c r="B69" s="1" t="s">
        <v>1469</v>
      </c>
      <c r="C69" s="1" t="s">
        <v>133</v>
      </c>
      <c r="D69" s="2" t="str">
        <f>"1536-7290"</f>
        <v>1536-7290</v>
      </c>
      <c r="E69" s="2" t="str">
        <f>"2020 Mar"</f>
        <v>2020 Mar</v>
      </c>
      <c r="F69" s="3">
        <v>20</v>
      </c>
      <c r="G69" s="3">
        <v>2</v>
      </c>
      <c r="H69" s="3">
        <v>166</v>
      </c>
      <c r="J69" s="2">
        <v>31132025</v>
      </c>
      <c r="K69" s="1" t="s">
        <v>1470</v>
      </c>
      <c r="L69" s="1" t="s">
        <v>500</v>
      </c>
      <c r="M69" s="2" t="s">
        <v>924</v>
      </c>
      <c r="N69" s="1" t="s">
        <v>1471</v>
      </c>
      <c r="P69" s="2" t="s">
        <v>1472</v>
      </c>
      <c r="Q69" s="6" t="s">
        <v>1473</v>
      </c>
    </row>
    <row r="70" spans="1:17" ht="90" x14ac:dyDescent="0.25">
      <c r="A70" s="1" t="s">
        <v>1474</v>
      </c>
      <c r="B70" s="1" t="s">
        <v>1475</v>
      </c>
      <c r="C70" s="1" t="s">
        <v>921</v>
      </c>
      <c r="D70" s="2" t="str">
        <f>"1466-447X"</f>
        <v>1466-447X</v>
      </c>
      <c r="E70" s="2" t="str">
        <f>"2020 Jan"</f>
        <v>2020 Jan</v>
      </c>
      <c r="F70" s="3">
        <v>38</v>
      </c>
      <c r="G70" s="3">
        <v>2</v>
      </c>
      <c r="H70" s="3">
        <v>130</v>
      </c>
      <c r="J70" s="2">
        <v>31696778</v>
      </c>
      <c r="K70" s="1" t="s">
        <v>1476</v>
      </c>
      <c r="L70" s="1" t="s">
        <v>923</v>
      </c>
      <c r="M70" s="2" t="s">
        <v>21</v>
      </c>
      <c r="N70" s="1" t="s">
        <v>1477</v>
      </c>
      <c r="P70" s="2" t="s">
        <v>1478</v>
      </c>
      <c r="Q70" s="6" t="s">
        <v>1479</v>
      </c>
    </row>
    <row r="71" spans="1:17" ht="60" x14ac:dyDescent="0.25">
      <c r="A71" s="1" t="s">
        <v>1480</v>
      </c>
      <c r="B71" s="1" t="s">
        <v>1481</v>
      </c>
      <c r="C71" s="1" t="s">
        <v>122</v>
      </c>
      <c r="D71" s="2" t="str">
        <f>"2167-8359"</f>
        <v>2167-8359</v>
      </c>
      <c r="E71" s="2" t="str">
        <f>"2020 Jan 08"</f>
        <v>2020 Jan 08</v>
      </c>
      <c r="F71" s="3">
        <v>8</v>
      </c>
      <c r="H71" s="3" t="s">
        <v>1482</v>
      </c>
      <c r="J71" s="2">
        <v>31938581</v>
      </c>
      <c r="K71" s="1" t="s">
        <v>1483</v>
      </c>
      <c r="L71" s="1" t="s">
        <v>127</v>
      </c>
      <c r="M71" s="2" t="s">
        <v>21</v>
      </c>
      <c r="P71" s="2" t="s">
        <v>1484</v>
      </c>
      <c r="Q71" s="6" t="s">
        <v>1485</v>
      </c>
    </row>
  </sheetData>
  <hyperlinks>
    <hyperlink ref="Q2" r:id="rId1" xr:uid="{01AF1E7B-0D00-4860-8015-3AE72910EAF2}"/>
    <hyperlink ref="Q3" r:id="rId2" xr:uid="{26E28F22-98F6-4CDF-B537-9868603B8306}"/>
    <hyperlink ref="Q4" r:id="rId3" xr:uid="{2E75F93E-B094-4057-ABDD-85B183247F7E}"/>
    <hyperlink ref="Q5" r:id="rId4" xr:uid="{5F0FB2DA-1776-40BE-BDEB-5BCEC74489D0}"/>
    <hyperlink ref="Q6" r:id="rId5" xr:uid="{D2DA500D-8288-4237-948B-3848F867654A}"/>
    <hyperlink ref="Q7" r:id="rId6" xr:uid="{2E91A2B8-2970-4BE4-B366-5CADFF78C049}"/>
    <hyperlink ref="Q8" r:id="rId7" xr:uid="{C8146502-D5D5-449A-A05A-EB1FB2E59B53}"/>
    <hyperlink ref="Q9" r:id="rId8" xr:uid="{4D9C336F-1F98-4EE7-89CB-6FF274A81E11}"/>
    <hyperlink ref="Q10" r:id="rId9" xr:uid="{0F95087A-995B-4213-8D62-5FC88EF8761C}"/>
    <hyperlink ref="Q11" r:id="rId10" xr:uid="{9E62020D-8637-4B6F-BB08-7D50C5FE07B9}"/>
    <hyperlink ref="Q12" r:id="rId11" xr:uid="{48465469-A088-458A-B0EA-4F172AD52AE5}"/>
    <hyperlink ref="Q13" r:id="rId12" xr:uid="{D1934EA3-96E0-43A1-A3D1-BCD72A9337B1}"/>
    <hyperlink ref="Q14" r:id="rId13" xr:uid="{61FB914B-2ED2-4E0C-A580-3EDA8C1B131B}"/>
    <hyperlink ref="Q15" r:id="rId14" xr:uid="{6475ECDA-5C02-4CC5-8628-8555AD098B75}"/>
    <hyperlink ref="Q16" r:id="rId15" xr:uid="{3995DC62-BF35-472F-996B-6D315E165632}"/>
    <hyperlink ref="Q17" r:id="rId16" xr:uid="{7DB46143-BD80-41EA-803B-957BAF578802}"/>
    <hyperlink ref="Q18" r:id="rId17" xr:uid="{316403DF-926A-4C22-ADE2-65F31000D971}"/>
    <hyperlink ref="Q19" r:id="rId18" xr:uid="{422B77BB-8A8E-4848-A05F-9DF6A6398249}"/>
    <hyperlink ref="Q20" r:id="rId19" xr:uid="{C36760EE-C110-46CB-9969-94DA36A00015}"/>
    <hyperlink ref="Q21" r:id="rId20" xr:uid="{DE1F178C-338B-4261-925B-C67925381D00}"/>
    <hyperlink ref="Q22" r:id="rId21" xr:uid="{51672E75-5F4C-4577-8AF5-1C3EA407B201}"/>
    <hyperlink ref="Q23" r:id="rId22" xr:uid="{407B4A5E-504D-4A46-8EEE-23B7CF4A2E39}"/>
    <hyperlink ref="Q24" r:id="rId23" xr:uid="{DC18E179-866D-4326-9AF2-20C7A5DE4D95}"/>
    <hyperlink ref="Q25" r:id="rId24" xr:uid="{2C363A52-EC63-4865-A762-B8A031FB4525}"/>
    <hyperlink ref="Q26" r:id="rId25" xr:uid="{AC1E9283-3BB4-4D75-8532-9AD5CCCAD594}"/>
    <hyperlink ref="Q27" r:id="rId26" xr:uid="{07006642-4258-45A2-A3B1-D542EEFCA9B5}"/>
    <hyperlink ref="Q28" r:id="rId27" xr:uid="{A72858B2-61E8-490D-B74C-10AFD057478D}"/>
    <hyperlink ref="Q29" r:id="rId28" xr:uid="{9B29A073-8E7D-42EB-BF50-51389D2D976B}"/>
    <hyperlink ref="Q30" r:id="rId29" xr:uid="{D8198B36-FD2A-4AC4-B6A0-22B2D2421DCA}"/>
    <hyperlink ref="Q31" r:id="rId30" xr:uid="{0FB05A7F-94B1-4416-B559-E7BCF00FF32E}"/>
    <hyperlink ref="Q32" r:id="rId31" xr:uid="{0201ADF0-9278-419E-8716-8EE9134C8E11}"/>
    <hyperlink ref="Q33" r:id="rId32" xr:uid="{50F92530-9C21-425E-AF73-C434B6A655DF}"/>
    <hyperlink ref="Q34" r:id="rId33" xr:uid="{90F29F38-06F6-4145-A343-1E1B107463D1}"/>
    <hyperlink ref="Q35" r:id="rId34" xr:uid="{10E55EA1-D887-415E-B5F4-4F006D9AAA6F}"/>
    <hyperlink ref="Q36" r:id="rId35" xr:uid="{5862C204-FFD8-4611-8F84-21F5D6DE9991}"/>
    <hyperlink ref="Q37" r:id="rId36" xr:uid="{DCFF9C25-8100-4331-B5C6-270915A342B4}"/>
    <hyperlink ref="Q38" r:id="rId37" xr:uid="{686F509C-F3D4-4BC9-8DBF-015DBC95B4F5}"/>
    <hyperlink ref="Q39" r:id="rId38" xr:uid="{94BCCD03-3608-4EB5-81CB-46B71865FB6C}"/>
    <hyperlink ref="Q40" r:id="rId39" xr:uid="{FD8D49DF-41CC-416D-B627-821AB1064D94}"/>
    <hyperlink ref="Q41" r:id="rId40" xr:uid="{9EB91E02-02BC-455D-A103-3929A2BD8509}"/>
    <hyperlink ref="Q42" r:id="rId41" xr:uid="{66397B46-1868-4782-B284-0426D4277928}"/>
    <hyperlink ref="Q43" r:id="rId42" xr:uid="{B355AC02-95E6-4BCC-9CB2-9B1CCA95F607}"/>
    <hyperlink ref="Q44" r:id="rId43" xr:uid="{80E47B85-530D-4492-8C39-26B6FDFB18D6}"/>
    <hyperlink ref="Q45" r:id="rId44" xr:uid="{FEDE8711-3B73-4A27-BC01-0B29585A10B2}"/>
    <hyperlink ref="Q46" r:id="rId45" xr:uid="{C6960EB0-914A-4401-B4B7-94C4C7184948}"/>
    <hyperlink ref="Q47" r:id="rId46" xr:uid="{3A22BBB2-912F-4705-A2BA-C1622B91817F}"/>
    <hyperlink ref="Q48" r:id="rId47" xr:uid="{A6958BA8-43EA-4975-A18C-F20DB23B2490}"/>
    <hyperlink ref="Q49" r:id="rId48" xr:uid="{42FAB4B5-03BA-4BB1-B746-215A1429775D}"/>
    <hyperlink ref="Q50" r:id="rId49" xr:uid="{A8865087-2D79-4237-A156-ECEEE7F21AA6}"/>
    <hyperlink ref="Q51" r:id="rId50" xr:uid="{34DEF2C5-CB8E-4CFD-8D19-9FA883F49711}"/>
    <hyperlink ref="Q52" r:id="rId51" xr:uid="{A5E28E25-FE88-4FCC-AFC1-72803EEB08E1}"/>
    <hyperlink ref="Q53" r:id="rId52" xr:uid="{C7DD58B7-C5DF-46A9-8624-51BA7B789AA9}"/>
    <hyperlink ref="Q54" r:id="rId53" xr:uid="{AC61828A-F918-4425-8C4F-4EC35EDB71AF}"/>
    <hyperlink ref="Q55" r:id="rId54" xr:uid="{9093197B-09F4-4A3A-B285-D95A367E275D}"/>
    <hyperlink ref="Q56" r:id="rId55" xr:uid="{EDFBA1B0-33CB-4EA9-9612-AAA960BD9630}"/>
    <hyperlink ref="Q57" r:id="rId56" xr:uid="{0B2FF3C5-471A-450D-ABCB-3EE42E3C45D3}"/>
    <hyperlink ref="Q58" r:id="rId57" xr:uid="{E3BF041E-5509-4B24-8D10-9FCEF3051ACF}"/>
    <hyperlink ref="Q59" r:id="rId58" xr:uid="{81F9EA17-E635-4CE6-B0B3-3748DEA59314}"/>
    <hyperlink ref="Q60" r:id="rId59" xr:uid="{8CD37EE2-1889-4E59-9AC0-812F09BB9D0D}"/>
    <hyperlink ref="Q61" r:id="rId60" xr:uid="{0FC7C9E5-1DF4-4951-ABA9-C812D4575506}"/>
    <hyperlink ref="Q62" r:id="rId61" xr:uid="{F1B44AD0-7034-4A14-B1BE-A902CC4EEEA7}"/>
    <hyperlink ref="Q63" r:id="rId62" xr:uid="{E3D1CAF5-3DBA-4DE7-A6FA-4063B90160BB}"/>
    <hyperlink ref="Q64" r:id="rId63" xr:uid="{0E6DFB08-4CF9-4564-B23F-9C6C7118E0CA}"/>
    <hyperlink ref="Q65" r:id="rId64" xr:uid="{8F6B9EE4-6822-4C24-9431-26E876F97576}"/>
    <hyperlink ref="Q66" r:id="rId65" xr:uid="{F63A7139-B9B2-4EBE-B26B-A2C0AD7E96B9}"/>
    <hyperlink ref="Q67" r:id="rId66" xr:uid="{542E18A7-A7C3-4DD8-A568-A06C528D5A2A}"/>
    <hyperlink ref="Q68" r:id="rId67" xr:uid="{84FE6215-9715-4E79-BD7C-7F420427306C}"/>
    <hyperlink ref="Q69" r:id="rId68" xr:uid="{BD815989-7075-4D2C-AFC6-4239CB15072C}"/>
    <hyperlink ref="Q70" r:id="rId69" xr:uid="{B5C072ED-6CA5-4889-8A75-70D4B9B1654E}"/>
    <hyperlink ref="Q71" r:id="rId70" xr:uid="{049EE079-95FA-425F-850F-1C1A8CD6322B}"/>
  </hyperlinks>
  <pageMargins left="0.7" right="0.7" top="0.75" bottom="0.75" header="0.3" footer="0.3"/>
  <headerFooter>
    <oddHeader>&amp;C&amp;"Calibri"&amp;12&amp;KFF0000 OFFICIAL&amp;1#_x000D_</oddHeader>
  </headerFooter>
  <tableParts count="1">
    <tablePart r:id="rId7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6"/>
  <sheetViews>
    <sheetView workbookViewId="0">
      <selection activeCell="A3" sqref="A3:XFD3"/>
    </sheetView>
  </sheetViews>
  <sheetFormatPr defaultColWidth="8.7109375" defaultRowHeight="15" x14ac:dyDescent="0.25"/>
  <cols>
    <col min="1" max="1" width="33.140625" style="4" customWidth="1"/>
    <col min="2" max="2" width="26.42578125" style="4" customWidth="1"/>
    <col min="3" max="3" width="43.85546875" style="4" customWidth="1"/>
    <col min="4" max="4" width="10.42578125" style="5" customWidth="1"/>
    <col min="5" max="5" width="0" style="5" hidden="1" customWidth="1"/>
    <col min="6" max="6" width="16.85546875" style="5" customWidth="1"/>
    <col min="7" max="7" width="9.42578125" style="3" customWidth="1"/>
    <col min="8" max="8" width="8.7109375" style="3"/>
    <col min="9" max="9" width="11.140625" style="3" customWidth="1"/>
    <col min="10" max="11" width="0" style="5" hidden="1" customWidth="1"/>
    <col min="12" max="12" width="24.85546875" style="5" customWidth="1"/>
    <col min="13" max="13" width="26.140625" style="5" customWidth="1"/>
    <col min="14" max="14" width="17.140625" style="5" bestFit="1" customWidth="1"/>
    <col min="15" max="15" width="35.140625" style="4" customWidth="1"/>
    <col min="16" max="16" width="25.140625" style="5" hidden="1" customWidth="1"/>
    <col min="17" max="17" width="34.42578125" style="5" customWidth="1"/>
    <col min="18" max="18" width="35.140625" style="5" customWidth="1"/>
    <col min="19" max="16384" width="8.7109375" style="5"/>
  </cols>
  <sheetData>
    <row r="1" spans="1:18" x14ac:dyDescent="0.25">
      <c r="A1" s="4" t="s">
        <v>0</v>
      </c>
      <c r="B1" s="4" t="s">
        <v>1</v>
      </c>
      <c r="C1" s="4" t="s">
        <v>2</v>
      </c>
      <c r="D1" s="5" t="s">
        <v>3</v>
      </c>
      <c r="E1" s="5" t="s">
        <v>1486</v>
      </c>
      <c r="F1" s="5" t="s">
        <v>4</v>
      </c>
      <c r="G1" s="3" t="s">
        <v>5</v>
      </c>
      <c r="H1" s="3" t="s">
        <v>6</v>
      </c>
      <c r="I1" s="3" t="s">
        <v>7</v>
      </c>
      <c r="J1" s="5" t="s">
        <v>140</v>
      </c>
      <c r="K1" s="5" t="s">
        <v>141</v>
      </c>
      <c r="L1" s="5" t="s">
        <v>8</v>
      </c>
      <c r="M1" s="5" t="s">
        <v>9</v>
      </c>
      <c r="N1" s="5" t="s">
        <v>10</v>
      </c>
      <c r="O1" s="4" t="s">
        <v>11</v>
      </c>
      <c r="P1" s="5" t="s">
        <v>779</v>
      </c>
      <c r="Q1" s="5" t="s">
        <v>12</v>
      </c>
      <c r="R1" s="5" t="s">
        <v>13</v>
      </c>
    </row>
    <row r="2" spans="1:18" ht="90" x14ac:dyDescent="0.25">
      <c r="A2" s="4" t="s">
        <v>1487</v>
      </c>
      <c r="B2" s="4" t="s">
        <v>1488</v>
      </c>
      <c r="C2" s="4" t="s">
        <v>1489</v>
      </c>
      <c r="D2" s="5" t="str">
        <f>"1552-3365"</f>
        <v>1552-3365</v>
      </c>
      <c r="F2" s="5" t="str">
        <f>"2019 May"</f>
        <v>2019 May</v>
      </c>
      <c r="G2" s="3">
        <v>47</v>
      </c>
      <c r="H2" s="3">
        <v>6</v>
      </c>
      <c r="I2" s="3">
        <v>1302</v>
      </c>
      <c r="K2" s="5">
        <v>30779880</v>
      </c>
      <c r="L2" s="5" t="s">
        <v>1490</v>
      </c>
      <c r="M2" s="5" t="s">
        <v>31</v>
      </c>
      <c r="N2" s="5" t="s">
        <v>21</v>
      </c>
      <c r="O2" s="4" t="s">
        <v>1491</v>
      </c>
      <c r="Q2" s="5" t="s">
        <v>1492</v>
      </c>
      <c r="R2" s="7" t="s">
        <v>1493</v>
      </c>
    </row>
    <row r="3" spans="1:18" ht="135" x14ac:dyDescent="0.25">
      <c r="A3" s="4" t="s">
        <v>1494</v>
      </c>
      <c r="B3" s="4" t="s">
        <v>1495</v>
      </c>
      <c r="C3" s="4" t="s">
        <v>36</v>
      </c>
      <c r="D3" s="5" t="str">
        <f>"1543-2742"</f>
        <v>1543-2742</v>
      </c>
      <c r="F3" s="5" t="str">
        <f>"2019 Mar 01"</f>
        <v>2019 Mar 01</v>
      </c>
      <c r="G3" s="3">
        <v>29</v>
      </c>
      <c r="H3" s="3">
        <v>2</v>
      </c>
      <c r="I3" s="3">
        <v>141</v>
      </c>
      <c r="K3" s="5">
        <v>30632439</v>
      </c>
      <c r="L3" s="5" t="s">
        <v>1496</v>
      </c>
      <c r="M3" s="5" t="s">
        <v>40</v>
      </c>
      <c r="N3" s="5" t="s">
        <v>21</v>
      </c>
      <c r="O3" s="4" t="s">
        <v>1497</v>
      </c>
      <c r="Q3" s="5" t="s">
        <v>1498</v>
      </c>
      <c r="R3" s="7" t="s">
        <v>1499</v>
      </c>
    </row>
    <row r="4" spans="1:18" ht="120" x14ac:dyDescent="0.25">
      <c r="A4" s="4" t="s">
        <v>1500</v>
      </c>
      <c r="B4" s="4" t="s">
        <v>1501</v>
      </c>
      <c r="C4" s="4" t="s">
        <v>1502</v>
      </c>
      <c r="D4" s="5" t="str">
        <f>"1036-1073"</f>
        <v>1036-1073</v>
      </c>
      <c r="F4" s="5" t="str">
        <f>"2019 Apr"</f>
        <v>2019 Apr</v>
      </c>
      <c r="G4" s="3">
        <v>30</v>
      </c>
      <c r="H4" s="3">
        <v>2</v>
      </c>
      <c r="I4" s="3">
        <v>172</v>
      </c>
      <c r="K4" s="5">
        <v>30972899</v>
      </c>
      <c r="L4" s="5" t="s">
        <v>1503</v>
      </c>
      <c r="M4" s="5" t="s">
        <v>1373</v>
      </c>
      <c r="N4" s="5" t="s">
        <v>21</v>
      </c>
      <c r="O4" s="4" t="s">
        <v>1504</v>
      </c>
      <c r="Q4" s="5" t="s">
        <v>1505</v>
      </c>
      <c r="R4" s="7" t="s">
        <v>1506</v>
      </c>
    </row>
    <row r="5" spans="1:18" ht="165" x14ac:dyDescent="0.25">
      <c r="A5" s="4" t="s">
        <v>1507</v>
      </c>
      <c r="B5" s="4" t="s">
        <v>1508</v>
      </c>
      <c r="C5" s="4" t="s">
        <v>533</v>
      </c>
      <c r="D5" s="5" t="str">
        <f>"1873-1600"</f>
        <v>1873-1600</v>
      </c>
      <c r="F5" s="5" t="str">
        <f>"2019 Jul"</f>
        <v>2019 Jul</v>
      </c>
      <c r="G5" s="3">
        <v>38</v>
      </c>
      <c r="I5" s="3">
        <v>192</v>
      </c>
      <c r="K5" s="5">
        <v>31176259</v>
      </c>
      <c r="L5" s="5" t="s">
        <v>1509</v>
      </c>
      <c r="M5" s="5" t="s">
        <v>535</v>
      </c>
      <c r="N5" s="5" t="s">
        <v>21</v>
      </c>
      <c r="O5" s="4" t="s">
        <v>1510</v>
      </c>
      <c r="Q5" s="5" t="s">
        <v>1511</v>
      </c>
      <c r="R5" s="7" t="s">
        <v>1512</v>
      </c>
    </row>
    <row r="6" spans="1:18" ht="105" x14ac:dyDescent="0.25">
      <c r="A6" s="4" t="s">
        <v>1513</v>
      </c>
      <c r="B6" s="4" t="s">
        <v>1514</v>
      </c>
      <c r="C6" s="4" t="s">
        <v>921</v>
      </c>
      <c r="D6" s="5" t="str">
        <f>"1466-447X"</f>
        <v>1466-447X</v>
      </c>
      <c r="F6" s="5" t="str">
        <f>"2019 Jun"</f>
        <v>2019 Jun</v>
      </c>
      <c r="G6" s="3">
        <v>37</v>
      </c>
      <c r="H6" s="3">
        <v>11</v>
      </c>
      <c r="I6" s="3">
        <v>1280</v>
      </c>
      <c r="K6" s="5">
        <v>30574842</v>
      </c>
      <c r="L6" s="5" t="s">
        <v>1515</v>
      </c>
      <c r="M6" s="5" t="s">
        <v>923</v>
      </c>
      <c r="N6" s="5" t="s">
        <v>21</v>
      </c>
      <c r="O6" s="4" t="s">
        <v>1516</v>
      </c>
      <c r="Q6" s="5" t="s">
        <v>1517</v>
      </c>
      <c r="R6" s="7" t="s">
        <v>1518</v>
      </c>
    </row>
    <row r="7" spans="1:18" ht="75" x14ac:dyDescent="0.25">
      <c r="A7" s="4" t="s">
        <v>1519</v>
      </c>
      <c r="B7" s="4" t="s">
        <v>1520</v>
      </c>
      <c r="C7" s="4" t="s">
        <v>638</v>
      </c>
      <c r="D7" s="5" t="str">
        <f>"1664-1078"</f>
        <v>1664-1078</v>
      </c>
      <c r="F7" s="5" t="str">
        <f>"2019 Feb 06"</f>
        <v>2019 Feb 06</v>
      </c>
      <c r="G7" s="3">
        <v>10</v>
      </c>
      <c r="I7" s="3">
        <v>201</v>
      </c>
      <c r="K7" s="5">
        <v>30787902</v>
      </c>
      <c r="L7" s="5" t="s">
        <v>1521</v>
      </c>
      <c r="M7" s="5" t="s">
        <v>640</v>
      </c>
      <c r="N7" s="5" t="s">
        <v>21</v>
      </c>
      <c r="Q7" s="5" t="s">
        <v>1522</v>
      </c>
      <c r="R7" s="7" t="s">
        <v>1523</v>
      </c>
    </row>
    <row r="8" spans="1:18" ht="135" x14ac:dyDescent="0.25">
      <c r="A8" s="4" t="s">
        <v>1524</v>
      </c>
      <c r="B8" s="4" t="s">
        <v>1525</v>
      </c>
      <c r="C8" s="4" t="s">
        <v>921</v>
      </c>
      <c r="D8" s="5" t="str">
        <f>"1466-447X"</f>
        <v>1466-447X</v>
      </c>
      <c r="F8" s="5" t="str">
        <f>"2019 Apr"</f>
        <v>2019 Apr</v>
      </c>
      <c r="G8" s="3">
        <v>37</v>
      </c>
      <c r="H8" s="3">
        <v>7</v>
      </c>
      <c r="I8" s="3">
        <v>762</v>
      </c>
      <c r="K8" s="5">
        <v>30319077</v>
      </c>
      <c r="L8" s="5" t="s">
        <v>1526</v>
      </c>
      <c r="M8" s="5" t="s">
        <v>923</v>
      </c>
      <c r="N8" s="5" t="s">
        <v>21</v>
      </c>
      <c r="O8" s="4" t="s">
        <v>1527</v>
      </c>
      <c r="Q8" s="5" t="s">
        <v>1528</v>
      </c>
      <c r="R8" s="7" t="s">
        <v>1529</v>
      </c>
    </row>
    <row r="9" spans="1:18" ht="120" x14ac:dyDescent="0.25">
      <c r="A9" s="4" t="s">
        <v>1530</v>
      </c>
      <c r="B9" s="4" t="s">
        <v>1531</v>
      </c>
      <c r="C9" s="4" t="s">
        <v>55</v>
      </c>
      <c r="D9" s="5" t="str">
        <f>"1878-1861"</f>
        <v>1878-1861</v>
      </c>
      <c r="F9" s="5" t="str">
        <f>"2019 Jun"</f>
        <v>2019 Jun</v>
      </c>
      <c r="G9" s="3">
        <v>22</v>
      </c>
      <c r="H9" s="3">
        <v>6</v>
      </c>
      <c r="I9" s="3">
        <v>635</v>
      </c>
      <c r="K9" s="5">
        <v>30630742</v>
      </c>
      <c r="L9" s="5" t="s">
        <v>1532</v>
      </c>
      <c r="M9" s="5" t="s">
        <v>59</v>
      </c>
      <c r="N9" s="5" t="s">
        <v>21</v>
      </c>
      <c r="O9" s="4" t="s">
        <v>1533</v>
      </c>
      <c r="Q9" s="5" t="s">
        <v>1534</v>
      </c>
      <c r="R9" s="7" t="s">
        <v>1535</v>
      </c>
    </row>
    <row r="10" spans="1:18" ht="165" x14ac:dyDescent="0.25">
      <c r="A10" s="4" t="s">
        <v>1536</v>
      </c>
      <c r="B10" s="4" t="s">
        <v>1537</v>
      </c>
      <c r="C10" s="4" t="s">
        <v>1538</v>
      </c>
      <c r="D10" s="5" t="str">
        <f>"1532-7558"</f>
        <v>1532-7558</v>
      </c>
      <c r="F10" s="5" t="str">
        <f>"2019 Dec"</f>
        <v>2019 Dec</v>
      </c>
      <c r="G10" s="3">
        <v>26</v>
      </c>
      <c r="H10" s="3">
        <v>6</v>
      </c>
      <c r="I10" s="3">
        <v>580</v>
      </c>
      <c r="K10" s="5">
        <v>31512155</v>
      </c>
      <c r="L10" s="5" t="s">
        <v>1539</v>
      </c>
      <c r="M10" s="5" t="s">
        <v>1143</v>
      </c>
      <c r="N10" s="5" t="s">
        <v>21</v>
      </c>
      <c r="O10" s="4" t="s">
        <v>1540</v>
      </c>
      <c r="Q10" s="5" t="s">
        <v>1541</v>
      </c>
      <c r="R10" s="7" t="s">
        <v>1542</v>
      </c>
    </row>
    <row r="11" spans="1:18" ht="120" x14ac:dyDescent="0.25">
      <c r="A11" s="4" t="s">
        <v>1543</v>
      </c>
      <c r="B11" s="4" t="s">
        <v>1544</v>
      </c>
      <c r="C11" s="4" t="s">
        <v>181</v>
      </c>
      <c r="D11" s="5" t="str">
        <f>"2072-6643"</f>
        <v>2072-6643</v>
      </c>
      <c r="F11" s="5" t="str">
        <f>"2019 Mar 13"</f>
        <v>2019 Mar 13</v>
      </c>
      <c r="G11" s="3">
        <v>11</v>
      </c>
      <c r="H11" s="3">
        <v>3</v>
      </c>
      <c r="K11" s="5">
        <v>30871219</v>
      </c>
      <c r="L11" s="5" t="s">
        <v>1545</v>
      </c>
      <c r="M11" s="5" t="s">
        <v>185</v>
      </c>
      <c r="N11" s="5" t="s">
        <v>21</v>
      </c>
      <c r="O11" s="4" t="s">
        <v>1546</v>
      </c>
      <c r="Q11" s="5" t="s">
        <v>1547</v>
      </c>
      <c r="R11" s="7" t="s">
        <v>1548</v>
      </c>
    </row>
    <row r="12" spans="1:18" ht="45" x14ac:dyDescent="0.25">
      <c r="A12" s="4" t="s">
        <v>1549</v>
      </c>
      <c r="B12" s="4" t="s">
        <v>1550</v>
      </c>
      <c r="C12" s="4" t="s">
        <v>1022</v>
      </c>
      <c r="D12" s="5" t="str">
        <f>"1872-7646"</f>
        <v>1872-7646</v>
      </c>
      <c r="F12" s="5" t="str">
        <f>"2019 Jun 27"</f>
        <v>2019 Jun 27</v>
      </c>
      <c r="G12" s="3">
        <v>66</v>
      </c>
      <c r="I12" s="3">
        <v>578</v>
      </c>
      <c r="K12" s="5">
        <v>31254810</v>
      </c>
      <c r="L12" s="5" t="s">
        <v>1551</v>
      </c>
      <c r="M12" s="5" t="s">
        <v>1024</v>
      </c>
      <c r="N12" s="5" t="s">
        <v>21</v>
      </c>
      <c r="Q12" s="5" t="s">
        <v>1552</v>
      </c>
      <c r="R12" s="7" t="s">
        <v>1553</v>
      </c>
    </row>
    <row r="13" spans="1:18" ht="90" x14ac:dyDescent="0.25">
      <c r="A13" s="4" t="s">
        <v>1554</v>
      </c>
      <c r="B13" s="4" t="s">
        <v>1555</v>
      </c>
      <c r="C13" s="4" t="s">
        <v>36</v>
      </c>
      <c r="D13" s="5" t="str">
        <f>"1543-2742"</f>
        <v>1543-2742</v>
      </c>
      <c r="F13" s="5" t="str">
        <f>"2019 May 01"</f>
        <v>2019 May 01</v>
      </c>
      <c r="G13" s="3">
        <v>29</v>
      </c>
      <c r="H13" s="3">
        <v>3</v>
      </c>
      <c r="I13" s="3">
        <v>265</v>
      </c>
      <c r="K13" s="5">
        <v>29893587</v>
      </c>
      <c r="L13" s="5" t="s">
        <v>1556</v>
      </c>
      <c r="M13" s="5" t="s">
        <v>40</v>
      </c>
      <c r="N13" s="5" t="s">
        <v>21</v>
      </c>
      <c r="O13" s="4" t="s">
        <v>1557</v>
      </c>
      <c r="Q13" s="5" t="s">
        <v>1558</v>
      </c>
      <c r="R13" s="7" t="s">
        <v>1559</v>
      </c>
    </row>
    <row r="14" spans="1:18" ht="195" x14ac:dyDescent="0.25">
      <c r="A14" s="4" t="s">
        <v>1560</v>
      </c>
      <c r="B14" s="4" t="s">
        <v>1561</v>
      </c>
      <c r="C14" s="4" t="s">
        <v>824</v>
      </c>
      <c r="D14" s="5" t="str">
        <f>"1715-5320"</f>
        <v>1715-5320</v>
      </c>
      <c r="F14" s="5" t="str">
        <f>"2019 Feb"</f>
        <v>2019 Feb</v>
      </c>
      <c r="G14" s="3">
        <v>44</v>
      </c>
      <c r="H14" s="3">
        <v>2</v>
      </c>
      <c r="I14" s="3">
        <v>187</v>
      </c>
      <c r="K14" s="5">
        <v>30058345</v>
      </c>
      <c r="L14" s="5" t="s">
        <v>1562</v>
      </c>
      <c r="M14" s="5" t="s">
        <v>826</v>
      </c>
      <c r="N14" s="5" t="s">
        <v>21</v>
      </c>
      <c r="O14" s="4" t="s">
        <v>1563</v>
      </c>
      <c r="Q14" s="5" t="s">
        <v>1564</v>
      </c>
      <c r="R14" s="7" t="s">
        <v>1565</v>
      </c>
    </row>
    <row r="15" spans="1:18" ht="105" x14ac:dyDescent="0.25">
      <c r="A15" s="4" t="s">
        <v>1566</v>
      </c>
      <c r="B15" s="4" t="s">
        <v>1567</v>
      </c>
      <c r="C15" s="4" t="s">
        <v>1568</v>
      </c>
      <c r="D15" s="5" t="str">
        <f>"1469-445X"</f>
        <v>1469-445X</v>
      </c>
      <c r="F15" s="5" t="str">
        <f>"2019 Jan"</f>
        <v>2019 Jan</v>
      </c>
      <c r="G15" s="3">
        <v>104</v>
      </c>
      <c r="H15" s="3">
        <v>1</v>
      </c>
      <c r="I15" s="3">
        <v>81</v>
      </c>
      <c r="K15" s="5">
        <v>30311980</v>
      </c>
      <c r="L15" s="5" t="s">
        <v>1569</v>
      </c>
      <c r="M15" s="5" t="s">
        <v>216</v>
      </c>
      <c r="N15" s="5" t="s">
        <v>21</v>
      </c>
      <c r="O15" s="4" t="s">
        <v>1570</v>
      </c>
      <c r="Q15" s="5" t="s">
        <v>1571</v>
      </c>
      <c r="R15" s="7" t="s">
        <v>1572</v>
      </c>
    </row>
    <row r="16" spans="1:18" ht="105" x14ac:dyDescent="0.25">
      <c r="A16" s="4" t="s">
        <v>1573</v>
      </c>
      <c r="B16" s="4" t="s">
        <v>1574</v>
      </c>
      <c r="C16" s="4" t="s">
        <v>797</v>
      </c>
      <c r="D16" s="5" t="str">
        <f>"1530-0315"</f>
        <v>1530-0315</v>
      </c>
      <c r="F16" s="5" t="str">
        <f>"2019 Mar"</f>
        <v>2019 Mar</v>
      </c>
      <c r="G16" s="3">
        <v>51</v>
      </c>
      <c r="H16" s="3">
        <v>3</v>
      </c>
      <c r="I16" s="3">
        <v>548</v>
      </c>
      <c r="K16" s="5">
        <v>30363006</v>
      </c>
      <c r="L16" s="5" t="s">
        <v>1575</v>
      </c>
      <c r="M16" s="5" t="s">
        <v>156</v>
      </c>
      <c r="N16" s="5" t="s">
        <v>21</v>
      </c>
      <c r="O16" s="4" t="s">
        <v>1576</v>
      </c>
      <c r="Q16" s="5" t="s">
        <v>1577</v>
      </c>
      <c r="R16" s="7" t="s">
        <v>1578</v>
      </c>
    </row>
    <row r="17" spans="1:18" ht="45" x14ac:dyDescent="0.25">
      <c r="A17" s="4" t="s">
        <v>1579</v>
      </c>
      <c r="B17" s="4" t="s">
        <v>1580</v>
      </c>
      <c r="C17" s="4" t="s">
        <v>55</v>
      </c>
      <c r="D17" s="5" t="str">
        <f>"1878-1861"</f>
        <v>1878-1861</v>
      </c>
      <c r="F17" s="5" t="str">
        <f>"2019 Oct"</f>
        <v>2019 Oct</v>
      </c>
      <c r="G17" s="3">
        <v>22</v>
      </c>
      <c r="H17" s="3">
        <v>10</v>
      </c>
      <c r="I17" s="3">
        <v>1163</v>
      </c>
      <c r="K17" s="5">
        <v>31133481</v>
      </c>
      <c r="L17" s="5" t="s">
        <v>1581</v>
      </c>
      <c r="M17" s="5" t="s">
        <v>59</v>
      </c>
      <c r="N17" s="5" t="s">
        <v>21</v>
      </c>
      <c r="O17" s="4" t="s">
        <v>1582</v>
      </c>
      <c r="Q17" s="5" t="s">
        <v>1583</v>
      </c>
      <c r="R17" s="7" t="s">
        <v>1584</v>
      </c>
    </row>
    <row r="18" spans="1:18" ht="135" x14ac:dyDescent="0.25">
      <c r="A18" s="4" t="s">
        <v>1585</v>
      </c>
      <c r="B18" s="4" t="s">
        <v>1586</v>
      </c>
      <c r="C18" s="4" t="s">
        <v>545</v>
      </c>
      <c r="D18" s="5" t="str">
        <f>"1522-1601"</f>
        <v>1522-1601</v>
      </c>
      <c r="F18" s="5" t="str">
        <f>"2019 Nov 01"</f>
        <v>2019 Nov 01</v>
      </c>
      <c r="G18" s="3">
        <v>127</v>
      </c>
      <c r="H18" s="3">
        <v>5</v>
      </c>
      <c r="I18" s="3">
        <v>1403</v>
      </c>
      <c r="K18" s="5">
        <v>31513450</v>
      </c>
      <c r="L18" s="5" t="s">
        <v>1587</v>
      </c>
      <c r="M18" s="5" t="s">
        <v>547</v>
      </c>
      <c r="N18" s="5" t="s">
        <v>21</v>
      </c>
      <c r="O18" s="4" t="s">
        <v>1588</v>
      </c>
      <c r="Q18" s="5" t="s">
        <v>1589</v>
      </c>
      <c r="R18" s="7" t="s">
        <v>1590</v>
      </c>
    </row>
    <row r="19" spans="1:18" ht="120" x14ac:dyDescent="0.25">
      <c r="A19" s="4" t="s">
        <v>1591</v>
      </c>
      <c r="B19" s="4" t="s">
        <v>1592</v>
      </c>
      <c r="C19" s="4" t="s">
        <v>466</v>
      </c>
      <c r="D19" s="5" t="str">
        <f>"1533-4287"</f>
        <v>1533-4287</v>
      </c>
      <c r="F19" s="5" t="str">
        <f>"2019 Mar"</f>
        <v>2019 Mar</v>
      </c>
      <c r="G19" s="3">
        <v>33</v>
      </c>
      <c r="H19" s="3">
        <v>3</v>
      </c>
      <c r="I19" s="3">
        <v>801</v>
      </c>
      <c r="K19" s="5">
        <v>28658078</v>
      </c>
      <c r="L19" s="5" t="s">
        <v>1593</v>
      </c>
      <c r="M19" s="5" t="s">
        <v>468</v>
      </c>
      <c r="N19" s="5" t="s">
        <v>21</v>
      </c>
      <c r="O19" s="4" t="s">
        <v>1594</v>
      </c>
      <c r="Q19" s="5" t="s">
        <v>1595</v>
      </c>
      <c r="R19" s="7" t="s">
        <v>1596</v>
      </c>
    </row>
    <row r="20" spans="1:18" ht="60" x14ac:dyDescent="0.25">
      <c r="A20" s="4" t="s">
        <v>1597</v>
      </c>
      <c r="B20" s="4" t="s">
        <v>1598</v>
      </c>
      <c r="C20" s="4" t="s">
        <v>1599</v>
      </c>
      <c r="D20" s="5" t="str">
        <f>"2197-1714"</f>
        <v>2197-1714</v>
      </c>
      <c r="F20" s="5" t="str">
        <f>"2019 Mar 11"</f>
        <v>2019 Mar 11</v>
      </c>
      <c r="G20" s="3">
        <v>6</v>
      </c>
      <c r="I20" s="3">
        <v>9</v>
      </c>
      <c r="K20" s="5">
        <v>31245258</v>
      </c>
      <c r="L20" s="5" t="s">
        <v>1600</v>
      </c>
      <c r="M20" s="5" t="s">
        <v>399</v>
      </c>
      <c r="N20" s="5" t="s">
        <v>21</v>
      </c>
      <c r="Q20" s="5" t="s">
        <v>1601</v>
      </c>
      <c r="R20" s="7" t="s">
        <v>1602</v>
      </c>
    </row>
    <row r="21" spans="1:18" ht="135" x14ac:dyDescent="0.25">
      <c r="A21" s="4" t="s">
        <v>1603</v>
      </c>
      <c r="B21" s="4" t="s">
        <v>1604</v>
      </c>
      <c r="C21" s="4" t="s">
        <v>36</v>
      </c>
      <c r="D21" s="5" t="str">
        <f>"1543-2742"</f>
        <v>1543-2742</v>
      </c>
      <c r="F21" s="5" t="str">
        <f>"2019 Mar 01"</f>
        <v>2019 Mar 01</v>
      </c>
      <c r="G21" s="3">
        <v>29</v>
      </c>
      <c r="H21" s="3">
        <v>2</v>
      </c>
      <c r="I21" s="3">
        <v>117</v>
      </c>
      <c r="K21" s="5">
        <v>30747558</v>
      </c>
      <c r="L21" s="5" t="s">
        <v>1605</v>
      </c>
      <c r="M21" s="5" t="s">
        <v>40</v>
      </c>
      <c r="N21" s="5" t="s">
        <v>21</v>
      </c>
      <c r="O21" s="4" t="s">
        <v>1606</v>
      </c>
      <c r="Q21" s="5" t="s">
        <v>1607</v>
      </c>
      <c r="R21" s="7" t="s">
        <v>1608</v>
      </c>
    </row>
    <row r="22" spans="1:18" ht="105" x14ac:dyDescent="0.25">
      <c r="A22" s="4" t="s">
        <v>1609</v>
      </c>
      <c r="B22" s="4" t="s">
        <v>1610</v>
      </c>
      <c r="C22" s="4" t="s">
        <v>862</v>
      </c>
      <c r="D22" s="5" t="str">
        <f>"2168-3824"</f>
        <v>2168-3824</v>
      </c>
      <c r="F22" s="5" t="str">
        <f>"2019 Jun"</f>
        <v>2019 Jun</v>
      </c>
      <c r="G22" s="3">
        <v>90</v>
      </c>
      <c r="H22" s="3">
        <v>2</v>
      </c>
      <c r="I22" s="3">
        <v>180</v>
      </c>
      <c r="K22" s="5">
        <v>30794115</v>
      </c>
      <c r="L22" s="5" t="s">
        <v>1611</v>
      </c>
      <c r="M22" s="5" t="s">
        <v>864</v>
      </c>
      <c r="N22" s="5" t="s">
        <v>21</v>
      </c>
      <c r="O22" s="4" t="s">
        <v>1612</v>
      </c>
      <c r="Q22" s="5" t="s">
        <v>1613</v>
      </c>
      <c r="R22" s="7" t="s">
        <v>1614</v>
      </c>
    </row>
    <row r="23" spans="1:18" ht="75" x14ac:dyDescent="0.25">
      <c r="A23" s="4" t="s">
        <v>1615</v>
      </c>
      <c r="B23" s="4" t="s">
        <v>1616</v>
      </c>
      <c r="C23" s="4" t="s">
        <v>55</v>
      </c>
      <c r="D23" s="5" t="str">
        <f>"1878-1861"</f>
        <v>1878-1861</v>
      </c>
      <c r="F23" s="5" t="str">
        <f>"2019 Mar"</f>
        <v>2019 Mar</v>
      </c>
      <c r="G23" s="3">
        <v>22</v>
      </c>
      <c r="H23" s="3">
        <v>3</v>
      </c>
      <c r="I23" s="3">
        <v>294</v>
      </c>
      <c r="K23" s="5">
        <v>30220574</v>
      </c>
      <c r="L23" s="5" t="s">
        <v>1617</v>
      </c>
      <c r="M23" s="5" t="s">
        <v>59</v>
      </c>
      <c r="N23" s="5" t="s">
        <v>21</v>
      </c>
      <c r="O23" s="4" t="s">
        <v>1618</v>
      </c>
      <c r="Q23" s="5" t="s">
        <v>1619</v>
      </c>
      <c r="R23" s="7" t="s">
        <v>1620</v>
      </c>
    </row>
    <row r="24" spans="1:18" ht="90" x14ac:dyDescent="0.25">
      <c r="A24" s="4" t="s">
        <v>1621</v>
      </c>
      <c r="B24" s="4" t="s">
        <v>1324</v>
      </c>
      <c r="C24" s="4" t="s">
        <v>1622</v>
      </c>
      <c r="D24" s="5" t="str">
        <f>"1543-2920"</f>
        <v>1543-2920</v>
      </c>
      <c r="F24" s="5" t="str">
        <f>"2019 Nov 01"</f>
        <v>2019 Nov 01</v>
      </c>
      <c r="G24" s="3">
        <v>31</v>
      </c>
      <c r="H24" s="3">
        <v>4</v>
      </c>
      <c r="I24" s="3">
        <v>448</v>
      </c>
      <c r="K24" s="5">
        <v>30982436</v>
      </c>
      <c r="L24" s="5" t="s">
        <v>1623</v>
      </c>
      <c r="M24" s="5" t="s">
        <v>40</v>
      </c>
      <c r="N24" s="5" t="s">
        <v>21</v>
      </c>
      <c r="O24" s="4" t="s">
        <v>1624</v>
      </c>
      <c r="Q24" s="5" t="s">
        <v>1625</v>
      </c>
      <c r="R24" s="7" t="s">
        <v>1626</v>
      </c>
    </row>
    <row r="25" spans="1:18" ht="90" x14ac:dyDescent="0.25">
      <c r="A25" s="4" t="s">
        <v>1627</v>
      </c>
      <c r="B25" s="4" t="s">
        <v>1628</v>
      </c>
      <c r="C25" s="4" t="s">
        <v>36</v>
      </c>
      <c r="D25" s="5" t="str">
        <f>"1543-2742"</f>
        <v>1543-2742</v>
      </c>
      <c r="F25" s="5" t="str">
        <f>"2019 Nov 01"</f>
        <v>2019 Nov 01</v>
      </c>
      <c r="G25" s="3">
        <v>29</v>
      </c>
      <c r="H25" s="3">
        <v>6</v>
      </c>
      <c r="I25" s="3">
        <v>643</v>
      </c>
      <c r="K25" s="5">
        <v>31629350</v>
      </c>
      <c r="L25" s="5" t="s">
        <v>1629</v>
      </c>
      <c r="M25" s="5" t="s">
        <v>40</v>
      </c>
      <c r="N25" s="5" t="s">
        <v>21</v>
      </c>
      <c r="O25" s="4" t="s">
        <v>1630</v>
      </c>
      <c r="Q25" s="5" t="s">
        <v>1631</v>
      </c>
      <c r="R25" s="7" t="s">
        <v>1632</v>
      </c>
    </row>
    <row r="26" spans="1:18" ht="45" x14ac:dyDescent="0.25">
      <c r="A26" s="4" t="s">
        <v>1633</v>
      </c>
      <c r="B26" s="4" t="s">
        <v>1634</v>
      </c>
      <c r="C26" s="4" t="s">
        <v>318</v>
      </c>
      <c r="D26" s="5" t="str">
        <f>"1555-0273"</f>
        <v>1555-0273</v>
      </c>
      <c r="F26" s="5" t="str">
        <f>"2019 May 16"</f>
        <v>2019 May 16</v>
      </c>
      <c r="I26" s="3">
        <v>1</v>
      </c>
      <c r="K26" s="5">
        <v>31094262</v>
      </c>
      <c r="L26" s="5" t="s">
        <v>1635</v>
      </c>
      <c r="M26" s="5" t="s">
        <v>322</v>
      </c>
      <c r="N26" s="5" t="s">
        <v>21</v>
      </c>
      <c r="Q26" s="5" t="s">
        <v>1636</v>
      </c>
      <c r="R26" s="7" t="s">
        <v>1637</v>
      </c>
    </row>
    <row r="27" spans="1:18" ht="120" x14ac:dyDescent="0.25">
      <c r="A27" s="4" t="s">
        <v>1638</v>
      </c>
      <c r="B27" s="4" t="s">
        <v>1639</v>
      </c>
      <c r="C27" s="4" t="s">
        <v>466</v>
      </c>
      <c r="D27" s="5" t="str">
        <f>"1533-4287"</f>
        <v>1533-4287</v>
      </c>
      <c r="F27" s="5" t="str">
        <f>"2019 Mar"</f>
        <v>2019 Mar</v>
      </c>
      <c r="G27" s="3">
        <v>33</v>
      </c>
      <c r="H27" s="3">
        <v>3</v>
      </c>
      <c r="I27" s="3">
        <v>783</v>
      </c>
      <c r="K27" s="5">
        <v>30615008</v>
      </c>
      <c r="L27" s="5" t="s">
        <v>1640</v>
      </c>
      <c r="M27" s="5" t="s">
        <v>468</v>
      </c>
      <c r="N27" s="5" t="s">
        <v>21</v>
      </c>
      <c r="O27" s="4" t="s">
        <v>1641</v>
      </c>
      <c r="Q27" s="5" t="s">
        <v>1642</v>
      </c>
      <c r="R27" s="7" t="s">
        <v>1643</v>
      </c>
    </row>
    <row r="28" spans="1:18" ht="75" x14ac:dyDescent="0.25">
      <c r="A28" s="4" t="s">
        <v>1644</v>
      </c>
      <c r="B28" s="4" t="s">
        <v>1645</v>
      </c>
      <c r="C28" s="4" t="s">
        <v>466</v>
      </c>
      <c r="D28" s="5" t="str">
        <f>"1533-4287"</f>
        <v>1533-4287</v>
      </c>
      <c r="F28" s="5" t="str">
        <f>"2019 Jan"</f>
        <v>2019 Jan</v>
      </c>
      <c r="G28" s="3">
        <v>33</v>
      </c>
      <c r="H28" s="3">
        <v>1</v>
      </c>
      <c r="I28" s="3">
        <v>242</v>
      </c>
      <c r="K28" s="5">
        <v>30431531</v>
      </c>
      <c r="L28" s="5" t="s">
        <v>1646</v>
      </c>
      <c r="M28" s="5" t="s">
        <v>468</v>
      </c>
      <c r="N28" s="5" t="s">
        <v>21</v>
      </c>
      <c r="O28" s="4" t="s">
        <v>1647</v>
      </c>
      <c r="Q28" s="5" t="s">
        <v>1648</v>
      </c>
      <c r="R28" s="7" t="s">
        <v>1649</v>
      </c>
    </row>
    <row r="29" spans="1:18" ht="105" x14ac:dyDescent="0.25">
      <c r="A29" s="4" t="s">
        <v>1650</v>
      </c>
      <c r="B29" s="4" t="s">
        <v>1651</v>
      </c>
      <c r="C29" s="4" t="s">
        <v>466</v>
      </c>
      <c r="D29" s="5" t="str">
        <f>"1533-4287"</f>
        <v>1533-4287</v>
      </c>
      <c r="F29" s="5" t="str">
        <f>"2019 Jul"</f>
        <v>2019 Jul</v>
      </c>
      <c r="G29" s="3">
        <v>33</v>
      </c>
      <c r="H29" s="3">
        <v>7</v>
      </c>
      <c r="I29" s="3">
        <v>1781</v>
      </c>
      <c r="K29" s="5">
        <v>31242139</v>
      </c>
      <c r="L29" s="5" t="s">
        <v>1652</v>
      </c>
      <c r="M29" s="5" t="s">
        <v>468</v>
      </c>
      <c r="N29" s="5" t="s">
        <v>21</v>
      </c>
      <c r="O29" s="4" t="s">
        <v>1653</v>
      </c>
      <c r="Q29" s="5" t="s">
        <v>1654</v>
      </c>
      <c r="R29" s="7" t="s">
        <v>1655</v>
      </c>
    </row>
    <row r="30" spans="1:18" ht="120" x14ac:dyDescent="0.25">
      <c r="A30" s="4" t="s">
        <v>1656</v>
      </c>
      <c r="B30" s="4" t="s">
        <v>1657</v>
      </c>
      <c r="C30" s="4" t="s">
        <v>36</v>
      </c>
      <c r="D30" s="5" t="str">
        <f>"1543-2742"</f>
        <v>1543-2742</v>
      </c>
      <c r="F30" s="5" t="str">
        <f>"2019 Mar 01"</f>
        <v>2019 Mar 01</v>
      </c>
      <c r="G30" s="3">
        <v>29</v>
      </c>
      <c r="H30" s="3">
        <v>2</v>
      </c>
      <c r="I30" s="3">
        <v>152</v>
      </c>
      <c r="K30" s="5">
        <v>30632422</v>
      </c>
      <c r="L30" s="5" t="s">
        <v>1658</v>
      </c>
      <c r="M30" s="5" t="s">
        <v>40</v>
      </c>
      <c r="N30" s="5" t="s">
        <v>21</v>
      </c>
      <c r="O30" s="4" t="s">
        <v>1659</v>
      </c>
      <c r="Q30" s="5" t="s">
        <v>1660</v>
      </c>
      <c r="R30" s="7" t="s">
        <v>1661</v>
      </c>
    </row>
    <row r="31" spans="1:18" ht="120" x14ac:dyDescent="0.25">
      <c r="A31" s="4" t="s">
        <v>1662</v>
      </c>
      <c r="B31" s="4" t="s">
        <v>1663</v>
      </c>
      <c r="C31" s="4" t="s">
        <v>921</v>
      </c>
      <c r="D31" s="5" t="str">
        <f>"1466-447X"</f>
        <v>1466-447X</v>
      </c>
      <c r="F31" s="5" t="str">
        <f>"2019 Nov"</f>
        <v>2019 Nov</v>
      </c>
      <c r="G31" s="3">
        <v>37</v>
      </c>
      <c r="H31" s="3">
        <v>22</v>
      </c>
      <c r="I31" s="3">
        <v>2560</v>
      </c>
      <c r="K31" s="5">
        <v>31379253</v>
      </c>
      <c r="L31" s="5" t="s">
        <v>1664</v>
      </c>
      <c r="M31" s="5" t="s">
        <v>923</v>
      </c>
      <c r="N31" s="5" t="s">
        <v>21</v>
      </c>
      <c r="O31" s="4" t="s">
        <v>1665</v>
      </c>
      <c r="Q31" s="5" t="s">
        <v>1666</v>
      </c>
      <c r="R31" s="7" t="s">
        <v>1667</v>
      </c>
    </row>
    <row r="32" spans="1:18" ht="90" x14ac:dyDescent="0.25">
      <c r="A32" s="4" t="s">
        <v>1668</v>
      </c>
      <c r="B32" s="4" t="s">
        <v>1669</v>
      </c>
      <c r="C32" s="4" t="s">
        <v>55</v>
      </c>
      <c r="D32" s="5" t="str">
        <f>"1878-1861"</f>
        <v>1878-1861</v>
      </c>
      <c r="F32" s="5" t="str">
        <f>"2019 Oct"</f>
        <v>2019 Oct</v>
      </c>
      <c r="G32" s="3">
        <v>22</v>
      </c>
      <c r="H32" s="3">
        <v>10</v>
      </c>
      <c r="I32" s="3">
        <v>1114</v>
      </c>
      <c r="K32" s="5">
        <v>31307905</v>
      </c>
      <c r="L32" s="5" t="s">
        <v>1670</v>
      </c>
      <c r="M32" s="5" t="s">
        <v>59</v>
      </c>
      <c r="N32" s="5" t="s">
        <v>21</v>
      </c>
      <c r="O32" s="4" t="s">
        <v>1671</v>
      </c>
      <c r="Q32" s="5" t="s">
        <v>1672</v>
      </c>
      <c r="R32" s="7" t="s">
        <v>1673</v>
      </c>
    </row>
    <row r="33" spans="1:18" ht="105" x14ac:dyDescent="0.25">
      <c r="A33" s="4" t="s">
        <v>1674</v>
      </c>
      <c r="B33" s="4" t="s">
        <v>1675</v>
      </c>
      <c r="C33" s="4" t="s">
        <v>55</v>
      </c>
      <c r="D33" s="5" t="str">
        <f>"1878-1861"</f>
        <v>1878-1861</v>
      </c>
      <c r="F33" s="5" t="str">
        <f>"2019 Oct"</f>
        <v>2019 Oct</v>
      </c>
      <c r="G33" s="3">
        <v>22</v>
      </c>
      <c r="H33" s="3">
        <v>10</v>
      </c>
      <c r="I33" s="3">
        <v>1108</v>
      </c>
      <c r="K33" s="5">
        <v>31239203</v>
      </c>
      <c r="L33" s="5" t="s">
        <v>1676</v>
      </c>
      <c r="M33" s="5" t="s">
        <v>59</v>
      </c>
      <c r="N33" s="5" t="s">
        <v>21</v>
      </c>
      <c r="O33" s="4" t="s">
        <v>1677</v>
      </c>
      <c r="Q33" s="5" t="s">
        <v>1678</v>
      </c>
      <c r="R33" s="7" t="s">
        <v>1679</v>
      </c>
    </row>
    <row r="34" spans="1:18" ht="45" x14ac:dyDescent="0.25">
      <c r="A34" s="4" t="s">
        <v>1680</v>
      </c>
      <c r="B34" s="4" t="s">
        <v>1681</v>
      </c>
      <c r="C34" s="4" t="s">
        <v>638</v>
      </c>
      <c r="D34" s="5" t="str">
        <f>"1664-1078"</f>
        <v>1664-1078</v>
      </c>
      <c r="F34" s="5" t="str">
        <f>"2019 Jan 30"</f>
        <v>2019 Jan 30</v>
      </c>
      <c r="G34" s="3">
        <v>10</v>
      </c>
      <c r="I34" s="3">
        <v>156</v>
      </c>
      <c r="K34" s="5">
        <v>30761055</v>
      </c>
      <c r="L34" s="5" t="s">
        <v>1682</v>
      </c>
      <c r="M34" s="5" t="s">
        <v>640</v>
      </c>
      <c r="N34" s="5" t="s">
        <v>21</v>
      </c>
      <c r="Q34" s="5" t="s">
        <v>1683</v>
      </c>
      <c r="R34" s="7" t="s">
        <v>1684</v>
      </c>
    </row>
    <row r="35" spans="1:18" ht="60" x14ac:dyDescent="0.25">
      <c r="A35" s="4" t="s">
        <v>1685</v>
      </c>
      <c r="B35" s="4" t="s">
        <v>1686</v>
      </c>
      <c r="C35" s="4" t="s">
        <v>1687</v>
      </c>
      <c r="D35" s="5" t="str">
        <f>"1543-2688"</f>
        <v>1543-2688</v>
      </c>
      <c r="F35" s="5" t="str">
        <f>"2019 Oct 01"</f>
        <v>2019 Oct 01</v>
      </c>
      <c r="G35" s="3">
        <v>35</v>
      </c>
      <c r="H35" s="3">
        <v>5</v>
      </c>
      <c r="I35" s="3" t="s">
        <v>1688</v>
      </c>
      <c r="K35" s="5">
        <v>31141441</v>
      </c>
      <c r="L35" s="5" t="s">
        <v>1689</v>
      </c>
      <c r="M35" s="5" t="s">
        <v>40</v>
      </c>
      <c r="N35" s="5" t="s">
        <v>21</v>
      </c>
      <c r="Q35" s="5" t="s">
        <v>1690</v>
      </c>
      <c r="R35" s="7" t="s">
        <v>1691</v>
      </c>
    </row>
    <row r="36" spans="1:18" ht="90" x14ac:dyDescent="0.25">
      <c r="A36" s="4" t="s">
        <v>1692</v>
      </c>
      <c r="B36" s="4" t="s">
        <v>1693</v>
      </c>
      <c r="C36" s="4" t="s">
        <v>921</v>
      </c>
      <c r="D36" s="5" t="str">
        <f>"1466-447X"</f>
        <v>1466-447X</v>
      </c>
      <c r="F36" s="5" t="str">
        <f>"2019 Apr"</f>
        <v>2019 Apr</v>
      </c>
      <c r="G36" s="3">
        <v>37</v>
      </c>
      <c r="H36" s="3">
        <v>8</v>
      </c>
      <c r="I36" s="3">
        <v>864</v>
      </c>
      <c r="K36" s="5">
        <v>30326782</v>
      </c>
      <c r="L36" s="5" t="s">
        <v>1694</v>
      </c>
      <c r="M36" s="5" t="s">
        <v>923</v>
      </c>
      <c r="N36" s="5" t="s">
        <v>21</v>
      </c>
      <c r="O36" s="4" t="s">
        <v>1695</v>
      </c>
      <c r="Q36" s="5" t="s">
        <v>1696</v>
      </c>
      <c r="R36" s="7" t="s">
        <v>1697</v>
      </c>
    </row>
    <row r="37" spans="1:18" ht="60" x14ac:dyDescent="0.25">
      <c r="A37" s="4" t="s">
        <v>1698</v>
      </c>
      <c r="B37" s="4" t="s">
        <v>1699</v>
      </c>
      <c r="C37" s="4" t="s">
        <v>921</v>
      </c>
      <c r="D37" s="5" t="str">
        <f>"1466-447X"</f>
        <v>1466-447X</v>
      </c>
      <c r="F37" s="5" t="str">
        <f>"2019 Jan"</f>
        <v>2019 Jan</v>
      </c>
      <c r="G37" s="3">
        <v>37</v>
      </c>
      <c r="H37" s="3">
        <v>1</v>
      </c>
      <c r="I37" s="3">
        <v>59</v>
      </c>
      <c r="K37" s="5">
        <v>29863966</v>
      </c>
      <c r="L37" s="5" t="s">
        <v>1700</v>
      </c>
      <c r="M37" s="5" t="s">
        <v>923</v>
      </c>
      <c r="N37" s="5" t="s">
        <v>21</v>
      </c>
      <c r="O37" s="4" t="s">
        <v>1701</v>
      </c>
      <c r="Q37" s="5" t="s">
        <v>1702</v>
      </c>
      <c r="R37" s="7" t="s">
        <v>1703</v>
      </c>
    </row>
    <row r="38" spans="1:18" ht="210" x14ac:dyDescent="0.25">
      <c r="A38" s="4" t="s">
        <v>1704</v>
      </c>
      <c r="B38" s="4" t="s">
        <v>1705</v>
      </c>
      <c r="C38" s="4" t="s">
        <v>824</v>
      </c>
      <c r="D38" s="5" t="str">
        <f>"1715-5320"</f>
        <v>1715-5320</v>
      </c>
      <c r="F38" s="5" t="str">
        <f>"2019 Jan"</f>
        <v>2019 Jan</v>
      </c>
      <c r="G38" s="3">
        <v>44</v>
      </c>
      <c r="H38" s="3">
        <v>1</v>
      </c>
      <c r="I38" s="3">
        <v>37</v>
      </c>
      <c r="K38" s="5">
        <v>29953820</v>
      </c>
      <c r="L38" s="5" t="s">
        <v>1706</v>
      </c>
      <c r="M38" s="5" t="s">
        <v>826</v>
      </c>
      <c r="N38" s="5" t="s">
        <v>924</v>
      </c>
      <c r="O38" s="4" t="s">
        <v>1707</v>
      </c>
      <c r="Q38" s="5" t="s">
        <v>1708</v>
      </c>
      <c r="R38" s="7" t="s">
        <v>1709</v>
      </c>
    </row>
    <row r="39" spans="1:18" ht="90" x14ac:dyDescent="0.25">
      <c r="A39" s="4" t="s">
        <v>1710</v>
      </c>
      <c r="B39" s="4" t="s">
        <v>1711</v>
      </c>
      <c r="C39" s="4" t="s">
        <v>133</v>
      </c>
      <c r="D39" s="5" t="str">
        <f>"1536-7290"</f>
        <v>1536-7290</v>
      </c>
      <c r="F39" s="5" t="str">
        <f>"2019 Aug"</f>
        <v>2019 Aug</v>
      </c>
      <c r="G39" s="3">
        <v>19</v>
      </c>
      <c r="H39" s="3">
        <v>7</v>
      </c>
      <c r="I39" s="3">
        <v>913</v>
      </c>
      <c r="K39" s="5">
        <v>30614404</v>
      </c>
      <c r="L39" s="5" t="s">
        <v>1712</v>
      </c>
      <c r="M39" s="5" t="s">
        <v>500</v>
      </c>
      <c r="N39" s="5" t="s">
        <v>21</v>
      </c>
      <c r="O39" s="4" t="s">
        <v>1713</v>
      </c>
      <c r="Q39" s="5" t="s">
        <v>1714</v>
      </c>
      <c r="R39" s="7" t="s">
        <v>1715</v>
      </c>
    </row>
    <row r="40" spans="1:18" ht="90" x14ac:dyDescent="0.25">
      <c r="A40" s="4" t="s">
        <v>1716</v>
      </c>
      <c r="B40" s="4" t="s">
        <v>1717</v>
      </c>
      <c r="C40" s="4" t="s">
        <v>55</v>
      </c>
      <c r="D40" s="5" t="str">
        <f>"1878-1861"</f>
        <v>1878-1861</v>
      </c>
      <c r="F40" s="5" t="str">
        <f>"2019 Dec"</f>
        <v>2019 Dec</v>
      </c>
      <c r="G40" s="3">
        <v>22</v>
      </c>
      <c r="H40" s="3">
        <v>12</v>
      </c>
      <c r="I40" s="3">
        <v>1355</v>
      </c>
      <c r="K40" s="5">
        <v>31445948</v>
      </c>
      <c r="L40" s="5" t="s">
        <v>1718</v>
      </c>
      <c r="M40" s="5" t="s">
        <v>59</v>
      </c>
      <c r="N40" s="5" t="s">
        <v>21</v>
      </c>
      <c r="O40" s="4" t="s">
        <v>1719</v>
      </c>
      <c r="Q40" s="5" t="s">
        <v>1720</v>
      </c>
      <c r="R40" s="7" t="s">
        <v>1721</v>
      </c>
    </row>
    <row r="41" spans="1:18" ht="165" x14ac:dyDescent="0.25">
      <c r="A41" s="4" t="s">
        <v>1722</v>
      </c>
      <c r="B41" s="4" t="s">
        <v>1723</v>
      </c>
      <c r="C41" s="4" t="s">
        <v>797</v>
      </c>
      <c r="D41" s="5" t="str">
        <f>"1530-0315"</f>
        <v>1530-0315</v>
      </c>
      <c r="F41" s="5" t="str">
        <f>"2019 Aug"</f>
        <v>2019 Aug</v>
      </c>
      <c r="G41" s="3">
        <v>51</v>
      </c>
      <c r="H41" s="3">
        <v>8</v>
      </c>
      <c r="I41" s="3">
        <v>1710</v>
      </c>
      <c r="K41" s="5">
        <v>30865188</v>
      </c>
      <c r="L41" s="5" t="s">
        <v>1724</v>
      </c>
      <c r="M41" s="5" t="s">
        <v>156</v>
      </c>
      <c r="N41" s="5" t="s">
        <v>21</v>
      </c>
      <c r="O41" s="4" t="s">
        <v>1725</v>
      </c>
      <c r="Q41" s="5" t="s">
        <v>1726</v>
      </c>
      <c r="R41" s="7" t="s">
        <v>1727</v>
      </c>
    </row>
    <row r="42" spans="1:18" ht="45" x14ac:dyDescent="0.25">
      <c r="A42" s="4" t="s">
        <v>1728</v>
      </c>
      <c r="B42" s="4" t="s">
        <v>1729</v>
      </c>
      <c r="C42" s="4" t="s">
        <v>102</v>
      </c>
      <c r="D42" s="5" t="str">
        <f>"1473-0480"</f>
        <v>1473-0480</v>
      </c>
      <c r="F42" s="5" t="str">
        <f>"2019 Sep"</f>
        <v>2019 Sep</v>
      </c>
      <c r="G42" s="3">
        <v>53</v>
      </c>
      <c r="H42" s="3">
        <v>17</v>
      </c>
      <c r="I42" s="3">
        <v>1056</v>
      </c>
      <c r="K42" s="5">
        <v>30670379</v>
      </c>
      <c r="L42" s="5" t="s">
        <v>1730</v>
      </c>
      <c r="M42" s="5" t="s">
        <v>106</v>
      </c>
      <c r="N42" s="5" t="s">
        <v>21</v>
      </c>
      <c r="O42" s="4" t="s">
        <v>1731</v>
      </c>
      <c r="Q42" s="5" t="s">
        <v>1732</v>
      </c>
      <c r="R42" s="7" t="s">
        <v>1733</v>
      </c>
    </row>
    <row r="43" spans="1:18" ht="75" x14ac:dyDescent="0.25">
      <c r="A43" s="4" t="s">
        <v>1734</v>
      </c>
      <c r="B43" s="4" t="s">
        <v>1735</v>
      </c>
      <c r="C43" s="4" t="s">
        <v>55</v>
      </c>
      <c r="D43" s="5" t="str">
        <f>"1878-1861"</f>
        <v>1878-1861</v>
      </c>
      <c r="F43" s="5" t="str">
        <f>"2019 Aug"</f>
        <v>2019 Aug</v>
      </c>
      <c r="G43" s="3">
        <v>22</v>
      </c>
      <c r="H43" s="3">
        <v>8</v>
      </c>
      <c r="I43" s="3">
        <v>887</v>
      </c>
      <c r="K43" s="5">
        <v>30930142</v>
      </c>
      <c r="L43" s="5" t="s">
        <v>1736</v>
      </c>
      <c r="M43" s="5" t="s">
        <v>59</v>
      </c>
      <c r="N43" s="5" t="s">
        <v>21</v>
      </c>
      <c r="O43" s="4" t="s">
        <v>1737</v>
      </c>
      <c r="Q43" s="5" t="s">
        <v>1738</v>
      </c>
      <c r="R43" s="7" t="s">
        <v>1739</v>
      </c>
    </row>
    <row r="44" spans="1:18" ht="105" x14ac:dyDescent="0.25">
      <c r="A44" s="4" t="s">
        <v>1740</v>
      </c>
      <c r="B44" s="4" t="s">
        <v>1741</v>
      </c>
      <c r="C44" s="4" t="s">
        <v>36</v>
      </c>
      <c r="D44" s="5" t="str">
        <f>"1543-2742"</f>
        <v>1543-2742</v>
      </c>
      <c r="F44" s="5" t="str">
        <f>"2019 Mar 01"</f>
        <v>2019 Mar 01</v>
      </c>
      <c r="G44" s="3">
        <v>29</v>
      </c>
      <c r="H44" s="3">
        <v>2</v>
      </c>
      <c r="I44" s="3">
        <v>73</v>
      </c>
      <c r="K44" s="5">
        <v>30952204</v>
      </c>
      <c r="L44" s="5" t="s">
        <v>1742</v>
      </c>
      <c r="M44" s="5" t="s">
        <v>40</v>
      </c>
      <c r="N44" s="5" t="s">
        <v>21</v>
      </c>
      <c r="O44" s="4" t="s">
        <v>1743</v>
      </c>
      <c r="Q44" s="5" t="s">
        <v>1744</v>
      </c>
      <c r="R44" s="7" t="s">
        <v>1745</v>
      </c>
    </row>
    <row r="45" spans="1:18" ht="120" x14ac:dyDescent="0.25">
      <c r="A45" s="4" t="s">
        <v>1746</v>
      </c>
      <c r="B45" s="4" t="s">
        <v>1747</v>
      </c>
      <c r="C45" s="4" t="s">
        <v>46</v>
      </c>
      <c r="D45" s="5" t="str">
        <f>"1439-6327"</f>
        <v>1439-6327</v>
      </c>
      <c r="F45" s="5" t="str">
        <f>"2019 Jul"</f>
        <v>2019 Jul</v>
      </c>
      <c r="G45" s="3">
        <v>119</v>
      </c>
      <c r="H45" s="3">
        <v>7</v>
      </c>
      <c r="I45" s="3">
        <v>1463</v>
      </c>
      <c r="K45" s="5">
        <v>31055680</v>
      </c>
      <c r="L45" s="5" t="s">
        <v>1748</v>
      </c>
      <c r="M45" s="5" t="s">
        <v>50</v>
      </c>
      <c r="N45" s="5" t="s">
        <v>21</v>
      </c>
      <c r="O45" s="4" t="s">
        <v>1749</v>
      </c>
      <c r="Q45" s="5" t="s">
        <v>1750</v>
      </c>
      <c r="R45" s="7" t="s">
        <v>1751</v>
      </c>
    </row>
    <row r="46" spans="1:18" ht="60" x14ac:dyDescent="0.25">
      <c r="A46" s="4" t="s">
        <v>1752</v>
      </c>
      <c r="B46" s="4" t="s">
        <v>1753</v>
      </c>
      <c r="C46" s="4" t="s">
        <v>1754</v>
      </c>
      <c r="D46" s="5" t="str">
        <f>"2296-861X"</f>
        <v>2296-861X</v>
      </c>
      <c r="F46" s="5" t="str">
        <f>"2019 Aug 20"</f>
        <v>2019 Aug 20</v>
      </c>
      <c r="G46" s="3">
        <v>6</v>
      </c>
      <c r="I46" s="3">
        <v>131</v>
      </c>
      <c r="K46" s="5">
        <v>31482093</v>
      </c>
      <c r="L46" s="5" t="s">
        <v>1755</v>
      </c>
      <c r="M46" s="5" t="s">
        <v>1756</v>
      </c>
      <c r="N46" s="5" t="s">
        <v>21</v>
      </c>
      <c r="Q46" s="5" t="s">
        <v>1757</v>
      </c>
      <c r="R46" s="7" t="s">
        <v>1758</v>
      </c>
    </row>
    <row r="47" spans="1:18" ht="135" x14ac:dyDescent="0.25">
      <c r="A47" s="4" t="s">
        <v>1759</v>
      </c>
      <c r="B47" s="4" t="s">
        <v>1760</v>
      </c>
      <c r="C47" s="4" t="s">
        <v>55</v>
      </c>
      <c r="D47" s="5" t="str">
        <f>"1878-1861"</f>
        <v>1878-1861</v>
      </c>
      <c r="F47" s="5" t="str">
        <f>"2019 Aug"</f>
        <v>2019 Aug</v>
      </c>
      <c r="G47" s="3">
        <v>22</v>
      </c>
      <c r="H47" s="3">
        <v>8</v>
      </c>
      <c r="I47" s="3">
        <v>962</v>
      </c>
      <c r="K47" s="5">
        <v>31036532</v>
      </c>
      <c r="L47" s="5" t="s">
        <v>1761</v>
      </c>
      <c r="M47" s="5" t="s">
        <v>59</v>
      </c>
      <c r="N47" s="5" t="s">
        <v>21</v>
      </c>
      <c r="O47" s="4" t="s">
        <v>1762</v>
      </c>
      <c r="Q47" s="5" t="s">
        <v>1763</v>
      </c>
      <c r="R47" s="7" t="s">
        <v>1764</v>
      </c>
    </row>
    <row r="48" spans="1:18" ht="90" x14ac:dyDescent="0.25">
      <c r="A48" s="4" t="s">
        <v>1765</v>
      </c>
      <c r="B48" s="4" t="s">
        <v>1766</v>
      </c>
      <c r="C48" s="4" t="s">
        <v>112</v>
      </c>
      <c r="D48" s="5" t="str">
        <f>"1536-3724"</f>
        <v>1536-3724</v>
      </c>
      <c r="F48" s="5" t="str">
        <f>"2019 May"</f>
        <v>2019 May</v>
      </c>
      <c r="G48" s="3">
        <v>29</v>
      </c>
      <c r="H48" s="3">
        <v>3</v>
      </c>
      <c r="I48" s="3">
        <v>188</v>
      </c>
      <c r="K48" s="5">
        <v>31033611</v>
      </c>
      <c r="L48" s="5" t="s">
        <v>1767</v>
      </c>
      <c r="M48" s="5" t="s">
        <v>116</v>
      </c>
      <c r="N48" s="5" t="s">
        <v>21</v>
      </c>
      <c r="O48" s="4" t="s">
        <v>1768</v>
      </c>
      <c r="Q48" s="5" t="s">
        <v>1769</v>
      </c>
      <c r="R48" s="7" t="s">
        <v>1770</v>
      </c>
    </row>
    <row r="49" spans="1:18" ht="90" x14ac:dyDescent="0.25">
      <c r="A49" s="4" t="s">
        <v>1771</v>
      </c>
      <c r="B49" s="4" t="s">
        <v>1772</v>
      </c>
      <c r="C49" s="4" t="s">
        <v>82</v>
      </c>
      <c r="D49" s="5" t="str">
        <f>"1600-0838"</f>
        <v>1600-0838</v>
      </c>
      <c r="F49" s="5" t="str">
        <f>"2019 Aug"</f>
        <v>2019 Aug</v>
      </c>
      <c r="G49" s="3">
        <v>29</v>
      </c>
      <c r="H49" s="3">
        <v>8</v>
      </c>
      <c r="I49" s="3">
        <v>1083</v>
      </c>
      <c r="K49" s="5">
        <v>31033024</v>
      </c>
      <c r="L49" s="5" t="s">
        <v>1773</v>
      </c>
      <c r="M49" s="5" t="s">
        <v>86</v>
      </c>
      <c r="N49" s="5" t="s">
        <v>21</v>
      </c>
      <c r="O49" s="4" t="s">
        <v>1774</v>
      </c>
      <c r="Q49" s="5" t="s">
        <v>1775</v>
      </c>
      <c r="R49" s="7" t="s">
        <v>1776</v>
      </c>
    </row>
    <row r="50" spans="1:18" ht="165" x14ac:dyDescent="0.25">
      <c r="A50" s="4" t="s">
        <v>1777</v>
      </c>
      <c r="B50" s="4" t="s">
        <v>1778</v>
      </c>
      <c r="C50" s="4" t="s">
        <v>983</v>
      </c>
      <c r="D50" s="5" t="str">
        <f>"1873-2380"</f>
        <v>1873-2380</v>
      </c>
      <c r="F50" s="5" t="str">
        <f>"2019 Jul 19"</f>
        <v>2019 Jul 19</v>
      </c>
      <c r="G50" s="3">
        <v>92</v>
      </c>
      <c r="I50" s="3">
        <v>112</v>
      </c>
      <c r="K50" s="5">
        <v>31176462</v>
      </c>
      <c r="L50" s="5" t="s">
        <v>1779</v>
      </c>
      <c r="M50" s="5" t="s">
        <v>608</v>
      </c>
      <c r="N50" s="5" t="s">
        <v>21</v>
      </c>
      <c r="O50" s="4" t="s">
        <v>1780</v>
      </c>
      <c r="Q50" s="5" t="s">
        <v>1781</v>
      </c>
      <c r="R50" s="7" t="s">
        <v>1782</v>
      </c>
    </row>
    <row r="51" spans="1:18" ht="60" x14ac:dyDescent="0.25">
      <c r="A51" s="4" t="s">
        <v>1783</v>
      </c>
      <c r="B51" s="4" t="s">
        <v>1784</v>
      </c>
      <c r="C51" s="4" t="s">
        <v>133</v>
      </c>
      <c r="D51" s="5" t="str">
        <f>"1536-7290"</f>
        <v>1536-7290</v>
      </c>
      <c r="F51" s="5" t="str">
        <f>"2019 Apr"</f>
        <v>2019 Apr</v>
      </c>
      <c r="G51" s="3">
        <v>19</v>
      </c>
      <c r="H51" s="3">
        <v>3</v>
      </c>
      <c r="I51" s="3">
        <v>402</v>
      </c>
      <c r="K51" s="5">
        <v>30102872</v>
      </c>
      <c r="L51" s="5" t="s">
        <v>1785</v>
      </c>
      <c r="M51" s="5" t="s">
        <v>500</v>
      </c>
      <c r="N51" s="5" t="s">
        <v>21</v>
      </c>
      <c r="O51" s="4" t="s">
        <v>1786</v>
      </c>
      <c r="Q51" s="5" t="s">
        <v>1787</v>
      </c>
      <c r="R51" s="7" t="s">
        <v>1788</v>
      </c>
    </row>
    <row r="52" spans="1:18" ht="120" x14ac:dyDescent="0.25">
      <c r="A52" s="4" t="s">
        <v>1789</v>
      </c>
      <c r="B52" s="4" t="s">
        <v>1790</v>
      </c>
      <c r="C52" s="4" t="s">
        <v>1791</v>
      </c>
      <c r="D52" s="5" t="str">
        <f>"1879-291X"</f>
        <v>1879-291X</v>
      </c>
      <c r="F52" s="5" t="str">
        <f>"2019 Nov"</f>
        <v>2019 Nov</v>
      </c>
      <c r="G52" s="3">
        <v>45</v>
      </c>
      <c r="H52" s="3">
        <v>11</v>
      </c>
      <c r="I52" s="3">
        <v>2898</v>
      </c>
      <c r="K52" s="5">
        <v>31471069</v>
      </c>
      <c r="L52" s="5" t="s">
        <v>1792</v>
      </c>
      <c r="M52" s="5" t="s">
        <v>1793</v>
      </c>
      <c r="N52" s="5" t="s">
        <v>924</v>
      </c>
      <c r="O52" s="4" t="s">
        <v>1794</v>
      </c>
      <c r="Q52" s="5" t="s">
        <v>1795</v>
      </c>
      <c r="R52" s="7" t="s">
        <v>1796</v>
      </c>
    </row>
    <row r="53" spans="1:18" ht="45" x14ac:dyDescent="0.25">
      <c r="A53" s="4" t="s">
        <v>1797</v>
      </c>
      <c r="B53" s="4" t="s">
        <v>1798</v>
      </c>
      <c r="C53" s="4" t="s">
        <v>1799</v>
      </c>
      <c r="D53" s="5" t="str">
        <f>"1528-8951"</f>
        <v>1528-8951</v>
      </c>
      <c r="F53" s="5" t="str">
        <f>"2019 May 29"</f>
        <v>2019 May 29</v>
      </c>
      <c r="K53" s="5">
        <v>31141594</v>
      </c>
      <c r="L53" s="5" t="s">
        <v>1800</v>
      </c>
      <c r="M53" s="5" t="s">
        <v>1801</v>
      </c>
      <c r="N53" s="5" t="s">
        <v>21</v>
      </c>
      <c r="Q53" s="5" t="s">
        <v>1802</v>
      </c>
      <c r="R53" s="7" t="s">
        <v>1803</v>
      </c>
    </row>
    <row r="54" spans="1:18" ht="105" x14ac:dyDescent="0.25">
      <c r="A54" s="4" t="s">
        <v>1804</v>
      </c>
      <c r="B54" s="4" t="s">
        <v>1805</v>
      </c>
      <c r="C54" s="4" t="s">
        <v>1806</v>
      </c>
      <c r="D54" s="5" t="str">
        <f>"1551-5044"</f>
        <v>1551-5044</v>
      </c>
      <c r="F54" s="5" t="str">
        <f>"2019 May"</f>
        <v>2019 May</v>
      </c>
      <c r="G54" s="3">
        <v>67</v>
      </c>
      <c r="H54" s="3">
        <v>5</v>
      </c>
      <c r="I54" s="3">
        <v>335</v>
      </c>
      <c r="K54" s="5">
        <v>30576266</v>
      </c>
      <c r="L54" s="5" t="s">
        <v>1807</v>
      </c>
      <c r="M54" s="5" t="s">
        <v>1808</v>
      </c>
      <c r="N54" s="5" t="s">
        <v>21</v>
      </c>
      <c r="O54" s="4" t="s">
        <v>1809</v>
      </c>
      <c r="Q54" s="5" t="s">
        <v>1810</v>
      </c>
      <c r="R54" s="7" t="s">
        <v>1811</v>
      </c>
    </row>
    <row r="55" spans="1:18" ht="120" x14ac:dyDescent="0.25">
      <c r="A55" s="4" t="s">
        <v>1812</v>
      </c>
      <c r="B55" s="4" t="s">
        <v>1813</v>
      </c>
      <c r="C55" s="4" t="s">
        <v>797</v>
      </c>
      <c r="D55" s="5" t="str">
        <f>"1530-0315"</f>
        <v>1530-0315</v>
      </c>
      <c r="F55" s="5" t="str">
        <f>"2019 Jan"</f>
        <v>2019 Jan</v>
      </c>
      <c r="G55" s="3">
        <v>51</v>
      </c>
      <c r="H55" s="3">
        <v>1</v>
      </c>
      <c r="I55" s="3">
        <v>174</v>
      </c>
      <c r="K55" s="5">
        <v>30095742</v>
      </c>
      <c r="L55" s="5" t="s">
        <v>1814</v>
      </c>
      <c r="M55" s="5" t="s">
        <v>156</v>
      </c>
      <c r="N55" s="5" t="s">
        <v>21</v>
      </c>
      <c r="O55" s="4" t="s">
        <v>1815</v>
      </c>
      <c r="Q55" s="5" t="s">
        <v>1816</v>
      </c>
      <c r="R55" s="7" t="s">
        <v>1817</v>
      </c>
    </row>
    <row r="56" spans="1:18" ht="165" x14ac:dyDescent="0.25">
      <c r="A56" s="4" t="s">
        <v>1818</v>
      </c>
      <c r="B56" s="4" t="s">
        <v>1819</v>
      </c>
      <c r="C56" s="4" t="s">
        <v>444</v>
      </c>
      <c r="D56" s="5" t="str">
        <f>"1179-2035"</f>
        <v>1179-2035</v>
      </c>
      <c r="F56" s="5" t="str">
        <f>"2019 Dec"</f>
        <v>2019 Dec</v>
      </c>
      <c r="G56" s="3">
        <v>49</v>
      </c>
      <c r="H56" s="3" t="s">
        <v>1820</v>
      </c>
      <c r="I56" s="3">
        <v>169</v>
      </c>
      <c r="K56" s="5">
        <v>31691928</v>
      </c>
      <c r="L56" s="5" t="s">
        <v>1821</v>
      </c>
      <c r="M56" s="5" t="s">
        <v>446</v>
      </c>
      <c r="N56" s="5" t="s">
        <v>21</v>
      </c>
      <c r="O56" s="4" t="s">
        <v>1822</v>
      </c>
      <c r="Q56" s="5" t="s">
        <v>1823</v>
      </c>
      <c r="R56" s="7" t="s">
        <v>1824</v>
      </c>
    </row>
    <row r="57" spans="1:18" ht="75" x14ac:dyDescent="0.25">
      <c r="A57" s="4" t="s">
        <v>1825</v>
      </c>
      <c r="B57" s="4" t="s">
        <v>1826</v>
      </c>
      <c r="C57" s="4" t="s">
        <v>36</v>
      </c>
      <c r="D57" s="5" t="str">
        <f>"1543-2742"</f>
        <v>1543-2742</v>
      </c>
      <c r="F57" s="5" t="str">
        <f>"2019 Mar 01"</f>
        <v>2019 Mar 01</v>
      </c>
      <c r="G57" s="3">
        <v>29</v>
      </c>
      <c r="H57" s="3">
        <v>2</v>
      </c>
      <c r="I57" s="3">
        <v>228</v>
      </c>
      <c r="K57" s="5">
        <v>30507257</v>
      </c>
      <c r="L57" s="5" t="s">
        <v>1827</v>
      </c>
      <c r="M57" s="5" t="s">
        <v>40</v>
      </c>
      <c r="N57" s="5" t="s">
        <v>21</v>
      </c>
      <c r="O57" s="4" t="s">
        <v>1828</v>
      </c>
      <c r="Q57" s="5" t="s">
        <v>1829</v>
      </c>
      <c r="R57" s="7" t="s">
        <v>1830</v>
      </c>
    </row>
    <row r="58" spans="1:18" ht="105" x14ac:dyDescent="0.25">
      <c r="A58" s="4" t="s">
        <v>1831</v>
      </c>
      <c r="B58" s="4" t="s">
        <v>1832</v>
      </c>
      <c r="C58" s="4" t="s">
        <v>1833</v>
      </c>
      <c r="D58" s="5" t="str">
        <f>"1549-4713"</f>
        <v>1549-4713</v>
      </c>
      <c r="F58" s="5" t="str">
        <f>"2019 Jul"</f>
        <v>2019 Jul</v>
      </c>
      <c r="G58" s="3">
        <v>126</v>
      </c>
      <c r="H58" s="3">
        <v>7</v>
      </c>
      <c r="I58" s="3">
        <v>1053</v>
      </c>
      <c r="K58" s="5">
        <v>30711605</v>
      </c>
      <c r="L58" s="5" t="s">
        <v>1834</v>
      </c>
      <c r="M58" s="5" t="s">
        <v>1835</v>
      </c>
      <c r="N58" s="5" t="s">
        <v>21</v>
      </c>
      <c r="O58" s="4" t="s">
        <v>1836</v>
      </c>
      <c r="R58" s="7" t="s">
        <v>1837</v>
      </c>
    </row>
    <row r="59" spans="1:18" ht="165" x14ac:dyDescent="0.25">
      <c r="A59" s="4" t="s">
        <v>1838</v>
      </c>
      <c r="B59" s="4" t="s">
        <v>1839</v>
      </c>
      <c r="C59" s="4" t="s">
        <v>181</v>
      </c>
      <c r="D59" s="5" t="str">
        <f>"2072-6643"</f>
        <v>2072-6643</v>
      </c>
      <c r="F59" s="5" t="str">
        <f>"2019 Jan 02"</f>
        <v>2019 Jan 02</v>
      </c>
      <c r="G59" s="3">
        <v>11</v>
      </c>
      <c r="H59" s="3">
        <v>1</v>
      </c>
      <c r="K59" s="5">
        <v>30609761</v>
      </c>
      <c r="L59" s="5" t="s">
        <v>1840</v>
      </c>
      <c r="M59" s="5" t="s">
        <v>185</v>
      </c>
      <c r="N59" s="5" t="s">
        <v>21</v>
      </c>
      <c r="O59" s="4" t="s">
        <v>1841</v>
      </c>
      <c r="Q59" s="5" t="s">
        <v>1842</v>
      </c>
      <c r="R59" s="7" t="s">
        <v>1843</v>
      </c>
    </row>
    <row r="60" spans="1:18" ht="60" x14ac:dyDescent="0.25">
      <c r="A60" s="4" t="s">
        <v>1844</v>
      </c>
      <c r="B60" s="4" t="s">
        <v>1845</v>
      </c>
      <c r="C60" s="4" t="s">
        <v>1754</v>
      </c>
      <c r="D60" s="5" t="str">
        <f>"2296-861X"</f>
        <v>2296-861X</v>
      </c>
      <c r="F60" s="5" t="str">
        <f>"2019 Oct 15"</f>
        <v>2019 Oct 15</v>
      </c>
      <c r="G60" s="3">
        <v>6</v>
      </c>
      <c r="I60" s="3">
        <v>163</v>
      </c>
      <c r="K60" s="5">
        <v>31681789</v>
      </c>
      <c r="L60" s="5" t="s">
        <v>1846</v>
      </c>
      <c r="M60" s="5" t="s">
        <v>1756</v>
      </c>
      <c r="N60" s="5" t="s">
        <v>21</v>
      </c>
      <c r="Q60" s="5" t="s">
        <v>1847</v>
      </c>
      <c r="R60" s="7" t="s">
        <v>1848</v>
      </c>
    </row>
    <row r="61" spans="1:18" ht="135" x14ac:dyDescent="0.25">
      <c r="A61" s="4" t="s">
        <v>1849</v>
      </c>
      <c r="B61" s="4" t="s">
        <v>1850</v>
      </c>
      <c r="C61" s="4" t="s">
        <v>181</v>
      </c>
      <c r="D61" s="5" t="str">
        <f>"2072-6643"</f>
        <v>2072-6643</v>
      </c>
      <c r="F61" s="5" t="str">
        <f>"2019 Jul 09"</f>
        <v>2019 Jul 09</v>
      </c>
      <c r="G61" s="3">
        <v>11</v>
      </c>
      <c r="H61" s="3">
        <v>7</v>
      </c>
      <c r="K61" s="5">
        <v>31324008</v>
      </c>
      <c r="L61" s="5" t="s">
        <v>1851</v>
      </c>
      <c r="M61" s="5" t="s">
        <v>185</v>
      </c>
      <c r="N61" s="5" t="s">
        <v>21</v>
      </c>
      <c r="O61" s="4" t="s">
        <v>1852</v>
      </c>
      <c r="Q61" s="5" t="s">
        <v>1853</v>
      </c>
      <c r="R61" s="7" t="s">
        <v>1854</v>
      </c>
    </row>
    <row r="62" spans="1:18" ht="120" x14ac:dyDescent="0.25">
      <c r="A62" s="4" t="s">
        <v>1855</v>
      </c>
      <c r="B62" s="4" t="s">
        <v>1856</v>
      </c>
      <c r="C62" s="4" t="s">
        <v>676</v>
      </c>
      <c r="D62" s="5" t="str">
        <f>"1932-6203"</f>
        <v>1932-6203</v>
      </c>
      <c r="F62" s="5" t="str">
        <f>"2019 Jul 10"</f>
        <v>2019 Jul 10</v>
      </c>
      <c r="G62" s="3">
        <v>14</v>
      </c>
      <c r="H62" s="3">
        <v>7</v>
      </c>
      <c r="I62" s="3" t="s">
        <v>1857</v>
      </c>
      <c r="K62" s="5">
        <v>31291303</v>
      </c>
      <c r="L62" s="5" t="s">
        <v>1858</v>
      </c>
      <c r="M62" s="5" t="s">
        <v>679</v>
      </c>
      <c r="N62" s="5" t="s">
        <v>21</v>
      </c>
      <c r="O62" s="4" t="s">
        <v>1859</v>
      </c>
      <c r="Q62" s="5" t="s">
        <v>1860</v>
      </c>
      <c r="R62" s="7" t="s">
        <v>1861</v>
      </c>
    </row>
    <row r="63" spans="1:18" ht="75" x14ac:dyDescent="0.25">
      <c r="A63" s="4" t="s">
        <v>1862</v>
      </c>
      <c r="B63" s="4" t="s">
        <v>1863</v>
      </c>
      <c r="C63" s="4" t="s">
        <v>832</v>
      </c>
      <c r="D63" s="5" t="str">
        <f>"2624-9367"</f>
        <v>2624-9367</v>
      </c>
      <c r="F63" s="5" t="str">
        <f>"2019 Oct 14"</f>
        <v>2019 Oct 14</v>
      </c>
      <c r="G63" s="3">
        <v>1</v>
      </c>
      <c r="I63" s="3">
        <v>43</v>
      </c>
      <c r="K63" s="5">
        <v>33344966</v>
      </c>
      <c r="L63" s="5" t="s">
        <v>1864</v>
      </c>
      <c r="M63" s="5" t="s">
        <v>834</v>
      </c>
      <c r="N63" s="5" t="s">
        <v>21</v>
      </c>
      <c r="Q63" s="5" t="s">
        <v>1865</v>
      </c>
      <c r="R63" s="7" t="s">
        <v>1866</v>
      </c>
    </row>
    <row r="64" spans="1:18" ht="45" x14ac:dyDescent="0.25">
      <c r="A64" s="4" t="s">
        <v>1867</v>
      </c>
      <c r="B64" s="4" t="s">
        <v>1868</v>
      </c>
      <c r="C64" s="4" t="s">
        <v>381</v>
      </c>
      <c r="D64" s="5" t="str">
        <f>"2326-3660"</f>
        <v>2326-3660</v>
      </c>
      <c r="F64" s="5" t="str">
        <f>"2019 Nov"</f>
        <v>2019 Nov</v>
      </c>
      <c r="G64" s="3">
        <v>47</v>
      </c>
      <c r="H64" s="3">
        <v>4</v>
      </c>
      <c r="I64" s="3">
        <v>421</v>
      </c>
      <c r="K64" s="5">
        <v>30978146</v>
      </c>
      <c r="L64" s="5" t="s">
        <v>1869</v>
      </c>
      <c r="M64" s="5" t="s">
        <v>290</v>
      </c>
      <c r="N64" s="5" t="s">
        <v>21</v>
      </c>
      <c r="O64" s="4" t="s">
        <v>1870</v>
      </c>
      <c r="Q64" s="5" t="s">
        <v>1871</v>
      </c>
      <c r="R64" s="7" t="s">
        <v>1872</v>
      </c>
    </row>
    <row r="65" spans="1:18" ht="30" x14ac:dyDescent="0.25">
      <c r="A65" s="4" t="s">
        <v>1873</v>
      </c>
      <c r="B65" s="4" t="s">
        <v>1723</v>
      </c>
      <c r="C65" s="4" t="s">
        <v>797</v>
      </c>
      <c r="D65" s="5" t="str">
        <f>"1530-0315"</f>
        <v>1530-0315</v>
      </c>
      <c r="F65" s="5" t="str">
        <f>"2019 Nov"</f>
        <v>2019 Nov</v>
      </c>
      <c r="G65" s="3">
        <v>51</v>
      </c>
      <c r="H65" s="3">
        <v>11</v>
      </c>
      <c r="I65" s="3">
        <v>2426</v>
      </c>
      <c r="K65" s="5">
        <v>31626060</v>
      </c>
      <c r="L65" s="5" t="s">
        <v>1874</v>
      </c>
      <c r="M65" s="5" t="s">
        <v>156</v>
      </c>
      <c r="N65" s="5" t="s">
        <v>21</v>
      </c>
      <c r="O65" s="4" t="s">
        <v>1875</v>
      </c>
      <c r="R65" s="7" t="s">
        <v>1876</v>
      </c>
    </row>
    <row r="66" spans="1:18" ht="60" x14ac:dyDescent="0.25">
      <c r="A66" s="4" t="s">
        <v>1877</v>
      </c>
      <c r="B66" s="4" t="s">
        <v>1878</v>
      </c>
      <c r="C66" s="4" t="s">
        <v>638</v>
      </c>
      <c r="D66" s="5" t="str">
        <f>"1664-1078"</f>
        <v>1664-1078</v>
      </c>
      <c r="F66" s="5" t="str">
        <f>"2019 Jan 29"</f>
        <v>2019 Jan 29</v>
      </c>
      <c r="G66" s="3">
        <v>10</v>
      </c>
      <c r="I66" s="3">
        <v>85</v>
      </c>
      <c r="K66" s="5">
        <v>30761045</v>
      </c>
      <c r="L66" s="5" t="s">
        <v>1879</v>
      </c>
      <c r="M66" s="5" t="s">
        <v>640</v>
      </c>
      <c r="N66" s="5" t="s">
        <v>21</v>
      </c>
      <c r="R66" s="7" t="s">
        <v>1880</v>
      </c>
    </row>
    <row r="67" spans="1:18" ht="60" x14ac:dyDescent="0.25">
      <c r="A67" s="4" t="s">
        <v>1881</v>
      </c>
      <c r="B67" s="4" t="s">
        <v>1882</v>
      </c>
      <c r="C67" s="4" t="s">
        <v>1883</v>
      </c>
      <c r="D67" s="5" t="str">
        <f>"1640-5544"</f>
        <v>1640-5544</v>
      </c>
      <c r="F67" s="5" t="str">
        <f>"2019 Jul 05"</f>
        <v>2019 Jul 05</v>
      </c>
      <c r="G67" s="3">
        <v>67</v>
      </c>
      <c r="I67" s="3">
        <v>111</v>
      </c>
      <c r="K67" s="5">
        <v>31523310</v>
      </c>
      <c r="L67" s="5" t="s">
        <v>1884</v>
      </c>
      <c r="M67" s="5" t="s">
        <v>1885</v>
      </c>
      <c r="N67" s="5" t="s">
        <v>21</v>
      </c>
      <c r="Q67" s="5" t="s">
        <v>1886</v>
      </c>
      <c r="R67" s="7" t="s">
        <v>1887</v>
      </c>
    </row>
    <row r="68" spans="1:18" ht="135" x14ac:dyDescent="0.25">
      <c r="A68" s="4" t="s">
        <v>1888</v>
      </c>
      <c r="B68" s="4" t="s">
        <v>718</v>
      </c>
      <c r="C68" s="4" t="s">
        <v>55</v>
      </c>
      <c r="D68" s="5" t="str">
        <f>"1878-1861"</f>
        <v>1878-1861</v>
      </c>
      <c r="F68" s="5" t="str">
        <f>"2019 Jul"</f>
        <v>2019 Jul</v>
      </c>
      <c r="G68" s="3">
        <v>22</v>
      </c>
      <c r="H68" s="3">
        <v>7</v>
      </c>
      <c r="I68" s="3">
        <v>748</v>
      </c>
      <c r="K68" s="5">
        <v>30685228</v>
      </c>
      <c r="L68" s="5" t="s">
        <v>1889</v>
      </c>
      <c r="M68" s="5" t="s">
        <v>59</v>
      </c>
      <c r="N68" s="5" t="s">
        <v>21</v>
      </c>
      <c r="O68" s="4" t="s">
        <v>1890</v>
      </c>
      <c r="Q68" s="5" t="s">
        <v>1891</v>
      </c>
      <c r="R68" s="7" t="s">
        <v>1892</v>
      </c>
    </row>
    <row r="69" spans="1:18" ht="90" x14ac:dyDescent="0.25">
      <c r="A69" s="4" t="s">
        <v>1893</v>
      </c>
      <c r="B69" s="4" t="s">
        <v>1894</v>
      </c>
      <c r="C69" s="4" t="s">
        <v>36</v>
      </c>
      <c r="D69" s="5" t="str">
        <f>"1543-2742"</f>
        <v>1543-2742</v>
      </c>
      <c r="F69" s="5" t="str">
        <f>"2019 Mar 01"</f>
        <v>2019 Mar 01</v>
      </c>
      <c r="G69" s="3">
        <v>29</v>
      </c>
      <c r="H69" s="3">
        <v>2</v>
      </c>
      <c r="I69" s="3">
        <v>210</v>
      </c>
      <c r="K69" s="5">
        <v>30676138</v>
      </c>
      <c r="L69" s="5" t="s">
        <v>1895</v>
      </c>
      <c r="M69" s="5" t="s">
        <v>40</v>
      </c>
      <c r="N69" s="5" t="s">
        <v>21</v>
      </c>
      <c r="O69" s="4" t="s">
        <v>1896</v>
      </c>
      <c r="Q69" s="5" t="s">
        <v>1897</v>
      </c>
      <c r="R69" s="7" t="s">
        <v>1898</v>
      </c>
    </row>
    <row r="70" spans="1:18" ht="105" x14ac:dyDescent="0.25">
      <c r="A70" s="4" t="s">
        <v>1899</v>
      </c>
      <c r="B70" s="4" t="s">
        <v>1900</v>
      </c>
      <c r="C70" s="4" t="s">
        <v>36</v>
      </c>
      <c r="D70" s="5" t="str">
        <f>"1543-2742"</f>
        <v>1543-2742</v>
      </c>
      <c r="F70" s="5" t="str">
        <f>"2019 Mar 01"</f>
        <v>2019 Mar 01</v>
      </c>
      <c r="G70" s="3">
        <v>29</v>
      </c>
      <c r="H70" s="3">
        <v>2</v>
      </c>
      <c r="I70" s="3">
        <v>198</v>
      </c>
      <c r="K70" s="5">
        <v>30299192</v>
      </c>
      <c r="L70" s="5" t="s">
        <v>1901</v>
      </c>
      <c r="M70" s="5" t="s">
        <v>40</v>
      </c>
      <c r="N70" s="5" t="s">
        <v>21</v>
      </c>
      <c r="O70" s="4" t="s">
        <v>1902</v>
      </c>
      <c r="Q70" s="5" t="s">
        <v>1903</v>
      </c>
      <c r="R70" s="7" t="s">
        <v>1904</v>
      </c>
    </row>
    <row r="71" spans="1:18" ht="60" x14ac:dyDescent="0.25">
      <c r="A71" s="4" t="s">
        <v>1905</v>
      </c>
      <c r="B71" s="4" t="s">
        <v>1906</v>
      </c>
      <c r="C71" s="4" t="s">
        <v>839</v>
      </c>
      <c r="D71" s="5" t="str">
        <f>"1664-042X"</f>
        <v>1664-042X</v>
      </c>
      <c r="F71" s="5" t="str">
        <f>"2019 Feb 14"</f>
        <v>2019 Feb 14</v>
      </c>
      <c r="G71" s="3">
        <v>10</v>
      </c>
      <c r="I71" s="3">
        <v>100</v>
      </c>
      <c r="K71" s="5">
        <v>30837886</v>
      </c>
      <c r="L71" s="5" t="s">
        <v>1907</v>
      </c>
      <c r="M71" s="5" t="s">
        <v>640</v>
      </c>
      <c r="N71" s="5" t="s">
        <v>21</v>
      </c>
      <c r="Q71" s="5" t="s">
        <v>1908</v>
      </c>
      <c r="R71" s="7" t="s">
        <v>1909</v>
      </c>
    </row>
    <row r="72" spans="1:18" ht="75" x14ac:dyDescent="0.25">
      <c r="A72" s="4" t="s">
        <v>1910</v>
      </c>
      <c r="B72" s="4" t="s">
        <v>1911</v>
      </c>
      <c r="C72" s="4" t="s">
        <v>1489</v>
      </c>
      <c r="D72" s="5" t="str">
        <f>"1552-3365"</f>
        <v>1552-3365</v>
      </c>
      <c r="F72" s="5" t="str">
        <f>"2019 Jul"</f>
        <v>2019 Jul</v>
      </c>
      <c r="G72" s="3">
        <v>47</v>
      </c>
      <c r="H72" s="3">
        <v>9</v>
      </c>
      <c r="I72" s="3">
        <v>2225</v>
      </c>
      <c r="K72" s="5">
        <v>31199669</v>
      </c>
      <c r="L72" s="5" t="s">
        <v>1912</v>
      </c>
      <c r="M72" s="5" t="s">
        <v>31</v>
      </c>
      <c r="N72" s="5" t="s">
        <v>21</v>
      </c>
      <c r="O72" s="4" t="s">
        <v>1913</v>
      </c>
      <c r="Q72" s="5" t="s">
        <v>1914</v>
      </c>
      <c r="R72" s="7" t="s">
        <v>1915</v>
      </c>
    </row>
    <row r="73" spans="1:18" ht="135" x14ac:dyDescent="0.25">
      <c r="A73" s="4" t="s">
        <v>1916</v>
      </c>
      <c r="B73" s="4" t="s">
        <v>1917</v>
      </c>
      <c r="C73" s="4" t="s">
        <v>921</v>
      </c>
      <c r="D73" s="5" t="str">
        <f>"1466-447X"</f>
        <v>1466-447X</v>
      </c>
      <c r="F73" s="5" t="str">
        <f>"2019 Feb"</f>
        <v>2019 Feb</v>
      </c>
      <c r="G73" s="3">
        <v>37</v>
      </c>
      <c r="H73" s="3">
        <v>3</v>
      </c>
      <c r="I73" s="3">
        <v>339</v>
      </c>
      <c r="K73" s="5">
        <v>30058956</v>
      </c>
      <c r="L73" s="5" t="s">
        <v>1918</v>
      </c>
      <c r="M73" s="5" t="s">
        <v>923</v>
      </c>
      <c r="N73" s="5" t="s">
        <v>21</v>
      </c>
      <c r="O73" s="4" t="s">
        <v>1919</v>
      </c>
      <c r="Q73" s="5" t="s">
        <v>1920</v>
      </c>
      <c r="R73" s="7" t="s">
        <v>1921</v>
      </c>
    </row>
    <row r="74" spans="1:18" ht="150" x14ac:dyDescent="0.25">
      <c r="A74" s="4" t="s">
        <v>1922</v>
      </c>
      <c r="B74" s="4" t="s">
        <v>1923</v>
      </c>
      <c r="C74" s="4" t="s">
        <v>36</v>
      </c>
      <c r="D74" s="5" t="str">
        <f>"1543-2742"</f>
        <v>1543-2742</v>
      </c>
      <c r="F74" s="5" t="str">
        <f>"2019 Nov 01"</f>
        <v>2019 Nov 01</v>
      </c>
      <c r="G74" s="3">
        <v>29</v>
      </c>
      <c r="H74" s="3">
        <v>6</v>
      </c>
      <c r="I74" s="3">
        <v>664</v>
      </c>
      <c r="K74" s="5">
        <v>31592623</v>
      </c>
      <c r="L74" s="5" t="s">
        <v>1924</v>
      </c>
      <c r="M74" s="5" t="s">
        <v>40</v>
      </c>
      <c r="N74" s="5" t="s">
        <v>21</v>
      </c>
      <c r="O74" s="4" t="s">
        <v>1925</v>
      </c>
      <c r="Q74" s="5" t="s">
        <v>1926</v>
      </c>
      <c r="R74" s="7" t="s">
        <v>1927</v>
      </c>
    </row>
    <row r="75" spans="1:18" ht="90" x14ac:dyDescent="0.25">
      <c r="A75" s="4" t="s">
        <v>1928</v>
      </c>
      <c r="B75" s="4" t="s">
        <v>1929</v>
      </c>
      <c r="C75" s="4" t="s">
        <v>181</v>
      </c>
      <c r="D75" s="5" t="str">
        <f>"2072-6643"</f>
        <v>2072-6643</v>
      </c>
      <c r="F75" s="5" t="str">
        <f>"2019 Jan 24"</f>
        <v>2019 Jan 24</v>
      </c>
      <c r="G75" s="3">
        <v>11</v>
      </c>
      <c r="H75" s="3">
        <v>2</v>
      </c>
      <c r="K75" s="5">
        <v>30682843</v>
      </c>
      <c r="L75" s="5" t="s">
        <v>1930</v>
      </c>
      <c r="M75" s="5" t="s">
        <v>185</v>
      </c>
      <c r="N75" s="5" t="s">
        <v>646</v>
      </c>
      <c r="O75" s="4" t="s">
        <v>1931</v>
      </c>
      <c r="Q75" s="5" t="s">
        <v>1932</v>
      </c>
      <c r="R75" s="7" t="s">
        <v>1933</v>
      </c>
    </row>
    <row r="76" spans="1:18" ht="165" x14ac:dyDescent="0.25">
      <c r="A76" s="4" t="s">
        <v>1934</v>
      </c>
      <c r="B76" s="4" t="s">
        <v>1935</v>
      </c>
      <c r="C76" s="4" t="s">
        <v>921</v>
      </c>
      <c r="D76" s="5" t="str">
        <f>"1466-447X"</f>
        <v>1466-447X</v>
      </c>
      <c r="F76" s="5" t="str">
        <f>"2019 Mar"</f>
        <v>2019 Mar</v>
      </c>
      <c r="G76" s="3">
        <v>37</v>
      </c>
      <c r="H76" s="3">
        <v>5</v>
      </c>
      <c r="I76" s="3">
        <v>553</v>
      </c>
      <c r="K76" s="5">
        <v>30207506</v>
      </c>
      <c r="L76" s="5" t="s">
        <v>1936</v>
      </c>
      <c r="M76" s="5" t="s">
        <v>923</v>
      </c>
      <c r="N76" s="5" t="s">
        <v>21</v>
      </c>
      <c r="O76" s="4" t="s">
        <v>1937</v>
      </c>
      <c r="Q76" s="5" t="s">
        <v>1938</v>
      </c>
      <c r="R76" s="7" t="s">
        <v>1939</v>
      </c>
    </row>
    <row r="77" spans="1:18" ht="75" x14ac:dyDescent="0.25">
      <c r="A77" s="4" t="s">
        <v>1940</v>
      </c>
      <c r="B77" s="4" t="s">
        <v>1941</v>
      </c>
      <c r="C77" s="4" t="s">
        <v>466</v>
      </c>
      <c r="D77" s="5" t="str">
        <f>"1533-4287"</f>
        <v>1533-4287</v>
      </c>
      <c r="F77" s="5" t="str">
        <f>"2019 Feb"</f>
        <v>2019 Feb</v>
      </c>
      <c r="G77" s="3">
        <v>33</v>
      </c>
      <c r="H77" s="3">
        <v>2</v>
      </c>
      <c r="I77" s="3">
        <v>544</v>
      </c>
      <c r="K77" s="5">
        <v>28486330</v>
      </c>
      <c r="L77" s="5" t="s">
        <v>1942</v>
      </c>
      <c r="M77" s="5" t="s">
        <v>468</v>
      </c>
      <c r="N77" s="5" t="s">
        <v>21</v>
      </c>
      <c r="O77" s="4" t="s">
        <v>1943</v>
      </c>
      <c r="Q77" s="5" t="s">
        <v>1944</v>
      </c>
      <c r="R77" s="7" t="s">
        <v>1945</v>
      </c>
    </row>
    <row r="78" spans="1:18" ht="120" x14ac:dyDescent="0.25">
      <c r="A78" s="4" t="s">
        <v>1946</v>
      </c>
      <c r="B78" s="4" t="s">
        <v>1947</v>
      </c>
      <c r="C78" s="4" t="s">
        <v>797</v>
      </c>
      <c r="D78" s="5" t="str">
        <f>"1530-0315"</f>
        <v>1530-0315</v>
      </c>
      <c r="F78" s="5" t="str">
        <f>"2019 Oct"</f>
        <v>2019 Oct</v>
      </c>
      <c r="G78" s="3">
        <v>51</v>
      </c>
      <c r="H78" s="3">
        <v>10</v>
      </c>
      <c r="I78" s="3">
        <v>2147</v>
      </c>
      <c r="K78" s="5">
        <v>31058762</v>
      </c>
      <c r="L78" s="5" t="s">
        <v>1948</v>
      </c>
      <c r="M78" s="5" t="s">
        <v>156</v>
      </c>
      <c r="N78" s="5" t="s">
        <v>21</v>
      </c>
      <c r="O78" s="4" t="s">
        <v>1949</v>
      </c>
      <c r="Q78" s="5" t="s">
        <v>1950</v>
      </c>
      <c r="R78" s="7" t="s">
        <v>1951</v>
      </c>
    </row>
    <row r="79" spans="1:18" ht="180" x14ac:dyDescent="0.25">
      <c r="A79" s="4" t="s">
        <v>1952</v>
      </c>
      <c r="B79" s="4" t="s">
        <v>810</v>
      </c>
      <c r="C79" s="4" t="s">
        <v>1953</v>
      </c>
      <c r="D79" s="5" t="str">
        <f>"1303-2968"</f>
        <v>1303-2968</v>
      </c>
      <c r="F79" s="5" t="str">
        <f>"2019 Aug 01"</f>
        <v>2019 Aug 01</v>
      </c>
      <c r="G79" s="3">
        <v>18</v>
      </c>
      <c r="H79" s="3">
        <v>3</v>
      </c>
      <c r="I79" s="3">
        <v>569</v>
      </c>
      <c r="K79" s="5">
        <v>31427880</v>
      </c>
      <c r="M79" s="5" t="s">
        <v>1954</v>
      </c>
      <c r="N79" s="5" t="s">
        <v>21</v>
      </c>
      <c r="O79" s="4" t="s">
        <v>1955</v>
      </c>
      <c r="Q79" s="5" t="s">
        <v>1956</v>
      </c>
      <c r="R79" s="7" t="s">
        <v>1957</v>
      </c>
    </row>
    <row r="80" spans="1:18" ht="120" x14ac:dyDescent="0.25">
      <c r="A80" s="4" t="s">
        <v>1958</v>
      </c>
      <c r="B80" s="4" t="s">
        <v>1959</v>
      </c>
      <c r="C80" s="4" t="s">
        <v>676</v>
      </c>
      <c r="D80" s="5" t="str">
        <f>"1932-6203"</f>
        <v>1932-6203</v>
      </c>
      <c r="F80" s="5" t="str">
        <f>"2019 Feb 28"</f>
        <v>2019 Feb 28</v>
      </c>
      <c r="G80" s="3">
        <v>14</v>
      </c>
      <c r="H80" s="3">
        <v>2</v>
      </c>
      <c r="I80" s="3" t="s">
        <v>1960</v>
      </c>
      <c r="K80" s="5">
        <v>30817785</v>
      </c>
      <c r="L80" s="5" t="s">
        <v>1961</v>
      </c>
      <c r="M80" s="5" t="s">
        <v>679</v>
      </c>
      <c r="N80" s="5" t="s">
        <v>21</v>
      </c>
      <c r="O80" s="4" t="s">
        <v>1962</v>
      </c>
      <c r="Q80" s="5" t="s">
        <v>1963</v>
      </c>
      <c r="R80" s="7" t="s">
        <v>1964</v>
      </c>
    </row>
    <row r="81" spans="1:18" ht="45" x14ac:dyDescent="0.25">
      <c r="A81" s="4" t="s">
        <v>1965</v>
      </c>
      <c r="B81" s="4" t="s">
        <v>1966</v>
      </c>
      <c r="C81" s="4" t="s">
        <v>1967</v>
      </c>
      <c r="D81" s="5" t="str">
        <f>"2288-176X"</f>
        <v>2288-176X</v>
      </c>
      <c r="F81" s="5" t="str">
        <f>"2019 Feb 25"</f>
        <v>2019 Feb 25</v>
      </c>
      <c r="G81" s="3">
        <v>15</v>
      </c>
      <c r="H81" s="3">
        <v>1</v>
      </c>
      <c r="I81" s="3">
        <v>55</v>
      </c>
      <c r="K81" s="5">
        <v>30899737</v>
      </c>
      <c r="L81" s="5" t="s">
        <v>1968</v>
      </c>
      <c r="M81" s="5" t="s">
        <v>1969</v>
      </c>
      <c r="N81" s="5" t="s">
        <v>21</v>
      </c>
      <c r="Q81" s="5" t="s">
        <v>1970</v>
      </c>
      <c r="R81" s="7" t="s">
        <v>1971</v>
      </c>
    </row>
    <row r="82" spans="1:18" ht="90" x14ac:dyDescent="0.25">
      <c r="A82" s="4" t="s">
        <v>1972</v>
      </c>
      <c r="B82" s="4" t="s">
        <v>1973</v>
      </c>
      <c r="C82" s="4" t="s">
        <v>36</v>
      </c>
      <c r="D82" s="5" t="str">
        <f>"1543-2742"</f>
        <v>1543-2742</v>
      </c>
      <c r="F82" s="5" t="str">
        <f>"2019 Sep 01"</f>
        <v>2019 Sep 01</v>
      </c>
      <c r="G82" s="3">
        <v>29</v>
      </c>
      <c r="H82" s="3">
        <v>5</v>
      </c>
      <c r="I82" s="3">
        <v>461</v>
      </c>
      <c r="K82" s="5">
        <v>31444314</v>
      </c>
      <c r="L82" s="5" t="s">
        <v>1974</v>
      </c>
      <c r="M82" s="5" t="s">
        <v>40</v>
      </c>
      <c r="N82" s="5" t="s">
        <v>21</v>
      </c>
      <c r="O82" s="4" t="s">
        <v>1975</v>
      </c>
      <c r="Q82" s="5" t="s">
        <v>1976</v>
      </c>
      <c r="R82" s="7" t="s">
        <v>1977</v>
      </c>
    </row>
    <row r="83" spans="1:18" ht="75" x14ac:dyDescent="0.25">
      <c r="A83" s="4" t="s">
        <v>1978</v>
      </c>
      <c r="B83" s="4" t="s">
        <v>1979</v>
      </c>
      <c r="C83" s="4" t="s">
        <v>55</v>
      </c>
      <c r="D83" s="5" t="str">
        <f>"1878-1861"</f>
        <v>1878-1861</v>
      </c>
      <c r="F83" s="5" t="str">
        <f>"2019 Feb"</f>
        <v>2019 Feb</v>
      </c>
      <c r="G83" s="3">
        <v>22</v>
      </c>
      <c r="H83" s="3">
        <v>2</v>
      </c>
      <c r="I83" s="3">
        <v>212</v>
      </c>
      <c r="K83" s="5">
        <v>30029889</v>
      </c>
      <c r="L83" s="5" t="s">
        <v>1980</v>
      </c>
      <c r="M83" s="5" t="s">
        <v>59</v>
      </c>
      <c r="N83" s="5" t="s">
        <v>21</v>
      </c>
      <c r="O83" s="4" t="s">
        <v>1981</v>
      </c>
      <c r="Q83" s="5" t="s">
        <v>1982</v>
      </c>
      <c r="R83" s="7" t="s">
        <v>1983</v>
      </c>
    </row>
    <row r="84" spans="1:18" ht="90" x14ac:dyDescent="0.25">
      <c r="A84" s="4" t="s">
        <v>1984</v>
      </c>
      <c r="B84" s="4" t="s">
        <v>1985</v>
      </c>
      <c r="C84" s="4" t="s">
        <v>55</v>
      </c>
      <c r="D84" s="5" t="str">
        <f>"1878-1861"</f>
        <v>1878-1861</v>
      </c>
      <c r="F84" s="5" t="str">
        <f>"2019 Jan"</f>
        <v>2019 Jan</v>
      </c>
      <c r="G84" s="3">
        <v>22</v>
      </c>
      <c r="H84" s="3">
        <v>1</v>
      </c>
      <c r="I84" s="3">
        <v>123</v>
      </c>
      <c r="K84" s="5">
        <v>30554612</v>
      </c>
      <c r="L84" s="5" t="s">
        <v>1986</v>
      </c>
      <c r="M84" s="5" t="s">
        <v>59</v>
      </c>
      <c r="N84" s="5" t="s">
        <v>21</v>
      </c>
      <c r="O84" s="4" t="s">
        <v>1987</v>
      </c>
      <c r="Q84" s="5" t="s">
        <v>1988</v>
      </c>
      <c r="R84" s="7" t="s">
        <v>1989</v>
      </c>
    </row>
    <row r="85" spans="1:18" ht="45" x14ac:dyDescent="0.25">
      <c r="A85" s="4" t="s">
        <v>1990</v>
      </c>
      <c r="B85" s="4" t="s">
        <v>1991</v>
      </c>
      <c r="C85" s="4" t="s">
        <v>1325</v>
      </c>
      <c r="D85" s="5" t="str">
        <f>"2075-4663"</f>
        <v>2075-4663</v>
      </c>
      <c r="F85" s="5" t="str">
        <f>"2019 Mar 16"</f>
        <v>2019 Mar 16</v>
      </c>
      <c r="G85" s="3">
        <v>7</v>
      </c>
      <c r="H85" s="3">
        <v>3</v>
      </c>
      <c r="K85" s="5">
        <v>30884863</v>
      </c>
      <c r="L85" s="5" t="s">
        <v>1992</v>
      </c>
      <c r="M85" s="5" t="s">
        <v>775</v>
      </c>
      <c r="N85" s="5" t="s">
        <v>21</v>
      </c>
      <c r="Q85" s="5" t="s">
        <v>1993</v>
      </c>
      <c r="R85" s="7" t="s">
        <v>1994</v>
      </c>
    </row>
    <row r="86" spans="1:18" ht="135" x14ac:dyDescent="0.25">
      <c r="A86" s="4" t="s">
        <v>1995</v>
      </c>
      <c r="B86" s="4" t="s">
        <v>1996</v>
      </c>
      <c r="C86" s="4" t="s">
        <v>480</v>
      </c>
      <c r="D86" s="5" t="str">
        <f>"2045-2322"</f>
        <v>2045-2322</v>
      </c>
      <c r="F86" s="5" t="str">
        <f>"2019 Aug 19"</f>
        <v>2019 Aug 19</v>
      </c>
      <c r="G86" s="3">
        <v>9</v>
      </c>
      <c r="H86" s="3">
        <v>1</v>
      </c>
      <c r="I86" s="3">
        <v>12013</v>
      </c>
      <c r="K86" s="5">
        <v>31427654</v>
      </c>
      <c r="L86" s="5" t="s">
        <v>1997</v>
      </c>
      <c r="M86" s="5" t="s">
        <v>148</v>
      </c>
      <c r="N86" s="5" t="s">
        <v>21</v>
      </c>
      <c r="O86" s="4" t="s">
        <v>1998</v>
      </c>
      <c r="Q86" s="5" t="s">
        <v>1999</v>
      </c>
      <c r="R86" s="7" t="s">
        <v>2000</v>
      </c>
    </row>
  </sheetData>
  <hyperlinks>
    <hyperlink ref="R2" r:id="rId1" xr:uid="{00000000-0004-0000-0000-000000000000}"/>
    <hyperlink ref="R3" r:id="rId2" xr:uid="{00000000-0004-0000-0000-000001000000}"/>
    <hyperlink ref="R4" r:id="rId3" xr:uid="{00000000-0004-0000-0000-000002000000}"/>
    <hyperlink ref="R5" r:id="rId4" xr:uid="{00000000-0004-0000-0000-000003000000}"/>
    <hyperlink ref="R6" r:id="rId5" xr:uid="{00000000-0004-0000-0000-000004000000}"/>
    <hyperlink ref="R7" r:id="rId6" xr:uid="{00000000-0004-0000-0000-000005000000}"/>
    <hyperlink ref="R8" r:id="rId7" xr:uid="{00000000-0004-0000-0000-000006000000}"/>
    <hyperlink ref="R9" r:id="rId8" xr:uid="{00000000-0004-0000-0000-000007000000}"/>
    <hyperlink ref="R10" r:id="rId9" xr:uid="{00000000-0004-0000-0000-000008000000}"/>
    <hyperlink ref="R11" r:id="rId10" xr:uid="{00000000-0004-0000-0000-000009000000}"/>
    <hyperlink ref="R12" r:id="rId11" xr:uid="{00000000-0004-0000-0000-00000A000000}"/>
    <hyperlink ref="R13" r:id="rId12" xr:uid="{00000000-0004-0000-0000-00000B000000}"/>
    <hyperlink ref="R14" r:id="rId13" xr:uid="{00000000-0004-0000-0000-00000C000000}"/>
    <hyperlink ref="R15" r:id="rId14" xr:uid="{00000000-0004-0000-0000-00000D000000}"/>
    <hyperlink ref="R16" r:id="rId15" xr:uid="{00000000-0004-0000-0000-00000E000000}"/>
    <hyperlink ref="R17" r:id="rId16" xr:uid="{00000000-0004-0000-0000-00000F000000}"/>
    <hyperlink ref="R18" r:id="rId17" xr:uid="{00000000-0004-0000-0000-000010000000}"/>
    <hyperlink ref="R19" r:id="rId18" xr:uid="{00000000-0004-0000-0000-000011000000}"/>
    <hyperlink ref="R20" r:id="rId19" xr:uid="{00000000-0004-0000-0000-000012000000}"/>
    <hyperlink ref="R21" r:id="rId20" xr:uid="{00000000-0004-0000-0000-000013000000}"/>
    <hyperlink ref="R22" r:id="rId21" xr:uid="{00000000-0004-0000-0000-000014000000}"/>
    <hyperlink ref="R23" r:id="rId22" xr:uid="{00000000-0004-0000-0000-000015000000}"/>
    <hyperlink ref="R24" r:id="rId23" xr:uid="{00000000-0004-0000-0000-000016000000}"/>
    <hyperlink ref="R25" r:id="rId24" xr:uid="{00000000-0004-0000-0000-000017000000}"/>
    <hyperlink ref="R26" r:id="rId25" xr:uid="{00000000-0004-0000-0000-000018000000}"/>
    <hyperlink ref="R27" r:id="rId26" xr:uid="{00000000-0004-0000-0000-000019000000}"/>
    <hyperlink ref="R28" r:id="rId27" xr:uid="{00000000-0004-0000-0000-00001A000000}"/>
    <hyperlink ref="R29" r:id="rId28" xr:uid="{00000000-0004-0000-0000-00001B000000}"/>
    <hyperlink ref="R30" r:id="rId29" xr:uid="{00000000-0004-0000-0000-00001C000000}"/>
    <hyperlink ref="R31" r:id="rId30" xr:uid="{00000000-0004-0000-0000-00001D000000}"/>
    <hyperlink ref="R32" r:id="rId31" xr:uid="{00000000-0004-0000-0000-00001E000000}"/>
    <hyperlink ref="R33" r:id="rId32" xr:uid="{00000000-0004-0000-0000-00001F000000}"/>
    <hyperlink ref="R34" r:id="rId33" xr:uid="{00000000-0004-0000-0000-000020000000}"/>
    <hyperlink ref="R35" r:id="rId34" xr:uid="{00000000-0004-0000-0000-000021000000}"/>
    <hyperlink ref="R36" r:id="rId35" xr:uid="{00000000-0004-0000-0000-000022000000}"/>
    <hyperlink ref="R37" r:id="rId36" xr:uid="{00000000-0004-0000-0000-000023000000}"/>
    <hyperlink ref="R38" r:id="rId37" xr:uid="{00000000-0004-0000-0000-000024000000}"/>
    <hyperlink ref="R39" r:id="rId38" xr:uid="{00000000-0004-0000-0000-000025000000}"/>
    <hyperlink ref="R40" r:id="rId39" xr:uid="{00000000-0004-0000-0000-000026000000}"/>
    <hyperlink ref="R41" r:id="rId40" xr:uid="{00000000-0004-0000-0000-000027000000}"/>
    <hyperlink ref="R42" r:id="rId41" xr:uid="{00000000-0004-0000-0000-000028000000}"/>
    <hyperlink ref="R43" r:id="rId42" xr:uid="{00000000-0004-0000-0000-000029000000}"/>
    <hyperlink ref="R44" r:id="rId43" xr:uid="{00000000-0004-0000-0000-00002A000000}"/>
    <hyperlink ref="R45" r:id="rId44" xr:uid="{00000000-0004-0000-0000-00002B000000}"/>
    <hyperlink ref="R46" r:id="rId45" xr:uid="{00000000-0004-0000-0000-00002C000000}"/>
    <hyperlink ref="R47" r:id="rId46" xr:uid="{00000000-0004-0000-0000-00002D000000}"/>
    <hyperlink ref="R48" r:id="rId47" xr:uid="{00000000-0004-0000-0000-00002E000000}"/>
    <hyperlink ref="R49" r:id="rId48" xr:uid="{00000000-0004-0000-0000-00002F000000}"/>
    <hyperlink ref="R50" r:id="rId49" xr:uid="{00000000-0004-0000-0000-000030000000}"/>
    <hyperlink ref="R51" r:id="rId50" xr:uid="{00000000-0004-0000-0000-000031000000}"/>
    <hyperlink ref="R52" r:id="rId51" xr:uid="{00000000-0004-0000-0000-000032000000}"/>
    <hyperlink ref="R53" r:id="rId52" xr:uid="{00000000-0004-0000-0000-000033000000}"/>
    <hyperlink ref="R54" r:id="rId53" xr:uid="{00000000-0004-0000-0000-000034000000}"/>
    <hyperlink ref="R55" r:id="rId54" xr:uid="{00000000-0004-0000-0000-000035000000}"/>
    <hyperlink ref="R56" r:id="rId55" xr:uid="{00000000-0004-0000-0000-000036000000}"/>
    <hyperlink ref="R57" r:id="rId56" xr:uid="{00000000-0004-0000-0000-000037000000}"/>
    <hyperlink ref="R58" r:id="rId57" xr:uid="{00000000-0004-0000-0000-000038000000}"/>
    <hyperlink ref="R59" r:id="rId58" xr:uid="{00000000-0004-0000-0000-000039000000}"/>
    <hyperlink ref="R60" r:id="rId59" xr:uid="{00000000-0004-0000-0000-00003A000000}"/>
    <hyperlink ref="R61" r:id="rId60" xr:uid="{00000000-0004-0000-0000-00003B000000}"/>
    <hyperlink ref="R62" r:id="rId61" xr:uid="{00000000-0004-0000-0000-00003C000000}"/>
    <hyperlink ref="R63" r:id="rId62" xr:uid="{00000000-0004-0000-0000-00003D000000}"/>
    <hyperlink ref="R64" r:id="rId63" xr:uid="{00000000-0004-0000-0000-00003E000000}"/>
    <hyperlink ref="R65" r:id="rId64" xr:uid="{00000000-0004-0000-0000-00003F000000}"/>
    <hyperlink ref="R66" r:id="rId65" xr:uid="{00000000-0004-0000-0000-000040000000}"/>
    <hyperlink ref="R67" r:id="rId66" xr:uid="{00000000-0004-0000-0000-000041000000}"/>
    <hyperlink ref="R68" r:id="rId67" xr:uid="{00000000-0004-0000-0000-000042000000}"/>
    <hyperlink ref="R69" r:id="rId68" xr:uid="{00000000-0004-0000-0000-000043000000}"/>
    <hyperlink ref="R70" r:id="rId69" xr:uid="{00000000-0004-0000-0000-000044000000}"/>
    <hyperlink ref="R71" r:id="rId70" xr:uid="{00000000-0004-0000-0000-000045000000}"/>
    <hyperlink ref="R72" r:id="rId71" xr:uid="{00000000-0004-0000-0000-000046000000}"/>
    <hyperlink ref="R73" r:id="rId72" xr:uid="{00000000-0004-0000-0000-000047000000}"/>
    <hyperlink ref="R74" r:id="rId73" xr:uid="{00000000-0004-0000-0000-000048000000}"/>
    <hyperlink ref="R75" r:id="rId74" xr:uid="{00000000-0004-0000-0000-000049000000}"/>
    <hyperlink ref="R76" r:id="rId75" xr:uid="{00000000-0004-0000-0000-00004A000000}"/>
    <hyperlink ref="R77" r:id="rId76" xr:uid="{00000000-0004-0000-0000-00004B000000}"/>
    <hyperlink ref="R78" r:id="rId77" xr:uid="{00000000-0004-0000-0000-00004C000000}"/>
    <hyperlink ref="R79" r:id="rId78" xr:uid="{00000000-0004-0000-0000-00004D000000}"/>
    <hyperlink ref="R80" r:id="rId79" xr:uid="{00000000-0004-0000-0000-00004E000000}"/>
    <hyperlink ref="R81" r:id="rId80" xr:uid="{00000000-0004-0000-0000-00004F000000}"/>
    <hyperlink ref="R82" r:id="rId81" xr:uid="{00000000-0004-0000-0000-000050000000}"/>
    <hyperlink ref="R83" r:id="rId82" xr:uid="{00000000-0004-0000-0000-000051000000}"/>
    <hyperlink ref="R84" r:id="rId83" xr:uid="{00000000-0004-0000-0000-000052000000}"/>
    <hyperlink ref="R85" r:id="rId84" xr:uid="{00000000-0004-0000-0000-000053000000}"/>
    <hyperlink ref="R86" r:id="rId85" xr:uid="{00000000-0004-0000-0000-000054000000}"/>
  </hyperlinks>
  <pageMargins left="0.7" right="0.7" top="0.75" bottom="0.75" header="0.3" footer="0.3"/>
  <headerFooter>
    <oddHeader>&amp;C&amp;"Calibri"&amp;12&amp;KFF0000 OFFICIAL&amp;1#_x000D_</oddHeader>
  </headerFooter>
  <tableParts count="1">
    <tablePart r:id="rId86"/>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14"/>
  <sheetViews>
    <sheetView workbookViewId="0">
      <selection activeCell="G110" sqref="G110"/>
    </sheetView>
  </sheetViews>
  <sheetFormatPr defaultColWidth="24.42578125" defaultRowHeight="15" x14ac:dyDescent="0.25"/>
  <cols>
    <col min="1" max="1" width="33.85546875" style="1" customWidth="1"/>
    <col min="2" max="2" width="24.42578125" style="1"/>
    <col min="3" max="3" width="28.85546875" style="1" customWidth="1"/>
    <col min="4" max="4" width="12.85546875" style="2" customWidth="1"/>
    <col min="5" max="5" width="0" style="2" hidden="1" customWidth="1"/>
    <col min="6" max="6" width="16.85546875" style="2" customWidth="1"/>
    <col min="7" max="7" width="11.7109375" style="3" customWidth="1"/>
    <col min="8" max="8" width="12.42578125" style="3" customWidth="1"/>
    <col min="9" max="9" width="14.28515625" style="3" customWidth="1"/>
    <col min="10" max="12" width="0" style="2" hidden="1" customWidth="1"/>
    <col min="13" max="13" width="24.42578125" style="2"/>
    <col min="14" max="14" width="16.140625" style="2" customWidth="1"/>
    <col min="15" max="15" width="38" style="1" customWidth="1"/>
    <col min="16" max="16" width="0" style="2" hidden="1" customWidth="1"/>
    <col min="17" max="17" width="24.42578125" style="2"/>
    <col min="18" max="18" width="34.42578125" style="2" customWidth="1"/>
    <col min="19" max="16384" width="24.4257812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90" x14ac:dyDescent="0.25">
      <c r="A2" s="1" t="s">
        <v>2001</v>
      </c>
      <c r="B2" s="1" t="s">
        <v>2002</v>
      </c>
      <c r="C2" s="1" t="s">
        <v>102</v>
      </c>
      <c r="D2" s="2" t="str">
        <f>"1473-0480"</f>
        <v>1473-0480</v>
      </c>
      <c r="F2" s="2" t="str">
        <f>"2018 Jan"</f>
        <v>2018 Jan</v>
      </c>
      <c r="G2" s="3">
        <v>52</v>
      </c>
      <c r="H2" s="3">
        <v>1</v>
      </c>
      <c r="I2" s="3">
        <v>8</v>
      </c>
      <c r="K2" s="2">
        <v>28954799</v>
      </c>
      <c r="L2" s="2" t="s">
        <v>2003</v>
      </c>
      <c r="M2" s="2" t="s">
        <v>106</v>
      </c>
      <c r="N2" s="2" t="s">
        <v>21</v>
      </c>
      <c r="O2" s="1" t="s">
        <v>2004</v>
      </c>
      <c r="Q2" s="2" t="s">
        <v>2005</v>
      </c>
      <c r="R2" s="6" t="s">
        <v>2006</v>
      </c>
    </row>
    <row r="3" spans="1:18" ht="75" x14ac:dyDescent="0.25">
      <c r="A3" s="1" t="s">
        <v>2007</v>
      </c>
      <c r="B3" s="1" t="s">
        <v>2008</v>
      </c>
      <c r="C3" s="1" t="s">
        <v>2009</v>
      </c>
      <c r="D3" s="2" t="str">
        <f>"1326-5377"</f>
        <v>1326-5377</v>
      </c>
      <c r="F3" s="2" t="str">
        <f>"2018 Apr 02"</f>
        <v>2018 Apr 02</v>
      </c>
      <c r="G3" s="3">
        <v>208</v>
      </c>
      <c r="H3" s="3">
        <v>6</v>
      </c>
      <c r="I3" s="3">
        <v>246</v>
      </c>
      <c r="K3" s="2">
        <v>29614933</v>
      </c>
      <c r="L3" s="2" t="s">
        <v>2010</v>
      </c>
      <c r="M3" s="2" t="s">
        <v>2011</v>
      </c>
      <c r="N3" s="2" t="s">
        <v>21</v>
      </c>
      <c r="O3" s="1" t="s">
        <v>2012</v>
      </c>
      <c r="R3" s="6" t="s">
        <v>2013</v>
      </c>
    </row>
    <row r="4" spans="1:18" ht="75" x14ac:dyDescent="0.25">
      <c r="A4" s="1" t="s">
        <v>2014</v>
      </c>
      <c r="B4" s="1" t="s">
        <v>2015</v>
      </c>
      <c r="C4" s="1" t="s">
        <v>444</v>
      </c>
      <c r="D4" s="2" t="str">
        <f>"1179-2035"</f>
        <v>1179-2035</v>
      </c>
      <c r="F4" s="2" t="str">
        <f>"2018 Sep"</f>
        <v>2018 Sep</v>
      </c>
      <c r="G4" s="3">
        <v>48</v>
      </c>
      <c r="H4" s="3">
        <v>9</v>
      </c>
      <c r="I4" s="3">
        <v>2199</v>
      </c>
      <c r="K4" s="2">
        <v>29500797</v>
      </c>
      <c r="L4" s="2" t="s">
        <v>2016</v>
      </c>
      <c r="M4" s="2" t="s">
        <v>446</v>
      </c>
      <c r="N4" s="2" t="s">
        <v>21</v>
      </c>
      <c r="O4" s="1" t="s">
        <v>2017</v>
      </c>
      <c r="Q4" s="2" t="s">
        <v>2018</v>
      </c>
      <c r="R4" s="6" t="s">
        <v>2019</v>
      </c>
    </row>
    <row r="5" spans="1:18" ht="75" x14ac:dyDescent="0.25">
      <c r="A5" s="1" t="s">
        <v>2020</v>
      </c>
      <c r="B5" s="1" t="s">
        <v>2021</v>
      </c>
      <c r="C5" s="1" t="s">
        <v>36</v>
      </c>
      <c r="D5" s="2" t="str">
        <f>"1543-2742"</f>
        <v>1543-2742</v>
      </c>
      <c r="F5" s="2" t="str">
        <f>"2018 Mar 01"</f>
        <v>2018 Mar 01</v>
      </c>
      <c r="G5" s="3">
        <v>28</v>
      </c>
      <c r="H5" s="3">
        <v>2</v>
      </c>
      <c r="I5" s="3">
        <v>139</v>
      </c>
      <c r="K5" s="2">
        <v>29252049</v>
      </c>
      <c r="L5" s="2" t="s">
        <v>2022</v>
      </c>
      <c r="M5" s="2" t="s">
        <v>40</v>
      </c>
      <c r="N5" s="2" t="s">
        <v>21</v>
      </c>
      <c r="O5" s="1" t="s">
        <v>2023</v>
      </c>
      <c r="Q5" s="2" t="s">
        <v>2024</v>
      </c>
      <c r="R5" s="6" t="s">
        <v>2025</v>
      </c>
    </row>
    <row r="6" spans="1:18" ht="90" x14ac:dyDescent="0.25">
      <c r="A6" s="1" t="s">
        <v>2026</v>
      </c>
      <c r="B6" s="1" t="s">
        <v>2027</v>
      </c>
      <c r="C6" s="1" t="s">
        <v>2028</v>
      </c>
      <c r="D6" s="2" t="str">
        <f>"1525-6073"</f>
        <v>1525-6073</v>
      </c>
      <c r="F6" s="2" t="str">
        <f>"2018 Jun"</f>
        <v>2018 Jun</v>
      </c>
      <c r="G6" s="3">
        <v>35</v>
      </c>
      <c r="H6" s="3">
        <v>6</v>
      </c>
      <c r="I6" s="3">
        <v>869</v>
      </c>
      <c r="K6" s="2">
        <v>29842816</v>
      </c>
      <c r="L6" s="2" t="s">
        <v>2029</v>
      </c>
      <c r="M6" s="2" t="s">
        <v>1143</v>
      </c>
      <c r="N6" s="2" t="s">
        <v>21</v>
      </c>
      <c r="O6" s="1" t="s">
        <v>2030</v>
      </c>
      <c r="Q6" s="2" t="s">
        <v>2031</v>
      </c>
      <c r="R6" s="6" t="s">
        <v>2032</v>
      </c>
    </row>
    <row r="7" spans="1:18" ht="60" x14ac:dyDescent="0.25">
      <c r="A7" s="1" t="s">
        <v>2033</v>
      </c>
      <c r="B7" s="1" t="s">
        <v>2034</v>
      </c>
      <c r="C7" s="1" t="s">
        <v>2035</v>
      </c>
      <c r="D7" s="2" t="str">
        <f>"1879-0534"</f>
        <v>1879-0534</v>
      </c>
      <c r="F7" s="2" t="str">
        <f>"2018 Oct 01"</f>
        <v>2018 Oct 01</v>
      </c>
      <c r="G7" s="3">
        <v>101</v>
      </c>
      <c r="I7" s="3">
        <v>112</v>
      </c>
      <c r="K7" s="2">
        <v>30125785</v>
      </c>
      <c r="L7" s="2" t="s">
        <v>2036</v>
      </c>
      <c r="M7" s="2" t="s">
        <v>1835</v>
      </c>
      <c r="N7" s="2" t="s">
        <v>646</v>
      </c>
      <c r="O7" s="1" t="s">
        <v>2037</v>
      </c>
      <c r="Q7" s="2" t="s">
        <v>2038</v>
      </c>
      <c r="R7" s="6" t="s">
        <v>2039</v>
      </c>
    </row>
    <row r="8" spans="1:18" ht="75" x14ac:dyDescent="0.25">
      <c r="A8" s="1" t="s">
        <v>2040</v>
      </c>
      <c r="B8" s="1" t="s">
        <v>2041</v>
      </c>
      <c r="C8" s="1" t="s">
        <v>133</v>
      </c>
      <c r="D8" s="2" t="str">
        <f>"1536-7290"</f>
        <v>1536-7290</v>
      </c>
      <c r="F8" s="2" t="str">
        <f>"2018 May"</f>
        <v>2018 May</v>
      </c>
      <c r="G8" s="3">
        <v>18</v>
      </c>
      <c r="H8" s="3">
        <v>4</v>
      </c>
      <c r="I8" s="3">
        <v>513</v>
      </c>
      <c r="K8" s="2">
        <v>29431593</v>
      </c>
      <c r="L8" s="2" t="s">
        <v>2042</v>
      </c>
      <c r="M8" s="2" t="s">
        <v>500</v>
      </c>
      <c r="N8" s="2" t="s">
        <v>21</v>
      </c>
      <c r="O8" s="1" t="s">
        <v>2043</v>
      </c>
      <c r="Q8" s="2" t="s">
        <v>2044</v>
      </c>
      <c r="R8" s="6" t="s">
        <v>2045</v>
      </c>
    </row>
    <row r="9" spans="1:18" ht="60" x14ac:dyDescent="0.25">
      <c r="A9" s="1" t="s">
        <v>2046</v>
      </c>
      <c r="B9" s="1" t="s">
        <v>2047</v>
      </c>
      <c r="C9" s="1" t="s">
        <v>839</v>
      </c>
      <c r="D9" s="2" t="str">
        <f>"1664-042X"</f>
        <v>1664-042X</v>
      </c>
      <c r="F9" s="2" t="str">
        <f>"2018 Apr 24"</f>
        <v>2018 Apr 24</v>
      </c>
      <c r="G9" s="3">
        <v>9</v>
      </c>
      <c r="I9" s="3">
        <v>436</v>
      </c>
      <c r="K9" s="2">
        <v>29740346</v>
      </c>
      <c r="L9" s="2" t="s">
        <v>2048</v>
      </c>
      <c r="M9" s="2" t="s">
        <v>640</v>
      </c>
      <c r="N9" s="2" t="s">
        <v>21</v>
      </c>
      <c r="R9" s="6" t="s">
        <v>2049</v>
      </c>
    </row>
    <row r="10" spans="1:18" ht="90" x14ac:dyDescent="0.25">
      <c r="A10" s="1" t="s">
        <v>2050</v>
      </c>
      <c r="B10" s="1" t="s">
        <v>2051</v>
      </c>
      <c r="C10" s="1" t="s">
        <v>2052</v>
      </c>
      <c r="D10" s="2" t="str">
        <f>"1545-1534"</f>
        <v>1545-1534</v>
      </c>
      <c r="F10" s="2" t="str">
        <f>"2018 Dec"</f>
        <v>2018 Dec</v>
      </c>
      <c r="G10" s="3">
        <v>29</v>
      </c>
      <c r="H10" s="3">
        <v>4</v>
      </c>
      <c r="I10" s="3">
        <v>508</v>
      </c>
      <c r="K10" s="2">
        <v>30249353</v>
      </c>
      <c r="L10" s="2" t="s">
        <v>2053</v>
      </c>
      <c r="M10" s="2" t="s">
        <v>1835</v>
      </c>
      <c r="N10" s="2" t="s">
        <v>2054</v>
      </c>
      <c r="O10" s="1" t="s">
        <v>2055</v>
      </c>
      <c r="Q10" s="2" t="s">
        <v>2056</v>
      </c>
      <c r="R10" s="6" t="s">
        <v>2057</v>
      </c>
    </row>
    <row r="11" spans="1:18" ht="120" x14ac:dyDescent="0.25">
      <c r="A11" s="1" t="s">
        <v>2058</v>
      </c>
      <c r="B11" s="1" t="s">
        <v>2059</v>
      </c>
      <c r="C11" s="1" t="s">
        <v>181</v>
      </c>
      <c r="D11" s="2" t="str">
        <f>"2072-6643"</f>
        <v>2072-6643</v>
      </c>
      <c r="F11" s="2" t="str">
        <f>"2018 Feb 18"</f>
        <v>2018 Feb 18</v>
      </c>
      <c r="G11" s="3">
        <v>10</v>
      </c>
      <c r="H11" s="3">
        <v>2</v>
      </c>
      <c r="K11" s="2">
        <v>29463034</v>
      </c>
      <c r="L11" s="2" t="s">
        <v>2060</v>
      </c>
      <c r="M11" s="2" t="s">
        <v>185</v>
      </c>
      <c r="N11" s="2" t="s">
        <v>2061</v>
      </c>
      <c r="O11" s="1" t="s">
        <v>2062</v>
      </c>
      <c r="Q11" s="2" t="s">
        <v>2063</v>
      </c>
      <c r="R11" s="6" t="s">
        <v>2064</v>
      </c>
    </row>
    <row r="12" spans="1:18" ht="60" x14ac:dyDescent="0.25">
      <c r="A12" s="1" t="s">
        <v>2065</v>
      </c>
      <c r="B12" s="1" t="s">
        <v>2066</v>
      </c>
      <c r="C12" s="1" t="s">
        <v>2067</v>
      </c>
      <c r="D12" s="2" t="str">
        <f>"2292-9495"</f>
        <v>2292-9495</v>
      </c>
      <c r="F12" s="2" t="str">
        <f>"2018 Oct 09"</f>
        <v>2018 Oct 09</v>
      </c>
      <c r="G12" s="3">
        <v>5</v>
      </c>
      <c r="H12" s="3">
        <v>4</v>
      </c>
      <c r="I12" s="3" t="s">
        <v>2068</v>
      </c>
      <c r="K12" s="2">
        <v>30305257</v>
      </c>
      <c r="L12" s="2" t="s">
        <v>2069</v>
      </c>
      <c r="M12" s="2" t="s">
        <v>2070</v>
      </c>
      <c r="N12" s="2" t="s">
        <v>21</v>
      </c>
      <c r="Q12" s="2" t="s">
        <v>2071</v>
      </c>
      <c r="R12" s="6" t="s">
        <v>2072</v>
      </c>
    </row>
    <row r="13" spans="1:18" ht="90" x14ac:dyDescent="0.25">
      <c r="A13" s="1" t="s">
        <v>2073</v>
      </c>
      <c r="B13" s="1" t="s">
        <v>2074</v>
      </c>
      <c r="C13" s="1" t="s">
        <v>466</v>
      </c>
      <c r="D13" s="2" t="str">
        <f>"1533-4287"</f>
        <v>1533-4287</v>
      </c>
      <c r="F13" s="2" t="str">
        <f>"2018 Jun"</f>
        <v>2018 Jun</v>
      </c>
      <c r="G13" s="3">
        <v>32</v>
      </c>
      <c r="H13" s="3">
        <v>6</v>
      </c>
      <c r="I13" s="3">
        <v>1762</v>
      </c>
      <c r="K13" s="2">
        <v>29786631</v>
      </c>
      <c r="L13" s="2" t="s">
        <v>2075</v>
      </c>
      <c r="M13" s="2" t="s">
        <v>468</v>
      </c>
      <c r="N13" s="2" t="s">
        <v>21</v>
      </c>
      <c r="O13" s="1" t="s">
        <v>2076</v>
      </c>
      <c r="Q13" s="2" t="s">
        <v>2077</v>
      </c>
      <c r="R13" s="6" t="s">
        <v>2078</v>
      </c>
    </row>
    <row r="14" spans="1:18" ht="75" x14ac:dyDescent="0.25">
      <c r="A14" s="1" t="s">
        <v>2079</v>
      </c>
      <c r="B14" s="1" t="s">
        <v>2080</v>
      </c>
      <c r="C14" s="1" t="s">
        <v>1967</v>
      </c>
      <c r="D14" s="2" t="str">
        <f>"2288-176X"</f>
        <v>2288-176X</v>
      </c>
      <c r="F14" s="2" t="str">
        <f>"2018 Apr 26"</f>
        <v>2018 Apr 26</v>
      </c>
      <c r="G14" s="3">
        <v>14</v>
      </c>
      <c r="H14" s="3">
        <v>2</v>
      </c>
      <c r="I14" s="3">
        <v>244</v>
      </c>
      <c r="K14" s="2">
        <v>29740559</v>
      </c>
      <c r="L14" s="2" t="s">
        <v>2081</v>
      </c>
      <c r="M14" s="2" t="s">
        <v>1969</v>
      </c>
      <c r="N14" s="2" t="s">
        <v>21</v>
      </c>
      <c r="Q14" s="2" t="s">
        <v>2082</v>
      </c>
      <c r="R14" s="6" t="s">
        <v>2083</v>
      </c>
    </row>
    <row r="15" spans="1:18" ht="90" x14ac:dyDescent="0.25">
      <c r="A15" s="1" t="s">
        <v>2084</v>
      </c>
      <c r="B15" s="1" t="s">
        <v>2085</v>
      </c>
      <c r="C15" s="1" t="s">
        <v>133</v>
      </c>
      <c r="D15" s="2" t="str">
        <f>"1536-7290"</f>
        <v>1536-7290</v>
      </c>
      <c r="F15" s="2" t="str">
        <f>"2018 Apr"</f>
        <v>2018 Apr</v>
      </c>
      <c r="G15" s="3">
        <v>18</v>
      </c>
      <c r="H15" s="3">
        <v>3</v>
      </c>
      <c r="I15" s="3">
        <v>315</v>
      </c>
      <c r="K15" s="2">
        <v>29239696</v>
      </c>
      <c r="L15" s="2" t="s">
        <v>2086</v>
      </c>
      <c r="M15" s="2" t="s">
        <v>500</v>
      </c>
      <c r="N15" s="2" t="s">
        <v>21</v>
      </c>
      <c r="O15" s="1" t="s">
        <v>2087</v>
      </c>
      <c r="Q15" s="2" t="s">
        <v>2088</v>
      </c>
      <c r="R15" s="6" t="s">
        <v>2089</v>
      </c>
    </row>
    <row r="16" spans="1:18" ht="90" x14ac:dyDescent="0.25">
      <c r="A16" s="1" t="s">
        <v>2090</v>
      </c>
      <c r="B16" s="1" t="s">
        <v>2091</v>
      </c>
      <c r="C16" s="1" t="s">
        <v>46</v>
      </c>
      <c r="D16" s="2" t="str">
        <f>"1439-6327"</f>
        <v>1439-6327</v>
      </c>
      <c r="F16" s="2" t="str">
        <f>"2018 Oct"</f>
        <v>2018 Oct</v>
      </c>
      <c r="G16" s="3">
        <v>118</v>
      </c>
      <c r="H16" s="3">
        <v>10</v>
      </c>
      <c r="I16" s="3">
        <v>2171</v>
      </c>
      <c r="K16" s="2">
        <v>30043183</v>
      </c>
      <c r="L16" s="2" t="s">
        <v>2092</v>
      </c>
      <c r="M16" s="2" t="s">
        <v>50</v>
      </c>
      <c r="N16" s="2" t="s">
        <v>21</v>
      </c>
      <c r="O16" s="1" t="s">
        <v>2093</v>
      </c>
      <c r="Q16" s="2" t="s">
        <v>2094</v>
      </c>
      <c r="R16" s="6" t="s">
        <v>2095</v>
      </c>
    </row>
    <row r="17" spans="1:18" ht="75" x14ac:dyDescent="0.25">
      <c r="A17" s="1" t="s">
        <v>2096</v>
      </c>
      <c r="B17" s="1" t="s">
        <v>2097</v>
      </c>
      <c r="C17" s="1" t="s">
        <v>921</v>
      </c>
      <c r="D17" s="2" t="str">
        <f>"1466-447X"</f>
        <v>1466-447X</v>
      </c>
      <c r="F17" s="2" t="str">
        <f>"2018 Jan"</f>
        <v>2018 Jan</v>
      </c>
      <c r="G17" s="3">
        <v>36</v>
      </c>
      <c r="H17" s="3">
        <v>1</v>
      </c>
      <c r="I17" s="3">
        <v>7</v>
      </c>
      <c r="K17" s="2">
        <v>28054499</v>
      </c>
      <c r="L17" s="2" t="s">
        <v>2098</v>
      </c>
      <c r="M17" s="2" t="s">
        <v>923</v>
      </c>
      <c r="N17" s="2" t="s">
        <v>21</v>
      </c>
      <c r="O17" s="1" t="s">
        <v>2099</v>
      </c>
      <c r="Q17" s="2" t="s">
        <v>2100</v>
      </c>
      <c r="R17" s="6" t="s">
        <v>2101</v>
      </c>
    </row>
    <row r="18" spans="1:18" ht="90" x14ac:dyDescent="0.25">
      <c r="A18" s="1" t="s">
        <v>2102</v>
      </c>
      <c r="B18" s="1" t="s">
        <v>2103</v>
      </c>
      <c r="C18" s="1" t="s">
        <v>2028</v>
      </c>
      <c r="D18" s="2" t="str">
        <f>"1525-6073"</f>
        <v>1525-6073</v>
      </c>
      <c r="F18" s="2" t="str">
        <f>"2018 Jun"</f>
        <v>2018 Jun</v>
      </c>
      <c r="G18" s="3">
        <v>35</v>
      </c>
      <c r="H18" s="3">
        <v>6</v>
      </c>
      <c r="I18" s="3">
        <v>865</v>
      </c>
      <c r="K18" s="2">
        <v>30024323</v>
      </c>
      <c r="L18" s="2" t="s">
        <v>2104</v>
      </c>
      <c r="M18" s="2" t="s">
        <v>1143</v>
      </c>
      <c r="N18" s="2" t="s">
        <v>21</v>
      </c>
      <c r="O18" s="1" t="s">
        <v>2105</v>
      </c>
      <c r="Q18" s="2" t="s">
        <v>2106</v>
      </c>
      <c r="R18" s="6" t="s">
        <v>2107</v>
      </c>
    </row>
    <row r="19" spans="1:18" ht="60" x14ac:dyDescent="0.25">
      <c r="A19" s="1" t="s">
        <v>2108</v>
      </c>
      <c r="B19" s="1" t="s">
        <v>2109</v>
      </c>
      <c r="C19" s="1" t="s">
        <v>2110</v>
      </c>
      <c r="D19" s="2" t="str">
        <f>"1984-0659"</f>
        <v>1984-0659</v>
      </c>
      <c r="F19" s="2" t="str">
        <f>"2018 Jan-Feb"</f>
        <v>2018 Jan-Feb</v>
      </c>
      <c r="G19" s="3">
        <v>11</v>
      </c>
      <c r="H19" s="3">
        <v>1</v>
      </c>
      <c r="I19" s="3">
        <v>37</v>
      </c>
      <c r="K19" s="2">
        <v>29796200</v>
      </c>
      <c r="L19" s="2" t="s">
        <v>2111</v>
      </c>
      <c r="M19" s="2" t="s">
        <v>2112</v>
      </c>
      <c r="N19" s="2" t="s">
        <v>21</v>
      </c>
      <c r="Q19" s="2" t="s">
        <v>2113</v>
      </c>
      <c r="R19" s="6" t="s">
        <v>2114</v>
      </c>
    </row>
    <row r="20" spans="1:18" ht="45" x14ac:dyDescent="0.25">
      <c r="A20" s="1" t="s">
        <v>2115</v>
      </c>
      <c r="B20" s="1" t="s">
        <v>2116</v>
      </c>
      <c r="C20" s="1" t="s">
        <v>2117</v>
      </c>
      <c r="D20" s="2" t="str">
        <f>"1754-9485"</f>
        <v>1754-9485</v>
      </c>
      <c r="F20" s="2" t="str">
        <f>"2018 Apr"</f>
        <v>2018 Apr</v>
      </c>
      <c r="G20" s="3">
        <v>62</v>
      </c>
      <c r="H20" s="3">
        <v>2</v>
      </c>
      <c r="I20" s="3">
        <v>159</v>
      </c>
      <c r="K20" s="2">
        <v>29399975</v>
      </c>
      <c r="L20" s="2" t="s">
        <v>2118</v>
      </c>
      <c r="M20" s="2" t="s">
        <v>2119</v>
      </c>
      <c r="N20" s="2" t="s">
        <v>21</v>
      </c>
      <c r="O20" s="1" t="s">
        <v>2120</v>
      </c>
      <c r="Q20" s="2" t="s">
        <v>2121</v>
      </c>
      <c r="R20" s="6" t="s">
        <v>2122</v>
      </c>
    </row>
    <row r="21" spans="1:18" ht="180" x14ac:dyDescent="0.25">
      <c r="A21" s="1" t="s">
        <v>2123</v>
      </c>
      <c r="B21" s="1" t="s">
        <v>2124</v>
      </c>
      <c r="C21" s="1" t="s">
        <v>921</v>
      </c>
      <c r="D21" s="2" t="str">
        <f>"1466-447X"</f>
        <v>1466-447X</v>
      </c>
      <c r="F21" s="2" t="str">
        <f>"2018 Jun"</f>
        <v>2018 Jun</v>
      </c>
      <c r="G21" s="3">
        <v>36</v>
      </c>
      <c r="H21" s="3">
        <v>11</v>
      </c>
      <c r="I21" s="3">
        <v>1204</v>
      </c>
      <c r="K21" s="2">
        <v>28783446</v>
      </c>
      <c r="L21" s="2" t="s">
        <v>2125</v>
      </c>
      <c r="M21" s="2" t="s">
        <v>923</v>
      </c>
      <c r="N21" s="2" t="s">
        <v>21</v>
      </c>
      <c r="O21" s="1" t="s">
        <v>2126</v>
      </c>
      <c r="Q21" s="2" t="s">
        <v>2127</v>
      </c>
      <c r="R21" s="6" t="s">
        <v>2128</v>
      </c>
    </row>
    <row r="22" spans="1:18" ht="45" x14ac:dyDescent="0.25">
      <c r="A22" s="1" t="s">
        <v>2129</v>
      </c>
      <c r="B22" s="1" t="s">
        <v>2130</v>
      </c>
      <c r="C22" s="1" t="s">
        <v>839</v>
      </c>
      <c r="D22" s="2" t="str">
        <f>"1664-042X"</f>
        <v>1664-042X</v>
      </c>
      <c r="F22" s="2" t="str">
        <f>"2018 Jul 30"</f>
        <v>2018 Jul 30</v>
      </c>
      <c r="G22" s="3">
        <v>9</v>
      </c>
      <c r="I22" s="3">
        <v>1010</v>
      </c>
      <c r="K22" s="2">
        <v>30104984</v>
      </c>
      <c r="L22" s="2" t="s">
        <v>2131</v>
      </c>
      <c r="M22" s="2" t="s">
        <v>640</v>
      </c>
      <c r="N22" s="2" t="s">
        <v>21</v>
      </c>
      <c r="Q22" s="2" t="s">
        <v>2132</v>
      </c>
      <c r="R22" s="6" t="s">
        <v>2133</v>
      </c>
    </row>
    <row r="23" spans="1:18" ht="105" x14ac:dyDescent="0.25">
      <c r="A23" s="1" t="s">
        <v>2134</v>
      </c>
      <c r="B23" s="1" t="s">
        <v>2135</v>
      </c>
      <c r="C23" s="1" t="s">
        <v>921</v>
      </c>
      <c r="D23" s="2" t="str">
        <f>"1466-447X"</f>
        <v>1466-447X</v>
      </c>
      <c r="F23" s="2" t="str">
        <f>"2018 Mar"</f>
        <v>2018 Mar</v>
      </c>
      <c r="G23" s="3">
        <v>36</v>
      </c>
      <c r="H23" s="3">
        <v>6</v>
      </c>
      <c r="I23" s="3">
        <v>651</v>
      </c>
      <c r="K23" s="2">
        <v>28532284</v>
      </c>
      <c r="L23" s="2" t="s">
        <v>2136</v>
      </c>
      <c r="M23" s="2" t="s">
        <v>923</v>
      </c>
      <c r="N23" s="2" t="s">
        <v>21</v>
      </c>
      <c r="O23" s="1" t="s">
        <v>2137</v>
      </c>
      <c r="Q23" s="2" t="s">
        <v>2138</v>
      </c>
      <c r="R23" s="6" t="s">
        <v>2139</v>
      </c>
    </row>
    <row r="24" spans="1:18" ht="60" x14ac:dyDescent="0.25">
      <c r="A24" s="1" t="s">
        <v>2140</v>
      </c>
      <c r="B24" s="1" t="s">
        <v>2141</v>
      </c>
      <c r="C24" s="1" t="s">
        <v>921</v>
      </c>
      <c r="D24" s="2" t="str">
        <f>"1466-447X"</f>
        <v>1466-447X</v>
      </c>
      <c r="F24" s="2" t="str">
        <f>"2018 Jul"</f>
        <v>2018 Jul</v>
      </c>
      <c r="G24" s="3">
        <v>36</v>
      </c>
      <c r="H24" s="3">
        <v>13</v>
      </c>
      <c r="I24" s="3">
        <v>1492</v>
      </c>
      <c r="K24" s="2">
        <v>29087784</v>
      </c>
      <c r="L24" s="2" t="s">
        <v>2142</v>
      </c>
      <c r="M24" s="2" t="s">
        <v>923</v>
      </c>
      <c r="N24" s="2" t="s">
        <v>21</v>
      </c>
      <c r="O24" s="1" t="s">
        <v>2143</v>
      </c>
      <c r="Q24" s="2" t="s">
        <v>2144</v>
      </c>
      <c r="R24" s="6" t="s">
        <v>2145</v>
      </c>
    </row>
    <row r="25" spans="1:18" ht="60" x14ac:dyDescent="0.25">
      <c r="A25" s="1" t="s">
        <v>2146</v>
      </c>
      <c r="B25" s="1" t="s">
        <v>2147</v>
      </c>
      <c r="C25" s="1" t="s">
        <v>102</v>
      </c>
      <c r="D25" s="2" t="str">
        <f>"1473-0480"</f>
        <v>1473-0480</v>
      </c>
      <c r="F25" s="2" t="str">
        <f>"2018 Oct"</f>
        <v>2018 Oct</v>
      </c>
      <c r="G25" s="3">
        <v>52</v>
      </c>
      <c r="H25" s="3">
        <v>19</v>
      </c>
      <c r="I25" s="3">
        <v>1227</v>
      </c>
      <c r="K25" s="2">
        <v>29950297</v>
      </c>
      <c r="L25" s="2" t="s">
        <v>2148</v>
      </c>
      <c r="M25" s="2" t="s">
        <v>106</v>
      </c>
      <c r="N25" s="2" t="s">
        <v>633</v>
      </c>
      <c r="O25" s="1" t="s">
        <v>2149</v>
      </c>
      <c r="Q25" s="2" t="s">
        <v>807</v>
      </c>
      <c r="R25" s="6" t="s">
        <v>2150</v>
      </c>
    </row>
    <row r="26" spans="1:18" ht="120" x14ac:dyDescent="0.25">
      <c r="A26" s="1" t="s">
        <v>2151</v>
      </c>
      <c r="B26" s="1" t="s">
        <v>2152</v>
      </c>
      <c r="C26" s="1" t="s">
        <v>46</v>
      </c>
      <c r="D26" s="2" t="str">
        <f>"1439-6327"</f>
        <v>1439-6327</v>
      </c>
      <c r="F26" s="2" t="str">
        <f>"2018 Mar"</f>
        <v>2018 Mar</v>
      </c>
      <c r="G26" s="3">
        <v>118</v>
      </c>
      <c r="H26" s="3">
        <v>3</v>
      </c>
      <c r="I26" s="3">
        <v>657</v>
      </c>
      <c r="K26" s="2">
        <v>29356948</v>
      </c>
      <c r="L26" s="2" t="s">
        <v>2153</v>
      </c>
      <c r="M26" s="2" t="s">
        <v>50</v>
      </c>
      <c r="N26" s="2" t="s">
        <v>21</v>
      </c>
      <c r="O26" s="1" t="s">
        <v>2154</v>
      </c>
      <c r="Q26" s="2" t="s">
        <v>2155</v>
      </c>
      <c r="R26" s="6" t="s">
        <v>2156</v>
      </c>
    </row>
    <row r="27" spans="1:18" ht="135" x14ac:dyDescent="0.25">
      <c r="A27" s="1" t="s">
        <v>2157</v>
      </c>
      <c r="B27" s="1" t="s">
        <v>2158</v>
      </c>
      <c r="C27" s="1" t="s">
        <v>789</v>
      </c>
      <c r="D27" s="2" t="str">
        <f>"1469-7793"</f>
        <v>1469-7793</v>
      </c>
      <c r="F27" s="2" t="str">
        <f>"2018 Jun"</f>
        <v>2018 Jun</v>
      </c>
      <c r="G27" s="3">
        <v>596</v>
      </c>
      <c r="H27" s="3">
        <v>11</v>
      </c>
      <c r="I27" s="3">
        <v>2091</v>
      </c>
      <c r="K27" s="2">
        <v>29532476</v>
      </c>
      <c r="L27" s="2" t="s">
        <v>2159</v>
      </c>
      <c r="M27" s="2" t="s">
        <v>791</v>
      </c>
      <c r="N27" s="2" t="s">
        <v>21</v>
      </c>
      <c r="O27" s="1" t="s">
        <v>2160</v>
      </c>
      <c r="Q27" s="2" t="s">
        <v>2161</v>
      </c>
      <c r="R27" s="6" t="s">
        <v>2162</v>
      </c>
    </row>
    <row r="28" spans="1:18" ht="90" x14ac:dyDescent="0.25">
      <c r="A28" s="1" t="s">
        <v>2163</v>
      </c>
      <c r="B28" s="1" t="s">
        <v>2164</v>
      </c>
      <c r="C28" s="1" t="s">
        <v>921</v>
      </c>
      <c r="D28" s="2" t="str">
        <f>"1466-447X"</f>
        <v>1466-447X</v>
      </c>
      <c r="F28" s="2" t="str">
        <f>"2018 Feb"</f>
        <v>2018 Feb</v>
      </c>
      <c r="G28" s="3">
        <v>36</v>
      </c>
      <c r="H28" s="3">
        <v>3</v>
      </c>
      <c r="I28" s="3">
        <v>247</v>
      </c>
      <c r="K28" s="2">
        <v>28282741</v>
      </c>
      <c r="L28" s="2" t="s">
        <v>2165</v>
      </c>
      <c r="M28" s="2" t="s">
        <v>923</v>
      </c>
      <c r="N28" s="2" t="s">
        <v>21</v>
      </c>
      <c r="O28" s="1" t="s">
        <v>2166</v>
      </c>
      <c r="Q28" s="2" t="s">
        <v>2167</v>
      </c>
      <c r="R28" s="6" t="s">
        <v>2168</v>
      </c>
    </row>
    <row r="29" spans="1:18" ht="120" x14ac:dyDescent="0.25">
      <c r="A29" s="1" t="s">
        <v>2169</v>
      </c>
      <c r="B29" s="1" t="s">
        <v>2170</v>
      </c>
      <c r="C29" s="1" t="s">
        <v>797</v>
      </c>
      <c r="D29" s="2" t="str">
        <f>"1530-0315"</f>
        <v>1530-0315</v>
      </c>
      <c r="F29" s="2" t="str">
        <f>"2018 Jan"</f>
        <v>2018 Jan</v>
      </c>
      <c r="G29" s="3">
        <v>50</v>
      </c>
      <c r="H29" s="3">
        <v>1</v>
      </c>
      <c r="I29" s="3">
        <v>141</v>
      </c>
      <c r="K29" s="2">
        <v>28806275</v>
      </c>
      <c r="L29" s="2" t="s">
        <v>2171</v>
      </c>
      <c r="M29" s="2" t="s">
        <v>156</v>
      </c>
      <c r="N29" s="2" t="s">
        <v>21</v>
      </c>
      <c r="O29" s="1" t="s">
        <v>2172</v>
      </c>
      <c r="Q29" s="2" t="s">
        <v>2173</v>
      </c>
      <c r="R29" s="6" t="s">
        <v>2174</v>
      </c>
    </row>
    <row r="30" spans="1:18" ht="60" x14ac:dyDescent="0.25">
      <c r="A30" s="1" t="s">
        <v>2175</v>
      </c>
      <c r="B30" s="1" t="s">
        <v>2176</v>
      </c>
      <c r="C30" s="1" t="s">
        <v>638</v>
      </c>
      <c r="D30" s="2" t="str">
        <f>"1664-1078"</f>
        <v>1664-1078</v>
      </c>
      <c r="F30" s="2" t="str">
        <f>"2018 Oct 30"</f>
        <v>2018 Oct 30</v>
      </c>
      <c r="G30" s="3">
        <v>9</v>
      </c>
      <c r="I30" s="3">
        <v>2012</v>
      </c>
      <c r="K30" s="2">
        <v>30425668</v>
      </c>
      <c r="L30" s="2" t="s">
        <v>2177</v>
      </c>
      <c r="M30" s="2" t="s">
        <v>640</v>
      </c>
      <c r="N30" s="2" t="s">
        <v>21</v>
      </c>
      <c r="Q30" s="2" t="s">
        <v>2178</v>
      </c>
      <c r="R30" s="6" t="s">
        <v>2179</v>
      </c>
    </row>
    <row r="31" spans="1:18" ht="120" x14ac:dyDescent="0.25">
      <c r="A31" s="1" t="s">
        <v>2180</v>
      </c>
      <c r="B31" s="1" t="s">
        <v>2181</v>
      </c>
      <c r="C31" s="1" t="s">
        <v>921</v>
      </c>
      <c r="D31" s="2" t="str">
        <f>"1466-447X"</f>
        <v>1466-447X</v>
      </c>
      <c r="F31" s="2" t="str">
        <f>"2018 Jan"</f>
        <v>2018 Jan</v>
      </c>
      <c r="G31" s="3">
        <v>36</v>
      </c>
      <c r="H31" s="3">
        <v>2</v>
      </c>
      <c r="I31" s="3">
        <v>162</v>
      </c>
      <c r="K31" s="2">
        <v>28282750</v>
      </c>
      <c r="L31" s="2" t="s">
        <v>2182</v>
      </c>
      <c r="M31" s="2" t="s">
        <v>923</v>
      </c>
      <c r="N31" s="2" t="s">
        <v>21</v>
      </c>
      <c r="O31" s="1" t="s">
        <v>2183</v>
      </c>
      <c r="Q31" s="2" t="s">
        <v>2184</v>
      </c>
      <c r="R31" s="6" t="s">
        <v>2185</v>
      </c>
    </row>
    <row r="32" spans="1:18" ht="75" x14ac:dyDescent="0.25">
      <c r="A32" s="1" t="s">
        <v>2186</v>
      </c>
      <c r="B32" s="1" t="s">
        <v>2187</v>
      </c>
      <c r="C32" s="1" t="s">
        <v>36</v>
      </c>
      <c r="D32" s="2" t="str">
        <f>"1543-2742"</f>
        <v>1543-2742</v>
      </c>
      <c r="F32" s="2" t="str">
        <f>"2018 Mar 01"</f>
        <v>2018 Mar 01</v>
      </c>
      <c r="G32" s="3">
        <v>28</v>
      </c>
      <c r="H32" s="3">
        <v>2</v>
      </c>
      <c r="I32" s="3">
        <v>178</v>
      </c>
      <c r="K32" s="2">
        <v>29465269</v>
      </c>
      <c r="L32" s="2" t="s">
        <v>2188</v>
      </c>
      <c r="M32" s="2" t="s">
        <v>40</v>
      </c>
      <c r="N32" s="2" t="s">
        <v>21</v>
      </c>
      <c r="O32" s="1" t="s">
        <v>2189</v>
      </c>
      <c r="Q32" s="2" t="s">
        <v>2190</v>
      </c>
      <c r="R32" s="6" t="s">
        <v>2191</v>
      </c>
    </row>
    <row r="33" spans="1:18" ht="60" x14ac:dyDescent="0.25">
      <c r="A33" s="1" t="s">
        <v>2192</v>
      </c>
      <c r="B33" s="1" t="s">
        <v>2193</v>
      </c>
      <c r="C33" s="1" t="s">
        <v>638</v>
      </c>
      <c r="D33" s="2" t="str">
        <f>"1664-1078"</f>
        <v>1664-1078</v>
      </c>
      <c r="F33" s="2" t="str">
        <f>"2018 Nov 27"</f>
        <v>2018 Nov 27</v>
      </c>
      <c r="G33" s="3">
        <v>9</v>
      </c>
      <c r="I33" s="3">
        <v>2315</v>
      </c>
      <c r="K33" s="2">
        <v>30538652</v>
      </c>
      <c r="L33" s="2" t="s">
        <v>2194</v>
      </c>
      <c r="M33" s="2" t="s">
        <v>640</v>
      </c>
      <c r="N33" s="2" t="s">
        <v>21</v>
      </c>
      <c r="Q33" s="2" t="s">
        <v>2195</v>
      </c>
      <c r="R33" s="6" t="s">
        <v>2196</v>
      </c>
    </row>
    <row r="34" spans="1:18" ht="135" x14ac:dyDescent="0.25">
      <c r="A34" s="1" t="s">
        <v>2197</v>
      </c>
      <c r="B34" s="1" t="s">
        <v>2198</v>
      </c>
      <c r="C34" s="1" t="s">
        <v>133</v>
      </c>
      <c r="D34" s="2" t="str">
        <f>"1536-7290"</f>
        <v>1536-7290</v>
      </c>
      <c r="F34" s="2" t="str">
        <f>"2018 Apr"</f>
        <v>2018 Apr</v>
      </c>
      <c r="G34" s="3">
        <v>18</v>
      </c>
      <c r="H34" s="3">
        <v>3</v>
      </c>
      <c r="I34" s="3">
        <v>387</v>
      </c>
      <c r="K34" s="2">
        <v>29341849</v>
      </c>
      <c r="L34" s="2" t="s">
        <v>2199</v>
      </c>
      <c r="M34" s="2" t="s">
        <v>500</v>
      </c>
      <c r="N34" s="2" t="s">
        <v>21</v>
      </c>
      <c r="O34" s="1" t="s">
        <v>2200</v>
      </c>
      <c r="Q34" s="2" t="s">
        <v>2201</v>
      </c>
      <c r="R34" s="6" t="s">
        <v>2202</v>
      </c>
    </row>
    <row r="35" spans="1:18" ht="120" x14ac:dyDescent="0.25">
      <c r="A35" s="1" t="s">
        <v>2203</v>
      </c>
      <c r="B35" s="1" t="s">
        <v>2204</v>
      </c>
      <c r="C35" s="1" t="s">
        <v>1687</v>
      </c>
      <c r="D35" s="2" t="str">
        <f>"1543-2688"</f>
        <v>1543-2688</v>
      </c>
      <c r="F35" s="2" t="str">
        <f>"2018 Feb 01"</f>
        <v>2018 Feb 01</v>
      </c>
      <c r="G35" s="3">
        <v>34</v>
      </c>
      <c r="H35" s="3">
        <v>1</v>
      </c>
      <c r="I35" s="3">
        <v>53</v>
      </c>
      <c r="K35" s="2">
        <v>28952848</v>
      </c>
      <c r="L35" s="2" t="s">
        <v>2205</v>
      </c>
      <c r="M35" s="2" t="s">
        <v>40</v>
      </c>
      <c r="N35" s="2" t="s">
        <v>21</v>
      </c>
      <c r="O35" s="1" t="s">
        <v>2206</v>
      </c>
      <c r="Q35" s="2" t="s">
        <v>2207</v>
      </c>
      <c r="R35" s="6" t="s">
        <v>2208</v>
      </c>
    </row>
    <row r="36" spans="1:18" ht="60" x14ac:dyDescent="0.25">
      <c r="A36" s="1" t="s">
        <v>2209</v>
      </c>
      <c r="B36" s="1" t="s">
        <v>1878</v>
      </c>
      <c r="C36" s="1" t="s">
        <v>133</v>
      </c>
      <c r="D36" s="2" t="str">
        <f>"1536-7290"</f>
        <v>1536-7290</v>
      </c>
      <c r="F36" s="2" t="str">
        <f>"2018 Aug"</f>
        <v>2018 Aug</v>
      </c>
      <c r="G36" s="3">
        <v>18</v>
      </c>
      <c r="H36" s="3">
        <v>7</v>
      </c>
      <c r="I36" s="3">
        <v>947</v>
      </c>
      <c r="K36" s="2">
        <v>29738285</v>
      </c>
      <c r="L36" s="2" t="s">
        <v>2210</v>
      </c>
      <c r="M36" s="2" t="s">
        <v>500</v>
      </c>
      <c r="N36" s="2" t="s">
        <v>21</v>
      </c>
      <c r="O36" s="1" t="s">
        <v>2211</v>
      </c>
      <c r="Q36" s="2" t="s">
        <v>2212</v>
      </c>
      <c r="R36" s="6" t="s">
        <v>2213</v>
      </c>
    </row>
    <row r="37" spans="1:18" ht="90" x14ac:dyDescent="0.25">
      <c r="A37" s="1" t="s">
        <v>2214</v>
      </c>
      <c r="B37" s="1" t="s">
        <v>2215</v>
      </c>
      <c r="C37" s="1" t="s">
        <v>921</v>
      </c>
      <c r="D37" s="2" t="str">
        <f>"1466-447X"</f>
        <v>1466-447X</v>
      </c>
      <c r="F37" s="2" t="str">
        <f>"2018 Jun"</f>
        <v>2018 Jun</v>
      </c>
      <c r="G37" s="3">
        <v>36</v>
      </c>
      <c r="H37" s="3">
        <v>11</v>
      </c>
      <c r="I37" s="3">
        <v>1277</v>
      </c>
      <c r="K37" s="2">
        <v>28905685</v>
      </c>
      <c r="L37" s="2" t="s">
        <v>2216</v>
      </c>
      <c r="M37" s="2" t="s">
        <v>923</v>
      </c>
      <c r="N37" s="2" t="s">
        <v>21</v>
      </c>
      <c r="O37" s="1" t="s">
        <v>2217</v>
      </c>
      <c r="Q37" s="2" t="s">
        <v>2218</v>
      </c>
      <c r="R37" s="6" t="s">
        <v>2219</v>
      </c>
    </row>
    <row r="38" spans="1:18" ht="105" x14ac:dyDescent="0.25">
      <c r="A38" s="1" t="s">
        <v>2220</v>
      </c>
      <c r="B38" s="1" t="s">
        <v>2221</v>
      </c>
      <c r="C38" s="1" t="s">
        <v>2222</v>
      </c>
      <c r="D38" s="2" t="str">
        <f>"1530-6860"</f>
        <v>1530-6860</v>
      </c>
      <c r="F38" s="2" t="str">
        <f>"2018 Jun"</f>
        <v>2018 Jun</v>
      </c>
      <c r="G38" s="3">
        <v>32</v>
      </c>
      <c r="H38" s="3">
        <v>6</v>
      </c>
      <c r="I38" s="3">
        <v>2979</v>
      </c>
      <c r="K38" s="2">
        <v>29401600</v>
      </c>
      <c r="L38" s="2" t="s">
        <v>2223</v>
      </c>
      <c r="M38" s="2" t="s">
        <v>2224</v>
      </c>
      <c r="N38" s="2" t="s">
        <v>646</v>
      </c>
      <c r="O38" s="1" t="s">
        <v>2225</v>
      </c>
      <c r="Q38" s="2" t="s">
        <v>2226</v>
      </c>
      <c r="R38" s="6" t="s">
        <v>2227</v>
      </c>
    </row>
    <row r="39" spans="1:18" ht="90" x14ac:dyDescent="0.25">
      <c r="A39" s="1" t="s">
        <v>2228</v>
      </c>
      <c r="B39" s="1" t="s">
        <v>2229</v>
      </c>
      <c r="C39" s="1" t="s">
        <v>55</v>
      </c>
      <c r="D39" s="2" t="str">
        <f>"1878-1861"</f>
        <v>1878-1861</v>
      </c>
      <c r="F39" s="2" t="str">
        <f>"2018 Oct"</f>
        <v>2018 Oct</v>
      </c>
      <c r="G39" s="3">
        <v>21</v>
      </c>
      <c r="H39" s="3">
        <v>10</v>
      </c>
      <c r="I39" s="3">
        <v>1019</v>
      </c>
      <c r="K39" s="2">
        <v>29764731</v>
      </c>
      <c r="L39" s="2" t="s">
        <v>2230</v>
      </c>
      <c r="M39" s="2" t="s">
        <v>59</v>
      </c>
      <c r="N39" s="2" t="s">
        <v>21</v>
      </c>
      <c r="O39" s="1" t="s">
        <v>2231</v>
      </c>
      <c r="Q39" s="2" t="s">
        <v>2232</v>
      </c>
      <c r="R39" s="6" t="s">
        <v>2233</v>
      </c>
    </row>
    <row r="40" spans="1:18" ht="75" x14ac:dyDescent="0.25">
      <c r="A40" s="1" t="s">
        <v>2234</v>
      </c>
      <c r="B40" s="1" t="s">
        <v>2235</v>
      </c>
      <c r="C40" s="1" t="s">
        <v>2028</v>
      </c>
      <c r="D40" s="2" t="str">
        <f>"1525-6073"</f>
        <v>1525-6073</v>
      </c>
      <c r="F40" s="2" t="str">
        <f>"2018 Jun"</f>
        <v>2018 Jun</v>
      </c>
      <c r="G40" s="3">
        <v>35</v>
      </c>
      <c r="H40" s="3">
        <v>6</v>
      </c>
      <c r="I40" s="3">
        <v>754</v>
      </c>
      <c r="K40" s="2">
        <v>29750580</v>
      </c>
      <c r="L40" s="2" t="s">
        <v>2236</v>
      </c>
      <c r="M40" s="2" t="s">
        <v>1143</v>
      </c>
      <c r="N40" s="2" t="s">
        <v>21</v>
      </c>
      <c r="O40" s="1" t="s">
        <v>2237</v>
      </c>
      <c r="Q40" s="2" t="s">
        <v>2238</v>
      </c>
      <c r="R40" s="6" t="s">
        <v>2239</v>
      </c>
    </row>
    <row r="41" spans="1:18" ht="90" x14ac:dyDescent="0.25">
      <c r="A41" s="1" t="s">
        <v>2240</v>
      </c>
      <c r="B41" s="1" t="s">
        <v>2241</v>
      </c>
      <c r="C41" s="1" t="s">
        <v>55</v>
      </c>
      <c r="D41" s="2" t="str">
        <f>"1878-1861"</f>
        <v>1878-1861</v>
      </c>
      <c r="F41" s="2" t="str">
        <f>"2018 Jan"</f>
        <v>2018 Jan</v>
      </c>
      <c r="G41" s="3">
        <v>21</v>
      </c>
      <c r="H41" s="3">
        <v>1</v>
      </c>
      <c r="I41" s="3">
        <v>46</v>
      </c>
      <c r="K41" s="2">
        <v>28601588</v>
      </c>
      <c r="L41" s="2" t="s">
        <v>2242</v>
      </c>
      <c r="M41" s="2" t="s">
        <v>59</v>
      </c>
      <c r="N41" s="2" t="s">
        <v>21</v>
      </c>
      <c r="O41" s="1" t="s">
        <v>2243</v>
      </c>
      <c r="Q41" s="2" t="s">
        <v>2244</v>
      </c>
      <c r="R41" s="6" t="s">
        <v>2245</v>
      </c>
    </row>
    <row r="42" spans="1:18" ht="105" x14ac:dyDescent="0.25">
      <c r="A42" s="1" t="s">
        <v>2246</v>
      </c>
      <c r="B42" s="1" t="s">
        <v>1438</v>
      </c>
      <c r="C42" s="1" t="s">
        <v>82</v>
      </c>
      <c r="D42" s="2" t="str">
        <f>"1600-0838"</f>
        <v>1600-0838</v>
      </c>
      <c r="F42" s="2" t="str">
        <f>"2018 Jun"</f>
        <v>2018 Jun</v>
      </c>
      <c r="G42" s="3">
        <v>28</v>
      </c>
      <c r="H42" s="3">
        <v>6</v>
      </c>
      <c r="I42" s="3">
        <v>1691</v>
      </c>
      <c r="K42" s="2">
        <v>29415324</v>
      </c>
      <c r="L42" s="2" t="s">
        <v>2247</v>
      </c>
      <c r="M42" s="2" t="s">
        <v>86</v>
      </c>
      <c r="N42" s="2" t="s">
        <v>21</v>
      </c>
      <c r="O42" s="1" t="s">
        <v>2248</v>
      </c>
      <c r="Q42" s="2" t="s">
        <v>2249</v>
      </c>
      <c r="R42" s="6" t="s">
        <v>2250</v>
      </c>
    </row>
    <row r="43" spans="1:18" ht="75" x14ac:dyDescent="0.25">
      <c r="A43" s="1" t="s">
        <v>2251</v>
      </c>
      <c r="B43" s="1" t="s">
        <v>2252</v>
      </c>
      <c r="C43" s="1" t="s">
        <v>921</v>
      </c>
      <c r="D43" s="2" t="str">
        <f>"1466-447X"</f>
        <v>1466-447X</v>
      </c>
      <c r="F43" s="2" t="str">
        <f>"2018 Jul"</f>
        <v>2018 Jul</v>
      </c>
      <c r="G43" s="3">
        <v>36</v>
      </c>
      <c r="H43" s="3">
        <v>13</v>
      </c>
      <c r="I43" s="3">
        <v>1476</v>
      </c>
      <c r="K43" s="2">
        <v>29099652</v>
      </c>
      <c r="L43" s="2" t="s">
        <v>2253</v>
      </c>
      <c r="M43" s="2" t="s">
        <v>923</v>
      </c>
      <c r="N43" s="2" t="s">
        <v>21</v>
      </c>
      <c r="O43" s="1" t="s">
        <v>2254</v>
      </c>
      <c r="Q43" s="2" t="s">
        <v>2255</v>
      </c>
      <c r="R43" s="6" t="s">
        <v>2256</v>
      </c>
    </row>
    <row r="44" spans="1:18" ht="165" x14ac:dyDescent="0.25">
      <c r="A44" s="1" t="s">
        <v>2257</v>
      </c>
      <c r="B44" s="1" t="s">
        <v>2258</v>
      </c>
      <c r="C44" s="1" t="s">
        <v>102</v>
      </c>
      <c r="D44" s="2" t="str">
        <f>"1473-0480"</f>
        <v>1473-0480</v>
      </c>
      <c r="F44" s="2" t="str">
        <f>"2018 May"</f>
        <v>2018 May</v>
      </c>
      <c r="G44" s="3">
        <v>52</v>
      </c>
      <c r="H44" s="3">
        <v>10</v>
      </c>
      <c r="I44" s="3">
        <v>635</v>
      </c>
      <c r="K44" s="2">
        <v>29500252</v>
      </c>
      <c r="L44" s="2" t="s">
        <v>2259</v>
      </c>
      <c r="M44" s="2" t="s">
        <v>106</v>
      </c>
      <c r="N44" s="2" t="s">
        <v>21</v>
      </c>
      <c r="O44" s="1" t="s">
        <v>2260</v>
      </c>
      <c r="Q44" s="2" t="s">
        <v>2261</v>
      </c>
      <c r="R44" s="6" t="s">
        <v>2262</v>
      </c>
    </row>
    <row r="45" spans="1:18" ht="165" x14ac:dyDescent="0.25">
      <c r="A45" s="1" t="s">
        <v>2263</v>
      </c>
      <c r="B45" s="1" t="s">
        <v>2264</v>
      </c>
      <c r="C45" s="1" t="s">
        <v>921</v>
      </c>
      <c r="D45" s="2" t="str">
        <f>"1466-447X"</f>
        <v>1466-447X</v>
      </c>
      <c r="F45" s="2" t="str">
        <f>"2018 May"</f>
        <v>2018 May</v>
      </c>
      <c r="G45" s="3">
        <v>36</v>
      </c>
      <c r="H45" s="3">
        <v>9</v>
      </c>
      <c r="I45" s="3">
        <v>1044</v>
      </c>
      <c r="K45" s="2">
        <v>28703035</v>
      </c>
      <c r="L45" s="2" t="s">
        <v>2265</v>
      </c>
      <c r="M45" s="2" t="s">
        <v>923</v>
      </c>
      <c r="N45" s="2" t="s">
        <v>21</v>
      </c>
      <c r="O45" s="1" t="s">
        <v>2266</v>
      </c>
      <c r="Q45" s="2" t="s">
        <v>2267</v>
      </c>
      <c r="R45" s="6" t="s">
        <v>2268</v>
      </c>
    </row>
    <row r="46" spans="1:18" ht="165" x14ac:dyDescent="0.25">
      <c r="A46" s="1" t="s">
        <v>2269</v>
      </c>
      <c r="B46" s="1" t="s">
        <v>2270</v>
      </c>
      <c r="C46" s="1" t="s">
        <v>2271</v>
      </c>
      <c r="D46" s="2" t="str">
        <f>"1942-7611"</f>
        <v>1942-7611</v>
      </c>
      <c r="F46" s="2" t="str">
        <f>"2018 Apr"</f>
        <v>2018 Apr</v>
      </c>
      <c r="G46" s="3">
        <v>10</v>
      </c>
      <c r="H46" s="3">
        <v>4</v>
      </c>
      <c r="I46" s="3">
        <v>731</v>
      </c>
      <c r="K46" s="2">
        <v>28929623</v>
      </c>
      <c r="L46" s="2" t="s">
        <v>2272</v>
      </c>
      <c r="M46" s="2" t="s">
        <v>2273</v>
      </c>
      <c r="N46" s="2" t="s">
        <v>21</v>
      </c>
      <c r="O46" s="1" t="s">
        <v>2274</v>
      </c>
      <c r="Q46" s="2" t="s">
        <v>2275</v>
      </c>
      <c r="R46" s="6" t="s">
        <v>2276</v>
      </c>
    </row>
    <row r="47" spans="1:18" ht="30" x14ac:dyDescent="0.25">
      <c r="A47" s="1" t="s">
        <v>2277</v>
      </c>
      <c r="B47" s="1" t="s">
        <v>2278</v>
      </c>
      <c r="C47" s="1" t="s">
        <v>102</v>
      </c>
      <c r="D47" s="2" t="str">
        <f>"1473-0480"</f>
        <v>1473-0480</v>
      </c>
      <c r="F47" s="2" t="str">
        <f>"2018 Oct"</f>
        <v>2018 Oct</v>
      </c>
      <c r="G47" s="3">
        <v>52</v>
      </c>
      <c r="H47" s="3">
        <v>20</v>
      </c>
      <c r="I47" s="3">
        <v>1295</v>
      </c>
      <c r="K47" s="2">
        <v>29273601</v>
      </c>
      <c r="L47" s="2" t="s">
        <v>2279</v>
      </c>
      <c r="M47" s="2" t="s">
        <v>106</v>
      </c>
      <c r="N47" s="2" t="s">
        <v>21</v>
      </c>
      <c r="Q47" s="2" t="s">
        <v>807</v>
      </c>
      <c r="R47" s="6" t="s">
        <v>2280</v>
      </c>
    </row>
    <row r="48" spans="1:18" ht="90" x14ac:dyDescent="0.25">
      <c r="A48" s="1" t="s">
        <v>2281</v>
      </c>
      <c r="B48" s="1" t="s">
        <v>2282</v>
      </c>
      <c r="C48" s="1" t="s">
        <v>55</v>
      </c>
      <c r="D48" s="2" t="str">
        <f>"1878-1861"</f>
        <v>1878-1861</v>
      </c>
      <c r="F48" s="2" t="str">
        <f>"2018 Oct"</f>
        <v>2018 Oct</v>
      </c>
      <c r="G48" s="3">
        <v>21</v>
      </c>
      <c r="H48" s="3">
        <v>10</v>
      </c>
      <c r="I48" s="3">
        <v>988</v>
      </c>
      <c r="K48" s="2">
        <v>29555148</v>
      </c>
      <c r="L48" s="2" t="s">
        <v>2283</v>
      </c>
      <c r="M48" s="2" t="s">
        <v>59</v>
      </c>
      <c r="N48" s="2" t="s">
        <v>21</v>
      </c>
      <c r="O48" s="1" t="s">
        <v>2284</v>
      </c>
      <c r="Q48" s="2" t="s">
        <v>2285</v>
      </c>
      <c r="R48" s="6" t="s">
        <v>2286</v>
      </c>
    </row>
    <row r="49" spans="1:18" ht="120" x14ac:dyDescent="0.25">
      <c r="A49" s="1" t="s">
        <v>2287</v>
      </c>
      <c r="B49" s="1" t="s">
        <v>2288</v>
      </c>
      <c r="C49" s="1" t="s">
        <v>36</v>
      </c>
      <c r="D49" s="2" t="str">
        <f>"1543-2742"</f>
        <v>1543-2742</v>
      </c>
      <c r="F49" s="2" t="str">
        <f>"2018 Jul 01"</f>
        <v>2018 Jul 01</v>
      </c>
      <c r="G49" s="3">
        <v>28</v>
      </c>
      <c r="H49" s="3">
        <v>4</v>
      </c>
      <c r="I49" s="3">
        <v>316</v>
      </c>
      <c r="K49" s="2">
        <v>29771168</v>
      </c>
      <c r="L49" s="2" t="s">
        <v>2289</v>
      </c>
      <c r="M49" s="2" t="s">
        <v>40</v>
      </c>
      <c r="N49" s="2" t="s">
        <v>21</v>
      </c>
      <c r="O49" s="1" t="s">
        <v>2290</v>
      </c>
      <c r="R49" s="6" t="s">
        <v>2291</v>
      </c>
    </row>
    <row r="50" spans="1:18" ht="60" x14ac:dyDescent="0.25">
      <c r="A50" s="1" t="s">
        <v>2292</v>
      </c>
      <c r="B50" s="1" t="s">
        <v>2293</v>
      </c>
      <c r="C50" s="1" t="s">
        <v>839</v>
      </c>
      <c r="D50" s="2" t="str">
        <f>"1664-042X"</f>
        <v>1664-042X</v>
      </c>
      <c r="F50" s="2" t="str">
        <f>"2018 Jan 04"</f>
        <v>2018 Jan 04</v>
      </c>
      <c r="G50" s="3">
        <v>8</v>
      </c>
      <c r="I50" s="3">
        <v>985</v>
      </c>
      <c r="K50" s="2">
        <v>29354060</v>
      </c>
      <c r="L50" s="2" t="s">
        <v>2294</v>
      </c>
      <c r="M50" s="2" t="s">
        <v>640</v>
      </c>
      <c r="N50" s="2" t="s">
        <v>21</v>
      </c>
      <c r="Q50" s="2" t="s">
        <v>2295</v>
      </c>
      <c r="R50" s="6" t="s">
        <v>2296</v>
      </c>
    </row>
    <row r="51" spans="1:18" ht="195" x14ac:dyDescent="0.25">
      <c r="A51" s="1" t="s">
        <v>2297</v>
      </c>
      <c r="B51" s="1" t="s">
        <v>2298</v>
      </c>
      <c r="C51" s="1" t="s">
        <v>797</v>
      </c>
      <c r="D51" s="2" t="str">
        <f>"1530-0315"</f>
        <v>1530-0315</v>
      </c>
      <c r="F51" s="2" t="str">
        <f>"2018 Aug"</f>
        <v>2018 Aug</v>
      </c>
      <c r="G51" s="3">
        <v>50</v>
      </c>
      <c r="H51" s="3">
        <v>8</v>
      </c>
      <c r="I51" s="3">
        <v>1669</v>
      </c>
      <c r="K51" s="2">
        <v>29538179</v>
      </c>
      <c r="L51" s="2" t="s">
        <v>2299</v>
      </c>
      <c r="M51" s="2" t="s">
        <v>156</v>
      </c>
      <c r="N51" s="2" t="s">
        <v>21</v>
      </c>
      <c r="O51" s="1" t="s">
        <v>2300</v>
      </c>
      <c r="Q51" s="2" t="s">
        <v>2301</v>
      </c>
      <c r="R51" s="6" t="s">
        <v>2302</v>
      </c>
    </row>
    <row r="52" spans="1:18" ht="120" x14ac:dyDescent="0.25">
      <c r="A52" s="1" t="s">
        <v>2303</v>
      </c>
      <c r="B52" s="1" t="s">
        <v>2304</v>
      </c>
      <c r="C52" s="1" t="s">
        <v>102</v>
      </c>
      <c r="D52" s="2" t="str">
        <f>"1473-0480"</f>
        <v>1473-0480</v>
      </c>
      <c r="F52" s="2" t="str">
        <f>"2018 Jun"</f>
        <v>2018 Jun</v>
      </c>
      <c r="G52" s="3">
        <v>52</v>
      </c>
      <c r="H52" s="3">
        <v>11</v>
      </c>
      <c r="I52" s="3">
        <v>687</v>
      </c>
      <c r="K52" s="2">
        <v>29773536</v>
      </c>
      <c r="L52" s="2" t="s">
        <v>2305</v>
      </c>
      <c r="M52" s="2" t="s">
        <v>106</v>
      </c>
      <c r="N52" s="2" t="s">
        <v>21</v>
      </c>
      <c r="O52" s="1" t="s">
        <v>2306</v>
      </c>
      <c r="Q52" s="2" t="s">
        <v>807</v>
      </c>
      <c r="R52" s="6" t="s">
        <v>2307</v>
      </c>
    </row>
    <row r="53" spans="1:18" ht="195" x14ac:dyDescent="0.25">
      <c r="A53" s="1" t="s">
        <v>2308</v>
      </c>
      <c r="B53" s="1" t="s">
        <v>2309</v>
      </c>
      <c r="C53" s="1" t="s">
        <v>36</v>
      </c>
      <c r="D53" s="2" t="str">
        <f>"1543-2742"</f>
        <v>1543-2742</v>
      </c>
      <c r="F53" s="2" t="str">
        <f>"2018 Mar 01"</f>
        <v>2018 Mar 01</v>
      </c>
      <c r="G53" s="3">
        <v>28</v>
      </c>
      <c r="H53" s="3">
        <v>2</v>
      </c>
      <c r="I53" s="3">
        <v>104</v>
      </c>
      <c r="K53" s="2">
        <v>29589768</v>
      </c>
      <c r="L53" s="2" t="s">
        <v>2310</v>
      </c>
      <c r="M53" s="2" t="s">
        <v>40</v>
      </c>
      <c r="N53" s="2" t="s">
        <v>21</v>
      </c>
      <c r="O53" s="1" t="s">
        <v>2311</v>
      </c>
      <c r="Q53" s="2" t="s">
        <v>2312</v>
      </c>
      <c r="R53" s="6" t="s">
        <v>2313</v>
      </c>
    </row>
    <row r="54" spans="1:18" ht="195" x14ac:dyDescent="0.25">
      <c r="A54" s="1" t="s">
        <v>2314</v>
      </c>
      <c r="B54" s="1" t="s">
        <v>2315</v>
      </c>
      <c r="C54" s="1" t="s">
        <v>102</v>
      </c>
      <c r="D54" s="2" t="str">
        <f>"1473-0480"</f>
        <v>1473-0480</v>
      </c>
      <c r="F54" s="2" t="str">
        <f>"2018 Apr"</f>
        <v>2018 Apr</v>
      </c>
      <c r="G54" s="3">
        <v>52</v>
      </c>
      <c r="H54" s="3">
        <v>7</v>
      </c>
      <c r="I54" s="3">
        <v>439</v>
      </c>
      <c r="K54" s="2">
        <v>29540367</v>
      </c>
      <c r="L54" s="2" t="s">
        <v>2316</v>
      </c>
      <c r="M54" s="2" t="s">
        <v>106</v>
      </c>
      <c r="N54" s="2" t="s">
        <v>21</v>
      </c>
      <c r="O54" s="1" t="s">
        <v>2317</v>
      </c>
      <c r="Q54" s="2" t="s">
        <v>2318</v>
      </c>
      <c r="R54" s="6" t="s">
        <v>2319</v>
      </c>
    </row>
    <row r="55" spans="1:18" ht="120" x14ac:dyDescent="0.25">
      <c r="A55" s="1" t="s">
        <v>2320</v>
      </c>
      <c r="B55" s="1" t="s">
        <v>2321</v>
      </c>
      <c r="C55" s="1" t="s">
        <v>2322</v>
      </c>
      <c r="D55" s="2" t="str">
        <f>"1827-1928"</f>
        <v>1827-1928</v>
      </c>
      <c r="F55" s="2" t="str">
        <f>"2018 Oct"</f>
        <v>2018 Oct</v>
      </c>
      <c r="G55" s="3">
        <v>58</v>
      </c>
      <c r="H55" s="3">
        <v>10</v>
      </c>
      <c r="I55" s="3">
        <v>1490</v>
      </c>
      <c r="K55" s="2">
        <v>28597617</v>
      </c>
      <c r="L55" s="2" t="s">
        <v>2323</v>
      </c>
      <c r="M55" s="2" t="s">
        <v>2324</v>
      </c>
      <c r="N55" s="2" t="s">
        <v>21</v>
      </c>
      <c r="O55" s="1" t="s">
        <v>2325</v>
      </c>
      <c r="Q55" s="2" t="s">
        <v>2326</v>
      </c>
      <c r="R55" s="6" t="s">
        <v>2327</v>
      </c>
    </row>
    <row r="56" spans="1:18" ht="90" x14ac:dyDescent="0.25">
      <c r="A56" s="1" t="s">
        <v>2328</v>
      </c>
      <c r="B56" s="1" t="s">
        <v>2329</v>
      </c>
      <c r="C56" s="1" t="s">
        <v>133</v>
      </c>
      <c r="D56" s="2" t="str">
        <f>"1536-7290"</f>
        <v>1536-7290</v>
      </c>
      <c r="F56" s="2" t="str">
        <f>"2018 May"</f>
        <v>2018 May</v>
      </c>
      <c r="G56" s="3">
        <v>18</v>
      </c>
      <c r="H56" s="3">
        <v>4</v>
      </c>
      <c r="I56" s="3">
        <v>550</v>
      </c>
      <c r="K56" s="2">
        <v>29490566</v>
      </c>
      <c r="L56" s="2" t="s">
        <v>2330</v>
      </c>
      <c r="M56" s="2" t="s">
        <v>500</v>
      </c>
      <c r="N56" s="2" t="s">
        <v>21</v>
      </c>
      <c r="O56" s="1" t="s">
        <v>2331</v>
      </c>
      <c r="Q56" s="2" t="s">
        <v>2332</v>
      </c>
      <c r="R56" s="6" t="s">
        <v>2333</v>
      </c>
    </row>
    <row r="57" spans="1:18" ht="90" x14ac:dyDescent="0.25">
      <c r="A57" s="1" t="s">
        <v>2334</v>
      </c>
      <c r="B57" s="1" t="s">
        <v>2335</v>
      </c>
      <c r="C57" s="1" t="s">
        <v>839</v>
      </c>
      <c r="D57" s="2" t="str">
        <f>"1664-042X"</f>
        <v>1664-042X</v>
      </c>
      <c r="F57" s="2" t="str">
        <f>"2018 Jul 09"</f>
        <v>2018 Jul 09</v>
      </c>
      <c r="G57" s="3">
        <v>9</v>
      </c>
      <c r="I57" s="3">
        <v>868</v>
      </c>
      <c r="K57" s="2">
        <v>30038583</v>
      </c>
      <c r="L57" s="2" t="s">
        <v>2336</v>
      </c>
      <c r="M57" s="2" t="s">
        <v>640</v>
      </c>
      <c r="N57" s="2" t="s">
        <v>21</v>
      </c>
      <c r="Q57" s="2" t="s">
        <v>2337</v>
      </c>
      <c r="R57" s="6" t="s">
        <v>2338</v>
      </c>
    </row>
    <row r="58" spans="1:18" ht="180" x14ac:dyDescent="0.25">
      <c r="A58" s="1" t="s">
        <v>2339</v>
      </c>
      <c r="B58" s="1" t="s">
        <v>2340</v>
      </c>
      <c r="C58" s="1" t="s">
        <v>55</v>
      </c>
      <c r="D58" s="2" t="str">
        <f>"1878-1861"</f>
        <v>1878-1861</v>
      </c>
      <c r="F58" s="2" t="str">
        <f>"2018 Oct"</f>
        <v>2018 Oct</v>
      </c>
      <c r="G58" s="3">
        <v>21</v>
      </c>
      <c r="H58" s="3">
        <v>10</v>
      </c>
      <c r="I58" s="3">
        <v>999</v>
      </c>
      <c r="K58" s="2">
        <v>29650337</v>
      </c>
      <c r="L58" s="2" t="s">
        <v>2341</v>
      </c>
      <c r="M58" s="2" t="s">
        <v>59</v>
      </c>
      <c r="N58" s="2" t="s">
        <v>21</v>
      </c>
      <c r="O58" s="1" t="s">
        <v>2342</v>
      </c>
      <c r="Q58" s="2" t="s">
        <v>2343</v>
      </c>
      <c r="R58" s="6" t="s">
        <v>2344</v>
      </c>
    </row>
    <row r="59" spans="1:18" ht="105" x14ac:dyDescent="0.25">
      <c r="A59" s="1" t="s">
        <v>2345</v>
      </c>
      <c r="B59" s="1" t="s">
        <v>2340</v>
      </c>
      <c r="C59" s="1" t="s">
        <v>533</v>
      </c>
      <c r="D59" s="2" t="str">
        <f>"1873-1600"</f>
        <v>1873-1600</v>
      </c>
      <c r="F59" s="2" t="str">
        <f>"2018 May"</f>
        <v>2018 May</v>
      </c>
      <c r="G59" s="3">
        <v>31</v>
      </c>
      <c r="I59" s="3">
        <v>9</v>
      </c>
      <c r="K59" s="2">
        <v>29505833</v>
      </c>
      <c r="L59" s="2" t="s">
        <v>2346</v>
      </c>
      <c r="M59" s="2" t="s">
        <v>535</v>
      </c>
      <c r="N59" s="2" t="s">
        <v>21</v>
      </c>
      <c r="O59" s="1" t="s">
        <v>2347</v>
      </c>
      <c r="Q59" s="2" t="s">
        <v>2348</v>
      </c>
      <c r="R59" s="6" t="s">
        <v>2349</v>
      </c>
    </row>
    <row r="60" spans="1:18" ht="120" x14ac:dyDescent="0.25">
      <c r="A60" s="1" t="s">
        <v>2350</v>
      </c>
      <c r="B60" s="1" t="s">
        <v>563</v>
      </c>
      <c r="C60" s="1" t="s">
        <v>466</v>
      </c>
      <c r="D60" s="2" t="str">
        <f>"1533-4287"</f>
        <v>1533-4287</v>
      </c>
      <c r="F60" s="2" t="str">
        <f>"2018 Apr"</f>
        <v>2018 Apr</v>
      </c>
      <c r="G60" s="3">
        <v>32</v>
      </c>
      <c r="H60" s="3">
        <v>4</v>
      </c>
      <c r="I60" s="3">
        <v>955</v>
      </c>
      <c r="K60" s="2">
        <v>29334580</v>
      </c>
      <c r="L60" s="2" t="s">
        <v>2351</v>
      </c>
      <c r="M60" s="2" t="s">
        <v>468</v>
      </c>
      <c r="N60" s="2" t="s">
        <v>21</v>
      </c>
      <c r="O60" s="1" t="s">
        <v>2352</v>
      </c>
      <c r="Q60" s="2" t="s">
        <v>2353</v>
      </c>
      <c r="R60" s="6" t="s">
        <v>2354</v>
      </c>
    </row>
    <row r="61" spans="1:18" ht="60" x14ac:dyDescent="0.25">
      <c r="A61" s="1" t="s">
        <v>2355</v>
      </c>
      <c r="B61" s="1" t="s">
        <v>2356</v>
      </c>
      <c r="C61" s="1" t="s">
        <v>466</v>
      </c>
      <c r="D61" s="2" t="str">
        <f>"1533-4287"</f>
        <v>1533-4287</v>
      </c>
      <c r="F61" s="2" t="str">
        <f>"2018 Jan"</f>
        <v>2018 Jan</v>
      </c>
      <c r="G61" s="3">
        <v>32</v>
      </c>
      <c r="H61" s="3">
        <v>1</v>
      </c>
      <c r="I61" s="3">
        <v>189</v>
      </c>
      <c r="K61" s="2">
        <v>28135218</v>
      </c>
      <c r="L61" s="2" t="s">
        <v>2357</v>
      </c>
      <c r="M61" s="2" t="s">
        <v>468</v>
      </c>
      <c r="N61" s="2" t="s">
        <v>21</v>
      </c>
      <c r="O61" s="1" t="s">
        <v>2358</v>
      </c>
      <c r="Q61" s="2" t="s">
        <v>2359</v>
      </c>
      <c r="R61" s="6" t="s">
        <v>2360</v>
      </c>
    </row>
    <row r="62" spans="1:18" ht="180" x14ac:dyDescent="0.25">
      <c r="A62" s="1" t="s">
        <v>2361</v>
      </c>
      <c r="B62" s="1" t="s">
        <v>2362</v>
      </c>
      <c r="C62" s="1" t="s">
        <v>36</v>
      </c>
      <c r="D62" s="2" t="str">
        <f>"1543-2742"</f>
        <v>1543-2742</v>
      </c>
      <c r="F62" s="2" t="str">
        <f>"2018 Jul 01"</f>
        <v>2018 Jul 01</v>
      </c>
      <c r="G62" s="3">
        <v>28</v>
      </c>
      <c r="H62" s="3">
        <v>4</v>
      </c>
      <c r="I62" s="3">
        <v>403</v>
      </c>
      <c r="K62" s="2">
        <v>29252050</v>
      </c>
      <c r="L62" s="2" t="s">
        <v>2363</v>
      </c>
      <c r="M62" s="2" t="s">
        <v>40</v>
      </c>
      <c r="N62" s="2" t="s">
        <v>21</v>
      </c>
      <c r="O62" s="1" t="s">
        <v>2364</v>
      </c>
      <c r="Q62" s="2" t="s">
        <v>2365</v>
      </c>
      <c r="R62" s="6" t="s">
        <v>2366</v>
      </c>
    </row>
    <row r="63" spans="1:18" ht="60" x14ac:dyDescent="0.25">
      <c r="A63" s="1" t="s">
        <v>2367</v>
      </c>
      <c r="B63" s="1" t="s">
        <v>2368</v>
      </c>
      <c r="C63" s="1" t="s">
        <v>839</v>
      </c>
      <c r="D63" s="2" t="str">
        <f>"1664-042X"</f>
        <v>1664-042X</v>
      </c>
      <c r="F63" s="2" t="str">
        <f>"2018 May 17"</f>
        <v>2018 May 17</v>
      </c>
      <c r="G63" s="3">
        <v>9</v>
      </c>
      <c r="I63" s="3">
        <v>570</v>
      </c>
      <c r="K63" s="2">
        <v>29867588</v>
      </c>
      <c r="L63" s="2" t="s">
        <v>2369</v>
      </c>
      <c r="M63" s="2" t="s">
        <v>640</v>
      </c>
      <c r="N63" s="2" t="s">
        <v>21</v>
      </c>
      <c r="Q63" s="2" t="s">
        <v>2370</v>
      </c>
      <c r="R63" s="6" t="s">
        <v>2371</v>
      </c>
    </row>
    <row r="64" spans="1:18" ht="60" x14ac:dyDescent="0.25">
      <c r="A64" s="1" t="s">
        <v>2372</v>
      </c>
      <c r="B64" s="1" t="s">
        <v>2373</v>
      </c>
      <c r="C64" s="1" t="s">
        <v>676</v>
      </c>
      <c r="D64" s="2" t="str">
        <f>"1932-6203"</f>
        <v>1932-6203</v>
      </c>
      <c r="F64" s="2" t="str">
        <f>"2018 Jul 30"</f>
        <v>2018 Jul 30</v>
      </c>
      <c r="G64" s="3">
        <v>13</v>
      </c>
      <c r="H64" s="3">
        <v>7</v>
      </c>
      <c r="I64" s="3" t="s">
        <v>2374</v>
      </c>
      <c r="K64" s="2">
        <v>30059543</v>
      </c>
      <c r="L64" s="2" t="s">
        <v>2375</v>
      </c>
      <c r="M64" s="2" t="s">
        <v>679</v>
      </c>
      <c r="N64" s="2" t="s">
        <v>21</v>
      </c>
      <c r="O64" s="1" t="s">
        <v>2376</v>
      </c>
      <c r="Q64" s="2" t="s">
        <v>2377</v>
      </c>
      <c r="R64" s="6" t="s">
        <v>2378</v>
      </c>
    </row>
    <row r="65" spans="1:18" ht="60" x14ac:dyDescent="0.25">
      <c r="A65" s="1" t="s">
        <v>2379</v>
      </c>
      <c r="B65" s="1" t="s">
        <v>2380</v>
      </c>
      <c r="C65" s="1" t="s">
        <v>1967</v>
      </c>
      <c r="D65" s="2" t="str">
        <f>"2288-176X"</f>
        <v>2288-176X</v>
      </c>
      <c r="F65" s="2" t="str">
        <f>"2018 Dec 27"</f>
        <v>2018 Dec 27</v>
      </c>
      <c r="G65" s="3">
        <v>14</v>
      </c>
      <c r="H65" s="3">
        <v>6</v>
      </c>
      <c r="I65" s="3">
        <v>968</v>
      </c>
      <c r="K65" s="2">
        <v>30656156</v>
      </c>
      <c r="L65" s="2" t="s">
        <v>2381</v>
      </c>
      <c r="M65" s="2" t="s">
        <v>1969</v>
      </c>
      <c r="N65" s="2" t="s">
        <v>21</v>
      </c>
      <c r="Q65" s="2" t="s">
        <v>2382</v>
      </c>
      <c r="R65" s="6" t="s">
        <v>2383</v>
      </c>
    </row>
    <row r="66" spans="1:18" ht="120" x14ac:dyDescent="0.25">
      <c r="A66" s="1" t="s">
        <v>2384</v>
      </c>
      <c r="B66" s="1" t="s">
        <v>2385</v>
      </c>
      <c r="C66" s="1" t="s">
        <v>2386</v>
      </c>
      <c r="D66" s="2" t="str">
        <f>"1932-7420"</f>
        <v>1932-7420</v>
      </c>
      <c r="F66" s="2" t="str">
        <f>"2018 May 01"</f>
        <v>2018 May 01</v>
      </c>
      <c r="G66" s="3">
        <v>27</v>
      </c>
      <c r="H66" s="3">
        <v>5</v>
      </c>
      <c r="I66" s="3">
        <v>962</v>
      </c>
      <c r="K66" s="2">
        <v>29719234</v>
      </c>
      <c r="L66" s="2" t="s">
        <v>2387</v>
      </c>
      <c r="M66" s="2" t="s">
        <v>2388</v>
      </c>
      <c r="N66" s="2" t="s">
        <v>21</v>
      </c>
      <c r="O66" s="1" t="s">
        <v>2389</v>
      </c>
      <c r="Q66" s="2" t="s">
        <v>2390</v>
      </c>
      <c r="R66" s="6" t="s">
        <v>2391</v>
      </c>
    </row>
    <row r="67" spans="1:18" ht="75" x14ac:dyDescent="0.25">
      <c r="A67" s="1" t="s">
        <v>2392</v>
      </c>
      <c r="B67" s="1" t="s">
        <v>2393</v>
      </c>
      <c r="C67" s="1" t="s">
        <v>1953</v>
      </c>
      <c r="D67" s="2" t="str">
        <f>"1303-2968"</f>
        <v>1303-2968</v>
      </c>
      <c r="F67" s="2" t="str">
        <f>"2018 Nov 20"</f>
        <v>2018 Nov 20</v>
      </c>
      <c r="G67" s="3">
        <v>17</v>
      </c>
      <c r="H67" s="3">
        <v>4</v>
      </c>
      <c r="I67" s="3">
        <v>623</v>
      </c>
      <c r="K67" s="2">
        <v>30479531</v>
      </c>
      <c r="M67" s="2" t="s">
        <v>1954</v>
      </c>
      <c r="N67" s="2" t="s">
        <v>21</v>
      </c>
      <c r="O67" s="1" t="s">
        <v>2394</v>
      </c>
      <c r="Q67" s="2" t="s">
        <v>2395</v>
      </c>
      <c r="R67" s="6" t="s">
        <v>2396</v>
      </c>
    </row>
    <row r="68" spans="1:18" ht="75" x14ac:dyDescent="0.25">
      <c r="A68" s="1" t="s">
        <v>2397</v>
      </c>
      <c r="B68" s="1" t="s">
        <v>2398</v>
      </c>
      <c r="C68" s="1" t="s">
        <v>36</v>
      </c>
      <c r="D68" s="2" t="str">
        <f>"1543-2742"</f>
        <v>1543-2742</v>
      </c>
      <c r="F68" s="2" t="str">
        <f>"2018 Mar 01"</f>
        <v>2018 Mar 01</v>
      </c>
      <c r="G68" s="3">
        <v>28</v>
      </c>
      <c r="H68" s="3">
        <v>2</v>
      </c>
      <c r="I68" s="3">
        <v>159</v>
      </c>
      <c r="K68" s="2">
        <v>29468949</v>
      </c>
      <c r="L68" s="2" t="s">
        <v>2399</v>
      </c>
      <c r="M68" s="2" t="s">
        <v>40</v>
      </c>
      <c r="N68" s="2" t="s">
        <v>21</v>
      </c>
      <c r="O68" s="1" t="s">
        <v>2400</v>
      </c>
      <c r="Q68" s="2" t="s">
        <v>2401</v>
      </c>
      <c r="R68" s="6" t="s">
        <v>2402</v>
      </c>
    </row>
    <row r="69" spans="1:18" ht="105" x14ac:dyDescent="0.25">
      <c r="A69" s="1" t="s">
        <v>2403</v>
      </c>
      <c r="B69" s="1" t="s">
        <v>2404</v>
      </c>
      <c r="C69" s="1" t="s">
        <v>55</v>
      </c>
      <c r="D69" s="2" t="str">
        <f>"1878-1861"</f>
        <v>1878-1861</v>
      </c>
      <c r="F69" s="2" t="str">
        <f>"2018 Dec"</f>
        <v>2018 Dec</v>
      </c>
      <c r="G69" s="3">
        <v>21</v>
      </c>
      <c r="H69" s="3">
        <v>12</v>
      </c>
      <c r="I69" s="3">
        <v>1185</v>
      </c>
      <c r="K69" s="2">
        <v>29789266</v>
      </c>
      <c r="L69" s="2" t="s">
        <v>2405</v>
      </c>
      <c r="M69" s="2" t="s">
        <v>59</v>
      </c>
      <c r="N69" s="2" t="s">
        <v>21</v>
      </c>
      <c r="O69" s="1" t="s">
        <v>2406</v>
      </c>
      <c r="Q69" s="2" t="s">
        <v>2407</v>
      </c>
      <c r="R69" s="6" t="s">
        <v>2408</v>
      </c>
    </row>
    <row r="70" spans="1:18" ht="60" x14ac:dyDescent="0.25">
      <c r="A70" s="1" t="s">
        <v>2409</v>
      </c>
      <c r="B70" s="1" t="s">
        <v>2410</v>
      </c>
      <c r="C70" s="1" t="s">
        <v>55</v>
      </c>
      <c r="D70" s="2" t="str">
        <f>"1878-1861"</f>
        <v>1878-1861</v>
      </c>
      <c r="F70" s="2" t="str">
        <f>"2018 Sep"</f>
        <v>2018 Sep</v>
      </c>
      <c r="G70" s="3">
        <v>21</v>
      </c>
      <c r="H70" s="3">
        <v>9</v>
      </c>
      <c r="I70" s="3">
        <v>950</v>
      </c>
      <c r="K70" s="2">
        <v>29433921</v>
      </c>
      <c r="L70" s="2" t="s">
        <v>2411</v>
      </c>
      <c r="M70" s="2" t="s">
        <v>59</v>
      </c>
      <c r="N70" s="2" t="s">
        <v>21</v>
      </c>
      <c r="O70" s="1" t="s">
        <v>2412</v>
      </c>
      <c r="Q70" s="2" t="s">
        <v>2413</v>
      </c>
      <c r="R70" s="6" t="s">
        <v>2414</v>
      </c>
    </row>
    <row r="71" spans="1:18" ht="60" x14ac:dyDescent="0.25">
      <c r="A71" s="1" t="s">
        <v>2415</v>
      </c>
      <c r="B71" s="1" t="s">
        <v>2416</v>
      </c>
      <c r="C71" s="1" t="s">
        <v>1325</v>
      </c>
      <c r="D71" s="2" t="str">
        <f>"2075-4663"</f>
        <v>2075-4663</v>
      </c>
      <c r="F71" s="2" t="str">
        <f>"2018 Jul 20"</f>
        <v>2018 Jul 20</v>
      </c>
      <c r="G71" s="3">
        <v>6</v>
      </c>
      <c r="H71" s="3">
        <v>3</v>
      </c>
      <c r="K71" s="2">
        <v>30036955</v>
      </c>
      <c r="L71" s="2" t="s">
        <v>2417</v>
      </c>
      <c r="M71" s="2" t="s">
        <v>775</v>
      </c>
      <c r="N71" s="2" t="s">
        <v>21</v>
      </c>
      <c r="Q71" s="2" t="s">
        <v>2418</v>
      </c>
      <c r="R71" s="6" t="s">
        <v>2419</v>
      </c>
    </row>
    <row r="72" spans="1:18" ht="90" x14ac:dyDescent="0.25">
      <c r="A72" s="1" t="s">
        <v>2420</v>
      </c>
      <c r="B72" s="1" t="s">
        <v>2421</v>
      </c>
      <c r="C72" s="1" t="s">
        <v>533</v>
      </c>
      <c r="D72" s="2" t="str">
        <f>"1873-1600"</f>
        <v>1873-1600</v>
      </c>
      <c r="F72" s="2" t="str">
        <f>"2018 Jan"</f>
        <v>2018 Jan</v>
      </c>
      <c r="G72" s="3">
        <v>29</v>
      </c>
      <c r="I72" s="3">
        <v>14</v>
      </c>
      <c r="K72" s="2">
        <v>29156302</v>
      </c>
      <c r="L72" s="2" t="s">
        <v>2422</v>
      </c>
      <c r="M72" s="2" t="s">
        <v>535</v>
      </c>
      <c r="N72" s="2" t="s">
        <v>21</v>
      </c>
      <c r="O72" s="1" t="s">
        <v>2423</v>
      </c>
      <c r="Q72" s="2" t="s">
        <v>2424</v>
      </c>
      <c r="R72" s="6" t="s">
        <v>2425</v>
      </c>
    </row>
    <row r="73" spans="1:18" ht="75" x14ac:dyDescent="0.25">
      <c r="A73" s="1" t="s">
        <v>2426</v>
      </c>
      <c r="B73" s="1" t="s">
        <v>2427</v>
      </c>
      <c r="C73" s="1" t="s">
        <v>36</v>
      </c>
      <c r="D73" s="2" t="str">
        <f>"1543-2742"</f>
        <v>1543-2742</v>
      </c>
      <c r="F73" s="2" t="str">
        <f>"2018 Sep 01"</f>
        <v>2018 Sep 01</v>
      </c>
      <c r="G73" s="3">
        <v>28</v>
      </c>
      <c r="H73" s="3">
        <v>5</v>
      </c>
      <c r="I73" s="3">
        <v>464</v>
      </c>
      <c r="K73" s="2">
        <v>29140154</v>
      </c>
      <c r="L73" s="2" t="s">
        <v>2428</v>
      </c>
      <c r="M73" s="2" t="s">
        <v>40</v>
      </c>
      <c r="N73" s="2" t="s">
        <v>924</v>
      </c>
      <c r="O73" s="1" t="s">
        <v>2429</v>
      </c>
      <c r="Q73" s="2" t="s">
        <v>2430</v>
      </c>
      <c r="R73" s="6" t="s">
        <v>2431</v>
      </c>
    </row>
    <row r="74" spans="1:18" ht="60" x14ac:dyDescent="0.25">
      <c r="A74" s="1" t="s">
        <v>2432</v>
      </c>
      <c r="B74" s="1" t="s">
        <v>2433</v>
      </c>
      <c r="C74" s="1" t="s">
        <v>112</v>
      </c>
      <c r="D74" s="2" t="str">
        <f>"1536-3724"</f>
        <v>1536-3724</v>
      </c>
      <c r="F74" s="2" t="str">
        <f>"2018 Sep"</f>
        <v>2018 Sep</v>
      </c>
      <c r="G74" s="3">
        <v>28</v>
      </c>
      <c r="H74" s="3">
        <v>5</v>
      </c>
      <c r="I74" s="3">
        <v>472</v>
      </c>
      <c r="K74" s="2">
        <v>30024479</v>
      </c>
      <c r="L74" s="2" t="s">
        <v>2434</v>
      </c>
      <c r="M74" s="2" t="s">
        <v>116</v>
      </c>
      <c r="N74" s="2" t="s">
        <v>21</v>
      </c>
      <c r="O74" s="1" t="s">
        <v>2435</v>
      </c>
      <c r="Q74" s="2" t="s">
        <v>2436</v>
      </c>
      <c r="R74" s="6" t="s">
        <v>2437</v>
      </c>
    </row>
    <row r="75" spans="1:18" ht="90" x14ac:dyDescent="0.25">
      <c r="A75" s="1" t="s">
        <v>2438</v>
      </c>
      <c r="B75" s="1" t="s">
        <v>2439</v>
      </c>
      <c r="C75" s="1" t="s">
        <v>36</v>
      </c>
      <c r="D75" s="2" t="str">
        <f>"1543-2742"</f>
        <v>1543-2742</v>
      </c>
      <c r="F75" s="2" t="str">
        <f>"2018 Sep 01"</f>
        <v>2018 Sep 01</v>
      </c>
      <c r="G75" s="3">
        <v>28</v>
      </c>
      <c r="H75" s="3">
        <v>5</v>
      </c>
      <c r="I75" s="3">
        <v>480</v>
      </c>
      <c r="K75" s="2">
        <v>29431534</v>
      </c>
      <c r="L75" s="2" t="s">
        <v>2440</v>
      </c>
      <c r="M75" s="2" t="s">
        <v>40</v>
      </c>
      <c r="N75" s="2" t="s">
        <v>21</v>
      </c>
      <c r="O75" s="1" t="s">
        <v>2441</v>
      </c>
      <c r="Q75" s="2" t="s">
        <v>2442</v>
      </c>
      <c r="R75" s="6" t="s">
        <v>2443</v>
      </c>
    </row>
    <row r="76" spans="1:18" ht="75" x14ac:dyDescent="0.25">
      <c r="A76" s="1" t="s">
        <v>2444</v>
      </c>
      <c r="B76" s="1" t="s">
        <v>2445</v>
      </c>
      <c r="C76" s="1" t="s">
        <v>444</v>
      </c>
      <c r="D76" s="2" t="str">
        <f>"1179-2035"</f>
        <v>1179-2035</v>
      </c>
      <c r="F76" s="2" t="str">
        <f>"2018 Jul"</f>
        <v>2018 Jul</v>
      </c>
      <c r="G76" s="3">
        <v>48</v>
      </c>
      <c r="H76" s="3">
        <v>7</v>
      </c>
      <c r="I76" s="3">
        <v>1621</v>
      </c>
      <c r="K76" s="2">
        <v>29560605</v>
      </c>
      <c r="L76" s="2" t="s">
        <v>2446</v>
      </c>
      <c r="M76" s="2" t="s">
        <v>446</v>
      </c>
      <c r="N76" s="2" t="s">
        <v>21</v>
      </c>
      <c r="O76" s="1" t="s">
        <v>2447</v>
      </c>
      <c r="Q76" s="2" t="s">
        <v>2448</v>
      </c>
      <c r="R76" s="6" t="s">
        <v>2449</v>
      </c>
    </row>
    <row r="77" spans="1:18" ht="90" x14ac:dyDescent="0.25">
      <c r="A77" s="1" t="s">
        <v>2450</v>
      </c>
      <c r="B77" s="1" t="s">
        <v>2451</v>
      </c>
      <c r="C77" s="1" t="s">
        <v>921</v>
      </c>
      <c r="D77" s="2" t="str">
        <f>"1466-447X"</f>
        <v>1466-447X</v>
      </c>
      <c r="F77" s="2" t="str">
        <f>"2018 May"</f>
        <v>2018 May</v>
      </c>
      <c r="G77" s="3">
        <v>36</v>
      </c>
      <c r="H77" s="3">
        <v>9</v>
      </c>
      <c r="I77" s="3">
        <v>1054</v>
      </c>
      <c r="K77" s="2">
        <v>28707506</v>
      </c>
      <c r="L77" s="2" t="s">
        <v>2452</v>
      </c>
      <c r="M77" s="2" t="s">
        <v>923</v>
      </c>
      <c r="N77" s="2" t="s">
        <v>21</v>
      </c>
      <c r="O77" s="1" t="s">
        <v>2453</v>
      </c>
      <c r="Q77" s="2" t="s">
        <v>2454</v>
      </c>
      <c r="R77" s="6" t="s">
        <v>2455</v>
      </c>
    </row>
    <row r="78" spans="1:18" ht="75" x14ac:dyDescent="0.25">
      <c r="A78" s="1" t="s">
        <v>2456</v>
      </c>
      <c r="B78" s="1" t="s">
        <v>2457</v>
      </c>
      <c r="C78" s="1" t="s">
        <v>36</v>
      </c>
      <c r="D78" s="2" t="str">
        <f>"1543-2742"</f>
        <v>1543-2742</v>
      </c>
      <c r="F78" s="2" t="str">
        <f>"2018 Jul 01"</f>
        <v>2018 Jul 01</v>
      </c>
      <c r="G78" s="3">
        <v>28</v>
      </c>
      <c r="H78" s="3">
        <v>4</v>
      </c>
      <c r="I78" s="3">
        <v>350</v>
      </c>
      <c r="K78" s="2">
        <v>30029584</v>
      </c>
      <c r="L78" s="2" t="s">
        <v>2458</v>
      </c>
      <c r="M78" s="2" t="s">
        <v>40</v>
      </c>
      <c r="N78" s="2" t="s">
        <v>21</v>
      </c>
      <c r="O78" s="1" t="s">
        <v>2459</v>
      </c>
      <c r="Q78" s="2" t="s">
        <v>2460</v>
      </c>
      <c r="R78" s="6" t="s">
        <v>2461</v>
      </c>
    </row>
    <row r="79" spans="1:18" ht="45" x14ac:dyDescent="0.25">
      <c r="A79" s="1" t="s">
        <v>2462</v>
      </c>
      <c r="B79" s="1" t="s">
        <v>2463</v>
      </c>
      <c r="C79" s="1" t="s">
        <v>466</v>
      </c>
      <c r="D79" s="2" t="str">
        <f>"1533-4287"</f>
        <v>1533-4287</v>
      </c>
      <c r="F79" s="2" t="str">
        <f>"2018 Sep"</f>
        <v>2018 Sep</v>
      </c>
      <c r="G79" s="3">
        <v>32</v>
      </c>
      <c r="H79" s="3">
        <v>9</v>
      </c>
      <c r="I79" s="3">
        <v>2677</v>
      </c>
      <c r="K79" s="2">
        <v>29401204</v>
      </c>
      <c r="L79" s="2" t="s">
        <v>2464</v>
      </c>
      <c r="M79" s="2" t="s">
        <v>468</v>
      </c>
      <c r="N79" s="2" t="s">
        <v>21</v>
      </c>
      <c r="O79" s="1" t="s">
        <v>2465</v>
      </c>
      <c r="Q79" s="2" t="s">
        <v>2466</v>
      </c>
      <c r="R79" s="6" t="s">
        <v>2467</v>
      </c>
    </row>
    <row r="80" spans="1:18" ht="135" x14ac:dyDescent="0.25">
      <c r="A80" s="1" t="s">
        <v>2468</v>
      </c>
      <c r="B80" s="1" t="s">
        <v>2469</v>
      </c>
      <c r="C80" s="1" t="s">
        <v>2470</v>
      </c>
      <c r="D80" s="2" t="str">
        <f>"1522-1555"</f>
        <v>1522-1555</v>
      </c>
      <c r="F80" s="2" t="str">
        <f>"2018 May 01"</f>
        <v>2018 May 01</v>
      </c>
      <c r="G80" s="3">
        <v>314</v>
      </c>
      <c r="H80" s="3">
        <v>5</v>
      </c>
      <c r="I80" s="3" t="s">
        <v>2471</v>
      </c>
      <c r="K80" s="2">
        <v>28536184</v>
      </c>
      <c r="L80" s="2" t="s">
        <v>2472</v>
      </c>
      <c r="M80" s="2" t="s">
        <v>547</v>
      </c>
      <c r="N80" s="2" t="s">
        <v>21</v>
      </c>
      <c r="O80" s="1" t="s">
        <v>2473</v>
      </c>
      <c r="Q80" s="2" t="s">
        <v>2474</v>
      </c>
      <c r="R80" s="6" t="s">
        <v>2475</v>
      </c>
    </row>
    <row r="81" spans="1:18" ht="120" x14ac:dyDescent="0.25">
      <c r="A81" s="1" t="s">
        <v>2476</v>
      </c>
      <c r="B81" s="1" t="s">
        <v>2477</v>
      </c>
      <c r="C81" s="1" t="s">
        <v>102</v>
      </c>
      <c r="D81" s="2" t="str">
        <f>"1473-0480"</f>
        <v>1473-0480</v>
      </c>
      <c r="F81" s="2" t="str">
        <f>"2018 Jan"</f>
        <v>2018 Jan</v>
      </c>
      <c r="G81" s="3">
        <v>52</v>
      </c>
      <c r="H81" s="3">
        <v>1</v>
      </c>
      <c r="I81" s="3">
        <v>47</v>
      </c>
      <c r="K81" s="2">
        <v>29056598</v>
      </c>
      <c r="L81" s="2" t="s">
        <v>2478</v>
      </c>
      <c r="M81" s="2" t="s">
        <v>106</v>
      </c>
      <c r="N81" s="2" t="s">
        <v>21</v>
      </c>
      <c r="O81" s="1" t="s">
        <v>2479</v>
      </c>
      <c r="Q81" s="2" t="s">
        <v>2480</v>
      </c>
      <c r="R81" s="6" t="s">
        <v>2481</v>
      </c>
    </row>
    <row r="82" spans="1:18" ht="45" x14ac:dyDescent="0.25">
      <c r="A82" s="1" t="s">
        <v>2482</v>
      </c>
      <c r="B82" s="1" t="s">
        <v>2483</v>
      </c>
      <c r="C82" s="1" t="s">
        <v>2484</v>
      </c>
      <c r="D82" s="2" t="str">
        <f>"1551-6709"</f>
        <v>1551-6709</v>
      </c>
      <c r="F82" s="2" t="str">
        <f>"2018 Jun 13"</f>
        <v>2018 Jun 13</v>
      </c>
      <c r="K82" s="2">
        <v>29900571</v>
      </c>
      <c r="L82" s="2" t="s">
        <v>2485</v>
      </c>
      <c r="M82" s="2" t="s">
        <v>216</v>
      </c>
      <c r="N82" s="2" t="s">
        <v>21</v>
      </c>
      <c r="Q82" s="2" t="s">
        <v>2486</v>
      </c>
      <c r="R82" s="6" t="s">
        <v>2487</v>
      </c>
    </row>
    <row r="83" spans="1:18" ht="75" x14ac:dyDescent="0.25">
      <c r="A83" s="1" t="s">
        <v>2488</v>
      </c>
      <c r="B83" s="1" t="s">
        <v>2489</v>
      </c>
      <c r="C83" s="1" t="s">
        <v>102</v>
      </c>
      <c r="D83" s="2" t="str">
        <f>"1473-0480"</f>
        <v>1473-0480</v>
      </c>
      <c r="F83" s="2" t="str">
        <f>"2018 Aug"</f>
        <v>2018 Aug</v>
      </c>
      <c r="G83" s="3">
        <v>52</v>
      </c>
      <c r="H83" s="3">
        <v>16</v>
      </c>
      <c r="I83" s="3">
        <v>1071</v>
      </c>
      <c r="K83" s="2">
        <v>29217531</v>
      </c>
      <c r="L83" s="2" t="s">
        <v>2490</v>
      </c>
      <c r="M83" s="2" t="s">
        <v>106</v>
      </c>
      <c r="N83" s="2" t="s">
        <v>21</v>
      </c>
      <c r="O83" s="1" t="s">
        <v>2491</v>
      </c>
      <c r="Q83" s="2" t="s">
        <v>807</v>
      </c>
      <c r="R83" s="6" t="s">
        <v>2492</v>
      </c>
    </row>
    <row r="84" spans="1:18" ht="75" x14ac:dyDescent="0.25">
      <c r="A84" s="1" t="s">
        <v>2493</v>
      </c>
      <c r="B84" s="1" t="s">
        <v>2494</v>
      </c>
      <c r="C84" s="1" t="s">
        <v>55</v>
      </c>
      <c r="D84" s="2" t="str">
        <f>"1878-1861"</f>
        <v>1878-1861</v>
      </c>
      <c r="F84" s="2" t="str">
        <f>"2018 Oct"</f>
        <v>2018 Oct</v>
      </c>
      <c r="G84" s="3">
        <v>21</v>
      </c>
      <c r="H84" s="3">
        <v>10</v>
      </c>
      <c r="I84" s="3">
        <v>1008</v>
      </c>
      <c r="K84" s="2">
        <v>29551273</v>
      </c>
      <c r="L84" s="2" t="s">
        <v>2495</v>
      </c>
      <c r="M84" s="2" t="s">
        <v>59</v>
      </c>
      <c r="N84" s="2" t="s">
        <v>21</v>
      </c>
      <c r="O84" s="1" t="s">
        <v>2496</v>
      </c>
      <c r="Q84" s="2" t="s">
        <v>2497</v>
      </c>
      <c r="R84" s="6" t="s">
        <v>2498</v>
      </c>
    </row>
    <row r="85" spans="1:18" ht="75" x14ac:dyDescent="0.25">
      <c r="A85" s="1" t="s">
        <v>2499</v>
      </c>
      <c r="B85" s="1" t="s">
        <v>2500</v>
      </c>
      <c r="C85" s="1" t="s">
        <v>2501</v>
      </c>
      <c r="D85" s="2" t="str">
        <f>"1929-0748"</f>
        <v>1929-0748</v>
      </c>
      <c r="F85" s="2" t="str">
        <f>"2018 May 23"</f>
        <v>2018 May 23</v>
      </c>
      <c r="G85" s="3">
        <v>7</v>
      </c>
      <c r="H85" s="3">
        <v>5</v>
      </c>
      <c r="I85" s="3" t="s">
        <v>2502</v>
      </c>
      <c r="K85" s="2">
        <v>29792293</v>
      </c>
      <c r="L85" s="2" t="s">
        <v>2503</v>
      </c>
      <c r="M85" s="2" t="s">
        <v>2504</v>
      </c>
      <c r="N85" s="2" t="s">
        <v>21</v>
      </c>
      <c r="Q85" s="2" t="s">
        <v>2505</v>
      </c>
      <c r="R85" s="6" t="s">
        <v>2506</v>
      </c>
    </row>
    <row r="86" spans="1:18" ht="105" x14ac:dyDescent="0.25">
      <c r="A86" s="1" t="s">
        <v>2507</v>
      </c>
      <c r="B86" s="1" t="s">
        <v>2508</v>
      </c>
      <c r="C86" s="1" t="s">
        <v>2509</v>
      </c>
      <c r="D86" s="2" t="str">
        <f>"1943-393X"</f>
        <v>1943-393X</v>
      </c>
      <c r="F86" s="2" t="str">
        <f>"2018 Jan"</f>
        <v>2018 Jan</v>
      </c>
      <c r="G86" s="3">
        <v>80</v>
      </c>
      <c r="H86" s="3">
        <v>1</v>
      </c>
      <c r="I86" s="3">
        <v>166</v>
      </c>
      <c r="K86" s="2">
        <v>29039046</v>
      </c>
      <c r="L86" s="2" t="s">
        <v>2510</v>
      </c>
      <c r="M86" s="2" t="s">
        <v>895</v>
      </c>
      <c r="N86" s="2" t="s">
        <v>21</v>
      </c>
      <c r="O86" s="1" t="s">
        <v>2511</v>
      </c>
      <c r="Q86" s="2" t="s">
        <v>2512</v>
      </c>
      <c r="R86" s="6" t="s">
        <v>2513</v>
      </c>
    </row>
    <row r="87" spans="1:18" ht="120" x14ac:dyDescent="0.25">
      <c r="A87" s="1" t="s">
        <v>2514</v>
      </c>
      <c r="B87" s="1" t="s">
        <v>2515</v>
      </c>
      <c r="C87" s="1" t="s">
        <v>36</v>
      </c>
      <c r="D87" s="2" t="str">
        <f>"1543-2742"</f>
        <v>1543-2742</v>
      </c>
      <c r="F87" s="2" t="str">
        <f>"2018 Jul 01"</f>
        <v>2018 Jul 01</v>
      </c>
      <c r="G87" s="3">
        <v>28</v>
      </c>
      <c r="H87" s="3">
        <v>4</v>
      </c>
      <c r="I87" s="3">
        <v>364</v>
      </c>
      <c r="K87" s="2">
        <v>30040508</v>
      </c>
      <c r="L87" s="2" t="s">
        <v>2516</v>
      </c>
      <c r="M87" s="2" t="s">
        <v>40</v>
      </c>
      <c r="N87" s="2" t="s">
        <v>21</v>
      </c>
      <c r="O87" s="1" t="s">
        <v>2517</v>
      </c>
      <c r="Q87" s="2" t="s">
        <v>2518</v>
      </c>
      <c r="R87" s="6" t="s">
        <v>2519</v>
      </c>
    </row>
    <row r="88" spans="1:18" ht="75" x14ac:dyDescent="0.25">
      <c r="A88" s="1" t="s">
        <v>2520</v>
      </c>
      <c r="B88" s="1" t="s">
        <v>2521</v>
      </c>
      <c r="C88" s="1" t="s">
        <v>36</v>
      </c>
      <c r="D88" s="2" t="str">
        <f>"1543-2742"</f>
        <v>1543-2742</v>
      </c>
      <c r="F88" s="2" t="str">
        <f>"2018 Jul 01"</f>
        <v>2018 Jul 01</v>
      </c>
      <c r="G88" s="3">
        <v>28</v>
      </c>
      <c r="H88" s="3">
        <v>4</v>
      </c>
      <c r="I88" s="3">
        <v>313</v>
      </c>
      <c r="K88" s="2">
        <v>29972091</v>
      </c>
      <c r="L88" s="2" t="s">
        <v>2522</v>
      </c>
      <c r="M88" s="2" t="s">
        <v>40</v>
      </c>
      <c r="N88" s="2" t="s">
        <v>633</v>
      </c>
      <c r="O88" s="1" t="s">
        <v>2523</v>
      </c>
      <c r="R88" s="6" t="s">
        <v>2524</v>
      </c>
    </row>
    <row r="89" spans="1:18" ht="60" x14ac:dyDescent="0.25">
      <c r="A89" s="1" t="s">
        <v>2525</v>
      </c>
      <c r="B89" s="1" t="s">
        <v>2526</v>
      </c>
      <c r="C89" s="1" t="s">
        <v>133</v>
      </c>
      <c r="D89" s="2" t="str">
        <f>"1536-7290"</f>
        <v>1536-7290</v>
      </c>
      <c r="F89" s="2" t="str">
        <f>"2018 Apr"</f>
        <v>2018 Apr</v>
      </c>
      <c r="G89" s="3">
        <v>18</v>
      </c>
      <c r="H89" s="3">
        <v>3</v>
      </c>
      <c r="I89" s="3">
        <v>307</v>
      </c>
      <c r="K89" s="2">
        <v>29251174</v>
      </c>
      <c r="L89" s="2" t="s">
        <v>2527</v>
      </c>
      <c r="M89" s="2" t="s">
        <v>500</v>
      </c>
      <c r="N89" s="2" t="s">
        <v>21</v>
      </c>
      <c r="O89" s="1" t="s">
        <v>2528</v>
      </c>
      <c r="Q89" s="2" t="s">
        <v>2529</v>
      </c>
      <c r="R89" s="6" t="s">
        <v>2530</v>
      </c>
    </row>
    <row r="90" spans="1:18" ht="75" x14ac:dyDescent="0.25">
      <c r="A90" s="1" t="s">
        <v>2531</v>
      </c>
      <c r="B90" s="1" t="s">
        <v>2532</v>
      </c>
      <c r="C90" s="1" t="s">
        <v>466</v>
      </c>
      <c r="D90" s="2" t="str">
        <f>"1533-4287"</f>
        <v>1533-4287</v>
      </c>
      <c r="F90" s="2" t="str">
        <f>"2018 Sep"</f>
        <v>2018 Sep</v>
      </c>
      <c r="G90" s="3">
        <v>32</v>
      </c>
      <c r="H90" s="3">
        <v>9</v>
      </c>
      <c r="I90" s="3">
        <v>2555</v>
      </c>
      <c r="K90" s="2">
        <v>28930879</v>
      </c>
      <c r="L90" s="2" t="s">
        <v>2533</v>
      </c>
      <c r="M90" s="2" t="s">
        <v>468</v>
      </c>
      <c r="N90" s="2" t="s">
        <v>21</v>
      </c>
      <c r="O90" s="1" t="s">
        <v>2534</v>
      </c>
      <c r="Q90" s="2" t="s">
        <v>2535</v>
      </c>
      <c r="R90" s="6" t="s">
        <v>2536</v>
      </c>
    </row>
    <row r="91" spans="1:18" ht="45" x14ac:dyDescent="0.25">
      <c r="A91" s="1" t="s">
        <v>2537</v>
      </c>
      <c r="B91" s="1" t="s">
        <v>2538</v>
      </c>
      <c r="C91" s="1" t="s">
        <v>839</v>
      </c>
      <c r="D91" s="2" t="str">
        <f>"1664-042X"</f>
        <v>1664-042X</v>
      </c>
      <c r="F91" s="2" t="str">
        <f>"2018 Dec 03"</f>
        <v>2018 Dec 03</v>
      </c>
      <c r="G91" s="3">
        <v>9</v>
      </c>
      <c r="I91" s="3">
        <v>1732</v>
      </c>
      <c r="K91" s="2">
        <v>30559680</v>
      </c>
      <c r="L91" s="2" t="s">
        <v>2539</v>
      </c>
      <c r="M91" s="2" t="s">
        <v>640</v>
      </c>
      <c r="N91" s="2" t="s">
        <v>21</v>
      </c>
      <c r="Q91" s="2" t="s">
        <v>2540</v>
      </c>
      <c r="R91" s="6" t="s">
        <v>2541</v>
      </c>
    </row>
    <row r="92" spans="1:18" ht="60" x14ac:dyDescent="0.25">
      <c r="A92" s="1" t="s">
        <v>2542</v>
      </c>
      <c r="B92" s="1" t="s">
        <v>2543</v>
      </c>
      <c r="C92" s="1" t="s">
        <v>2544</v>
      </c>
      <c r="D92" s="2" t="str">
        <f>"0306-4565"</f>
        <v>0306-4565</v>
      </c>
      <c r="F92" s="2" t="str">
        <f>"2018 May"</f>
        <v>2018 May</v>
      </c>
      <c r="G92" s="3">
        <v>74</v>
      </c>
      <c r="I92" s="3">
        <v>63</v>
      </c>
      <c r="K92" s="2">
        <v>29801652</v>
      </c>
      <c r="L92" s="2" t="s">
        <v>2545</v>
      </c>
      <c r="M92" s="2" t="s">
        <v>1793</v>
      </c>
      <c r="N92" s="2" t="s">
        <v>21</v>
      </c>
      <c r="O92" s="1" t="s">
        <v>2546</v>
      </c>
      <c r="Q92" s="2" t="s">
        <v>2547</v>
      </c>
      <c r="R92" s="6" t="s">
        <v>2548</v>
      </c>
    </row>
    <row r="93" spans="1:18" ht="45" x14ac:dyDescent="0.25">
      <c r="A93" s="1" t="s">
        <v>2549</v>
      </c>
      <c r="B93" s="1" t="s">
        <v>2550</v>
      </c>
      <c r="C93" s="1" t="s">
        <v>2551</v>
      </c>
      <c r="D93" s="2" t="str">
        <f>"1095-9203"</f>
        <v>1095-9203</v>
      </c>
      <c r="F93" s="2" t="str">
        <f>"2018 Nov 16"</f>
        <v>2018 Nov 16</v>
      </c>
      <c r="G93" s="3">
        <v>362</v>
      </c>
      <c r="H93" s="3">
        <v>6416</v>
      </c>
      <c r="I93" s="3">
        <v>781</v>
      </c>
      <c r="K93" s="2">
        <v>30442803</v>
      </c>
      <c r="L93" s="2" t="s">
        <v>2552</v>
      </c>
      <c r="M93" s="2" t="s">
        <v>2553</v>
      </c>
      <c r="N93" s="2" t="s">
        <v>21</v>
      </c>
      <c r="O93" s="1" t="s">
        <v>2554</v>
      </c>
      <c r="Q93" s="2" t="s">
        <v>2555</v>
      </c>
      <c r="R93" s="6" t="s">
        <v>2556</v>
      </c>
    </row>
    <row r="94" spans="1:18" ht="75" x14ac:dyDescent="0.25">
      <c r="A94" s="1" t="s">
        <v>2557</v>
      </c>
      <c r="B94" s="1" t="s">
        <v>2558</v>
      </c>
      <c r="C94" s="1" t="s">
        <v>638</v>
      </c>
      <c r="D94" s="2" t="str">
        <f>"1664-1078"</f>
        <v>1664-1078</v>
      </c>
      <c r="F94" s="2" t="str">
        <f>"2018 Jan 31"</f>
        <v>2018 Jan 31</v>
      </c>
      <c r="G94" s="3">
        <v>9</v>
      </c>
      <c r="I94" s="3">
        <v>25</v>
      </c>
      <c r="K94" s="2">
        <v>29445348</v>
      </c>
      <c r="L94" s="2" t="s">
        <v>2559</v>
      </c>
      <c r="M94" s="2" t="s">
        <v>640</v>
      </c>
      <c r="N94" s="2" t="s">
        <v>21</v>
      </c>
      <c r="Q94" s="2" t="s">
        <v>2560</v>
      </c>
      <c r="R94" s="6" t="s">
        <v>2561</v>
      </c>
    </row>
    <row r="95" spans="1:18" ht="75" x14ac:dyDescent="0.25">
      <c r="A95" s="1" t="s">
        <v>2562</v>
      </c>
      <c r="B95" s="1" t="s">
        <v>2563</v>
      </c>
      <c r="C95" s="1" t="s">
        <v>2564</v>
      </c>
      <c r="D95" s="2" t="str">
        <f>"1096-8652"</f>
        <v>1096-8652</v>
      </c>
      <c r="F95" s="2" t="str">
        <f>"2018 Jan"</f>
        <v>2018 Jan</v>
      </c>
      <c r="G95" s="3">
        <v>93</v>
      </c>
      <c r="H95" s="3">
        <v>1</v>
      </c>
      <c r="I95" s="3">
        <v>74</v>
      </c>
      <c r="K95" s="2">
        <v>29027252</v>
      </c>
      <c r="L95" s="2" t="s">
        <v>2565</v>
      </c>
      <c r="M95" s="2" t="s">
        <v>216</v>
      </c>
      <c r="N95" s="2" t="s">
        <v>21</v>
      </c>
      <c r="O95" s="1" t="s">
        <v>2566</v>
      </c>
      <c r="Q95" s="2" t="s">
        <v>2567</v>
      </c>
      <c r="R95" s="6" t="s">
        <v>2568</v>
      </c>
    </row>
    <row r="96" spans="1:18" ht="105" x14ac:dyDescent="0.25">
      <c r="A96" s="1" t="s">
        <v>2569</v>
      </c>
      <c r="B96" s="1" t="s">
        <v>2570</v>
      </c>
      <c r="C96" s="1" t="s">
        <v>36</v>
      </c>
      <c r="D96" s="2" t="str">
        <f>"1543-2742"</f>
        <v>1543-2742</v>
      </c>
      <c r="F96" s="2" t="str">
        <f>"2018 Nov 01"</f>
        <v>2018 Nov 01</v>
      </c>
      <c r="G96" s="3">
        <v>28</v>
      </c>
      <c r="H96" s="3">
        <v>6</v>
      </c>
      <c r="I96" s="3">
        <v>565</v>
      </c>
      <c r="K96" s="2">
        <v>29182412</v>
      </c>
      <c r="L96" s="2" t="s">
        <v>2571</v>
      </c>
      <c r="M96" s="2" t="s">
        <v>40</v>
      </c>
      <c r="N96" s="2" t="s">
        <v>21</v>
      </c>
      <c r="O96" s="1" t="s">
        <v>2572</v>
      </c>
      <c r="Q96" s="2" t="s">
        <v>2573</v>
      </c>
      <c r="R96" s="6" t="s">
        <v>2574</v>
      </c>
    </row>
    <row r="97" spans="1:18" ht="135" x14ac:dyDescent="0.25">
      <c r="A97" s="1" t="s">
        <v>2575</v>
      </c>
      <c r="B97" s="1" t="s">
        <v>2576</v>
      </c>
      <c r="C97" s="1" t="s">
        <v>921</v>
      </c>
      <c r="D97" s="2" t="str">
        <f>"1466-447X"</f>
        <v>1466-447X</v>
      </c>
      <c r="F97" s="2" t="str">
        <f>"2018 May"</f>
        <v>2018 May</v>
      </c>
      <c r="G97" s="3">
        <v>36</v>
      </c>
      <c r="H97" s="3">
        <v>10</v>
      </c>
      <c r="I97" s="3">
        <v>1167</v>
      </c>
      <c r="K97" s="2">
        <v>28770661</v>
      </c>
      <c r="L97" s="2" t="s">
        <v>2577</v>
      </c>
      <c r="M97" s="2" t="s">
        <v>923</v>
      </c>
      <c r="N97" s="2" t="s">
        <v>21</v>
      </c>
      <c r="O97" s="1" t="s">
        <v>2578</v>
      </c>
      <c r="Q97" s="2" t="s">
        <v>2579</v>
      </c>
      <c r="R97" s="6" t="s">
        <v>2580</v>
      </c>
    </row>
    <row r="98" spans="1:18" ht="90" x14ac:dyDescent="0.25">
      <c r="A98" s="1" t="s">
        <v>2581</v>
      </c>
      <c r="B98" s="1" t="s">
        <v>2582</v>
      </c>
      <c r="C98" s="1" t="s">
        <v>676</v>
      </c>
      <c r="D98" s="2" t="str">
        <f>"1932-6203"</f>
        <v>1932-6203</v>
      </c>
      <c r="F98" s="2" t="str">
        <f>"2018 Feb 14"</f>
        <v>2018 Feb 14</v>
      </c>
      <c r="G98" s="3">
        <v>13</v>
      </c>
      <c r="H98" s="3">
        <v>2</v>
      </c>
      <c r="I98" s="3" t="s">
        <v>2583</v>
      </c>
      <c r="K98" s="2">
        <v>29444097</v>
      </c>
      <c r="L98" s="2" t="s">
        <v>2584</v>
      </c>
      <c r="M98" s="2" t="s">
        <v>679</v>
      </c>
      <c r="N98" s="2" t="s">
        <v>21</v>
      </c>
      <c r="O98" s="1" t="s">
        <v>2585</v>
      </c>
      <c r="Q98" s="2" t="s">
        <v>2586</v>
      </c>
      <c r="R98" s="6" t="s">
        <v>2587</v>
      </c>
    </row>
    <row r="99" spans="1:18" ht="45" x14ac:dyDescent="0.25">
      <c r="A99" s="1" t="s">
        <v>2588</v>
      </c>
      <c r="B99" s="1" t="s">
        <v>2589</v>
      </c>
      <c r="C99" s="1" t="s">
        <v>1325</v>
      </c>
      <c r="D99" s="2" t="str">
        <f>"2075-4663"</f>
        <v>2075-4663</v>
      </c>
      <c r="F99" s="2" t="str">
        <f>"2018 May 10"</f>
        <v>2018 May 10</v>
      </c>
      <c r="G99" s="3">
        <v>6</v>
      </c>
      <c r="H99" s="3">
        <v>2</v>
      </c>
      <c r="K99" s="2">
        <v>29910346</v>
      </c>
      <c r="L99" s="2" t="s">
        <v>2590</v>
      </c>
      <c r="M99" s="2" t="s">
        <v>775</v>
      </c>
      <c r="N99" s="2" t="s">
        <v>21</v>
      </c>
      <c r="Q99" s="2" t="s">
        <v>2591</v>
      </c>
      <c r="R99" s="6" t="s">
        <v>2592</v>
      </c>
    </row>
    <row r="100" spans="1:18" ht="75" x14ac:dyDescent="0.25">
      <c r="A100" s="1" t="s">
        <v>2593</v>
      </c>
      <c r="B100" s="1" t="s">
        <v>2594</v>
      </c>
      <c r="C100" s="1" t="s">
        <v>55</v>
      </c>
      <c r="D100" s="2" t="str">
        <f>"1878-1861"</f>
        <v>1878-1861</v>
      </c>
      <c r="F100" s="2" t="str">
        <f>"2018 Oct"</f>
        <v>2018 Oct</v>
      </c>
      <c r="G100" s="3">
        <v>21</v>
      </c>
      <c r="H100" s="3">
        <v>10</v>
      </c>
      <c r="I100" s="3">
        <v>1106</v>
      </c>
      <c r="K100" s="2">
        <v>29622491</v>
      </c>
      <c r="L100" s="2" t="s">
        <v>2595</v>
      </c>
      <c r="M100" s="2" t="s">
        <v>59</v>
      </c>
      <c r="N100" s="2" t="s">
        <v>21</v>
      </c>
      <c r="O100" s="1" t="s">
        <v>2596</v>
      </c>
      <c r="Q100" s="2" t="s">
        <v>2597</v>
      </c>
      <c r="R100" s="6" t="s">
        <v>2598</v>
      </c>
    </row>
    <row r="101" spans="1:18" ht="105" x14ac:dyDescent="0.25">
      <c r="A101" s="1" t="s">
        <v>2599</v>
      </c>
      <c r="B101" s="1" t="s">
        <v>2600</v>
      </c>
      <c r="C101" s="1" t="s">
        <v>444</v>
      </c>
      <c r="D101" s="2" t="str">
        <f>"1179-2035"</f>
        <v>1179-2035</v>
      </c>
      <c r="F101" s="2" t="str">
        <f>"2018 Jun"</f>
        <v>2018 Jun</v>
      </c>
      <c r="G101" s="3">
        <v>48</v>
      </c>
      <c r="H101" s="3">
        <v>6</v>
      </c>
      <c r="I101" s="3">
        <v>1369</v>
      </c>
      <c r="K101" s="2">
        <v>29627884</v>
      </c>
      <c r="L101" s="2" t="s">
        <v>2601</v>
      </c>
      <c r="M101" s="2" t="s">
        <v>446</v>
      </c>
      <c r="N101" s="2" t="s">
        <v>21</v>
      </c>
      <c r="O101" s="1" t="s">
        <v>2602</v>
      </c>
      <c r="Q101" s="2" t="s">
        <v>2603</v>
      </c>
      <c r="R101" s="6" t="s">
        <v>2604</v>
      </c>
    </row>
    <row r="102" spans="1:18" ht="75" x14ac:dyDescent="0.25">
      <c r="A102" s="1" t="s">
        <v>2605</v>
      </c>
      <c r="B102" s="1" t="s">
        <v>2606</v>
      </c>
      <c r="C102" s="1" t="s">
        <v>2607</v>
      </c>
      <c r="D102" s="2" t="str">
        <f>"2352-7226"</f>
        <v>2352-7226</v>
      </c>
      <c r="F102" s="2" t="str">
        <f>"2018 Aug"</f>
        <v>2018 Aug</v>
      </c>
      <c r="G102" s="3">
        <v>4</v>
      </c>
      <c r="H102" s="3">
        <v>4</v>
      </c>
      <c r="I102" s="3">
        <v>364</v>
      </c>
      <c r="K102" s="2">
        <v>30031530</v>
      </c>
      <c r="L102" s="2" t="s">
        <v>2608</v>
      </c>
      <c r="M102" s="2" t="s">
        <v>2609</v>
      </c>
      <c r="N102" s="2" t="s">
        <v>21</v>
      </c>
      <c r="O102" s="1" t="s">
        <v>2610</v>
      </c>
      <c r="Q102" s="2" t="s">
        <v>2611</v>
      </c>
      <c r="R102" s="6" t="s">
        <v>2612</v>
      </c>
    </row>
    <row r="103" spans="1:18" ht="60" x14ac:dyDescent="0.25">
      <c r="A103" s="1" t="s">
        <v>2613</v>
      </c>
      <c r="B103" s="1" t="s">
        <v>2614</v>
      </c>
      <c r="C103" s="1" t="s">
        <v>55</v>
      </c>
      <c r="D103" s="2" t="str">
        <f>"1878-1861"</f>
        <v>1878-1861</v>
      </c>
      <c r="F103" s="2" t="str">
        <f>"2018 Dec"</f>
        <v>2018 Dec</v>
      </c>
      <c r="G103" s="3">
        <v>21</v>
      </c>
      <c r="H103" s="3">
        <v>12</v>
      </c>
      <c r="I103" s="3">
        <v>1281</v>
      </c>
      <c r="K103" s="2">
        <v>29804652</v>
      </c>
      <c r="L103" s="2" t="s">
        <v>2615</v>
      </c>
      <c r="M103" s="2" t="s">
        <v>59</v>
      </c>
      <c r="N103" s="2" t="s">
        <v>21</v>
      </c>
      <c r="O103" s="1" t="s">
        <v>2616</v>
      </c>
      <c r="Q103" s="2" t="s">
        <v>2617</v>
      </c>
      <c r="R103" s="6" t="s">
        <v>2618</v>
      </c>
    </row>
    <row r="104" spans="1:18" ht="105" x14ac:dyDescent="0.25">
      <c r="A104" s="1" t="s">
        <v>2619</v>
      </c>
      <c r="B104" s="1" t="s">
        <v>2620</v>
      </c>
      <c r="C104" s="1" t="s">
        <v>82</v>
      </c>
      <c r="D104" s="2" t="str">
        <f>"1600-0838"</f>
        <v>1600-0838</v>
      </c>
      <c r="F104" s="2" t="str">
        <f>"2018 Oct"</f>
        <v>2018 Oct</v>
      </c>
      <c r="G104" s="3">
        <v>28</v>
      </c>
      <c r="H104" s="3">
        <v>10</v>
      </c>
      <c r="I104" s="3">
        <v>2123</v>
      </c>
      <c r="K104" s="2">
        <v>29790207</v>
      </c>
      <c r="L104" s="2" t="s">
        <v>2621</v>
      </c>
      <c r="M104" s="2" t="s">
        <v>86</v>
      </c>
      <c r="N104" s="2" t="s">
        <v>21</v>
      </c>
      <c r="O104" s="1" t="s">
        <v>2622</v>
      </c>
      <c r="Q104" s="2" t="s">
        <v>2623</v>
      </c>
      <c r="R104" s="6" t="s">
        <v>2624</v>
      </c>
    </row>
    <row r="105" spans="1:18" ht="90" x14ac:dyDescent="0.25">
      <c r="A105" s="1" t="s">
        <v>2625</v>
      </c>
      <c r="B105" s="1" t="s">
        <v>2626</v>
      </c>
      <c r="C105" s="1" t="s">
        <v>16</v>
      </c>
      <c r="D105" s="2" t="str">
        <f>"1752-6116"</f>
        <v>1752-6116</v>
      </c>
      <c r="F105" s="2" t="str">
        <f>"2018 Sep"</f>
        <v>2018 Sep</v>
      </c>
      <c r="G105" s="3">
        <v>17</v>
      </c>
      <c r="H105" s="3">
        <v>3</v>
      </c>
      <c r="I105" s="3">
        <v>383</v>
      </c>
      <c r="K105" s="2">
        <v>29129121</v>
      </c>
      <c r="L105" s="2" t="s">
        <v>2627</v>
      </c>
      <c r="M105" s="2" t="s">
        <v>20</v>
      </c>
      <c r="N105" s="2" t="s">
        <v>21</v>
      </c>
      <c r="O105" s="1" t="s">
        <v>2628</v>
      </c>
      <c r="Q105" s="2" t="s">
        <v>2629</v>
      </c>
      <c r="R105" s="6" t="s">
        <v>2630</v>
      </c>
    </row>
    <row r="106" spans="1:18" ht="105" x14ac:dyDescent="0.25">
      <c r="A106" s="1" t="s">
        <v>2631</v>
      </c>
      <c r="B106" s="1" t="s">
        <v>2632</v>
      </c>
      <c r="C106" s="1" t="s">
        <v>2633</v>
      </c>
      <c r="D106" s="2" t="str">
        <f>"1532-5040"</f>
        <v>1532-5040</v>
      </c>
      <c r="F106" s="2" t="str">
        <f>"2018 Feb"</f>
        <v>2018 Feb</v>
      </c>
      <c r="G106" s="3">
        <v>34</v>
      </c>
      <c r="H106" s="3">
        <v>2</v>
      </c>
      <c r="I106" s="3">
        <v>131</v>
      </c>
      <c r="K106" s="2">
        <v>28891759</v>
      </c>
      <c r="L106" s="2" t="s">
        <v>2634</v>
      </c>
      <c r="M106" s="2" t="s">
        <v>1143</v>
      </c>
      <c r="N106" s="2" t="s">
        <v>646</v>
      </c>
      <c r="O106" s="1" t="s">
        <v>2635</v>
      </c>
      <c r="Q106" s="2" t="s">
        <v>2636</v>
      </c>
      <c r="R106" s="6" t="s">
        <v>2637</v>
      </c>
    </row>
    <row r="107" spans="1:18" ht="120" x14ac:dyDescent="0.25">
      <c r="A107" s="1" t="s">
        <v>2638</v>
      </c>
      <c r="B107" s="1" t="s">
        <v>2639</v>
      </c>
      <c r="C107" s="1" t="s">
        <v>921</v>
      </c>
      <c r="D107" s="2" t="str">
        <f>"1466-447X"</f>
        <v>1466-447X</v>
      </c>
      <c r="F107" s="2" t="str">
        <f>"2018 Oct"</f>
        <v>2018 Oct</v>
      </c>
      <c r="G107" s="3">
        <v>36</v>
      </c>
      <c r="H107" s="3">
        <v>19</v>
      </c>
      <c r="I107" s="3">
        <v>2202</v>
      </c>
      <c r="K107" s="2">
        <v>29493398</v>
      </c>
      <c r="L107" s="2" t="s">
        <v>2640</v>
      </c>
      <c r="M107" s="2" t="s">
        <v>923</v>
      </c>
      <c r="N107" s="2" t="s">
        <v>21</v>
      </c>
      <c r="O107" s="1" t="s">
        <v>2641</v>
      </c>
      <c r="Q107" s="2" t="s">
        <v>2642</v>
      </c>
      <c r="R107" s="6" t="s">
        <v>2643</v>
      </c>
    </row>
    <row r="108" spans="1:18" ht="120" x14ac:dyDescent="0.25">
      <c r="A108" s="1" t="s">
        <v>2644</v>
      </c>
      <c r="B108" s="1" t="s">
        <v>2645</v>
      </c>
      <c r="C108" s="1" t="s">
        <v>36</v>
      </c>
      <c r="D108" s="2" t="str">
        <f>"1543-2742"</f>
        <v>1543-2742</v>
      </c>
      <c r="F108" s="2" t="str">
        <f>"2018 Sep 01"</f>
        <v>2018 Sep 01</v>
      </c>
      <c r="G108" s="3">
        <v>28</v>
      </c>
      <c r="H108" s="3">
        <v>5</v>
      </c>
      <c r="I108" s="3">
        <v>451</v>
      </c>
      <c r="K108" s="2">
        <v>30249148</v>
      </c>
      <c r="L108" s="2" t="s">
        <v>2646</v>
      </c>
      <c r="M108" s="2" t="s">
        <v>40</v>
      </c>
      <c r="N108" s="2" t="s">
        <v>21</v>
      </c>
      <c r="O108" s="1" t="s">
        <v>2647</v>
      </c>
      <c r="Q108" s="2" t="s">
        <v>2648</v>
      </c>
      <c r="R108" s="6" t="s">
        <v>2649</v>
      </c>
    </row>
    <row r="109" spans="1:18" ht="75" x14ac:dyDescent="0.25">
      <c r="A109" s="1" t="s">
        <v>2650</v>
      </c>
      <c r="B109" s="1" t="s">
        <v>2651</v>
      </c>
      <c r="C109" s="1" t="s">
        <v>1967</v>
      </c>
      <c r="D109" s="2" t="str">
        <f>"2288-176X"</f>
        <v>2288-176X</v>
      </c>
      <c r="F109" s="2" t="str">
        <f>"2018 Aug 24"</f>
        <v>2018 Aug 24</v>
      </c>
      <c r="G109" s="3">
        <v>14</v>
      </c>
      <c r="H109" s="3">
        <v>4</v>
      </c>
      <c r="I109" s="3">
        <v>612</v>
      </c>
      <c r="K109" s="2">
        <v>30276182</v>
      </c>
      <c r="L109" s="2" t="s">
        <v>2652</v>
      </c>
      <c r="M109" s="2" t="s">
        <v>1969</v>
      </c>
      <c r="N109" s="2" t="s">
        <v>21</v>
      </c>
      <c r="Q109" s="2" t="s">
        <v>2653</v>
      </c>
      <c r="R109" s="6" t="s">
        <v>2654</v>
      </c>
    </row>
    <row r="110" spans="1:18" ht="105" x14ac:dyDescent="0.25">
      <c r="A110" s="1" t="s">
        <v>2655</v>
      </c>
      <c r="B110" s="1" t="s">
        <v>2656</v>
      </c>
      <c r="C110" s="1" t="s">
        <v>1953</v>
      </c>
      <c r="D110" s="2" t="str">
        <f>"1303-2968"</f>
        <v>1303-2968</v>
      </c>
      <c r="F110" s="2" t="str">
        <f>"2018 Nov 20"</f>
        <v>2018 Nov 20</v>
      </c>
      <c r="G110" s="3">
        <v>17</v>
      </c>
      <c r="H110" s="3">
        <v>4</v>
      </c>
      <c r="I110" s="3">
        <v>607</v>
      </c>
      <c r="K110" s="2">
        <v>30479529</v>
      </c>
      <c r="M110" s="2" t="s">
        <v>1954</v>
      </c>
      <c r="N110" s="2" t="s">
        <v>21</v>
      </c>
      <c r="O110" s="1" t="s">
        <v>2657</v>
      </c>
      <c r="Q110" s="2" t="s">
        <v>2658</v>
      </c>
      <c r="R110" s="6" t="s">
        <v>2659</v>
      </c>
    </row>
    <row r="111" spans="1:18" ht="90" x14ac:dyDescent="0.25">
      <c r="A111" s="1" t="s">
        <v>2660</v>
      </c>
      <c r="B111" s="1" t="s">
        <v>2661</v>
      </c>
      <c r="C111" s="1" t="s">
        <v>444</v>
      </c>
      <c r="D111" s="2" t="str">
        <f>"1179-2035"</f>
        <v>1179-2035</v>
      </c>
      <c r="F111" s="2" t="str">
        <f>"2018 Mar"</f>
        <v>2018 Mar</v>
      </c>
      <c r="G111" s="3">
        <v>48</v>
      </c>
      <c r="H111" s="3" t="s">
        <v>2662</v>
      </c>
      <c r="I111" s="3">
        <v>65</v>
      </c>
      <c r="K111" s="2">
        <v>29363055</v>
      </c>
      <c r="L111" s="2" t="s">
        <v>2663</v>
      </c>
      <c r="M111" s="2" t="s">
        <v>446</v>
      </c>
      <c r="N111" s="2" t="s">
        <v>21</v>
      </c>
      <c r="O111" s="1" t="s">
        <v>2664</v>
      </c>
      <c r="Q111" s="2" t="s">
        <v>2665</v>
      </c>
      <c r="R111" s="6" t="s">
        <v>2666</v>
      </c>
    </row>
    <row r="112" spans="1:18" ht="90" x14ac:dyDescent="0.25">
      <c r="A112" s="1" t="s">
        <v>2667</v>
      </c>
      <c r="B112" s="1" t="s">
        <v>2668</v>
      </c>
      <c r="C112" s="1" t="s">
        <v>55</v>
      </c>
      <c r="D112" s="2" t="str">
        <f>"1878-1861"</f>
        <v>1878-1861</v>
      </c>
      <c r="F112" s="2" t="str">
        <f>"2018 Jan"</f>
        <v>2018 Jan</v>
      </c>
      <c r="G112" s="3">
        <v>21</v>
      </c>
      <c r="H112" s="3">
        <v>1</v>
      </c>
      <c r="I112" s="3">
        <v>84</v>
      </c>
      <c r="K112" s="2">
        <v>28663135</v>
      </c>
      <c r="L112" s="2" t="s">
        <v>2669</v>
      </c>
      <c r="M112" s="2" t="s">
        <v>59</v>
      </c>
      <c r="N112" s="2" t="s">
        <v>21</v>
      </c>
      <c r="O112" s="1" t="s">
        <v>2670</v>
      </c>
      <c r="Q112" s="2" t="s">
        <v>2671</v>
      </c>
      <c r="R112" s="6" t="s">
        <v>2672</v>
      </c>
    </row>
    <row r="113" spans="1:18" ht="60" x14ac:dyDescent="0.25">
      <c r="A113" s="1" t="s">
        <v>2673</v>
      </c>
      <c r="B113" s="1" t="s">
        <v>2674</v>
      </c>
      <c r="C113" s="1" t="s">
        <v>2271</v>
      </c>
      <c r="D113" s="2" t="str">
        <f>"1942-7611"</f>
        <v>1942-7611</v>
      </c>
      <c r="F113" s="2" t="str">
        <f>"2018 Feb 19"</f>
        <v>2018 Feb 19</v>
      </c>
      <c r="K113" s="2">
        <v>29457371</v>
      </c>
      <c r="L113" s="2" t="s">
        <v>2675</v>
      </c>
      <c r="M113" s="2" t="s">
        <v>2273</v>
      </c>
      <c r="N113" s="2" t="s">
        <v>21</v>
      </c>
      <c r="Q113" s="2" t="s">
        <v>2676</v>
      </c>
      <c r="R113" s="6" t="s">
        <v>2677</v>
      </c>
    </row>
    <row r="114" spans="1:18" ht="90" x14ac:dyDescent="0.25">
      <c r="A114" s="1" t="s">
        <v>2678</v>
      </c>
      <c r="B114" s="1" t="s">
        <v>2679</v>
      </c>
      <c r="C114" s="1" t="s">
        <v>2680</v>
      </c>
      <c r="D114" s="2" t="str">
        <f>"1940-1027"</f>
        <v>1940-1027</v>
      </c>
      <c r="F114" s="2" t="str">
        <f>"2018 Jul-Aug"</f>
        <v>2018 Jul-Aug</v>
      </c>
      <c r="G114" s="3">
        <v>50</v>
      </c>
      <c r="H114" s="3">
        <v>4</v>
      </c>
      <c r="I114" s="3">
        <v>353</v>
      </c>
      <c r="K114" s="2">
        <v>28925812</v>
      </c>
      <c r="L114" s="2" t="s">
        <v>2681</v>
      </c>
      <c r="M114" s="2" t="s">
        <v>923</v>
      </c>
      <c r="N114" s="2" t="s">
        <v>21</v>
      </c>
      <c r="O114" s="1" t="s">
        <v>2682</v>
      </c>
      <c r="Q114" s="2" t="s">
        <v>2683</v>
      </c>
      <c r="R114" s="6" t="s">
        <v>2684</v>
      </c>
    </row>
  </sheetData>
  <hyperlinks>
    <hyperlink ref="R2" r:id="rId1" xr:uid="{00000000-0004-0000-0100-000000000000}"/>
    <hyperlink ref="R3" r:id="rId2" xr:uid="{00000000-0004-0000-0100-000001000000}"/>
    <hyperlink ref="R4" r:id="rId3" xr:uid="{00000000-0004-0000-0100-000002000000}"/>
    <hyperlink ref="R5" r:id="rId4" xr:uid="{00000000-0004-0000-0100-000003000000}"/>
    <hyperlink ref="R6" r:id="rId5" xr:uid="{00000000-0004-0000-0100-000004000000}"/>
    <hyperlink ref="R7" r:id="rId6" xr:uid="{00000000-0004-0000-0100-000005000000}"/>
    <hyperlink ref="R8" r:id="rId7" xr:uid="{00000000-0004-0000-0100-000006000000}"/>
    <hyperlink ref="R9" r:id="rId8" xr:uid="{00000000-0004-0000-0100-000007000000}"/>
    <hyperlink ref="R10" r:id="rId9" xr:uid="{00000000-0004-0000-0100-000008000000}"/>
    <hyperlink ref="R11" r:id="rId10" xr:uid="{00000000-0004-0000-0100-000009000000}"/>
    <hyperlink ref="R12" r:id="rId11" xr:uid="{00000000-0004-0000-0100-00000A000000}"/>
    <hyperlink ref="R13" r:id="rId12" xr:uid="{00000000-0004-0000-0100-00000B000000}"/>
    <hyperlink ref="R14" r:id="rId13" xr:uid="{00000000-0004-0000-0100-00000C000000}"/>
    <hyperlink ref="R15" r:id="rId14" xr:uid="{00000000-0004-0000-0100-00000D000000}"/>
    <hyperlink ref="R16" r:id="rId15" xr:uid="{00000000-0004-0000-0100-00000E000000}"/>
    <hyperlink ref="R17" r:id="rId16" xr:uid="{00000000-0004-0000-0100-00000F000000}"/>
    <hyperlink ref="R18" r:id="rId17" xr:uid="{00000000-0004-0000-0100-000010000000}"/>
    <hyperlink ref="R19" r:id="rId18" xr:uid="{00000000-0004-0000-0100-000011000000}"/>
    <hyperlink ref="R20" r:id="rId19" xr:uid="{00000000-0004-0000-0100-000012000000}"/>
    <hyperlink ref="R21" r:id="rId20" xr:uid="{00000000-0004-0000-0100-000013000000}"/>
    <hyperlink ref="R22" r:id="rId21" xr:uid="{00000000-0004-0000-0100-000014000000}"/>
    <hyperlink ref="R23" r:id="rId22" xr:uid="{00000000-0004-0000-0100-000015000000}"/>
    <hyperlink ref="R24" r:id="rId23" xr:uid="{00000000-0004-0000-0100-000016000000}"/>
    <hyperlink ref="R25" r:id="rId24" xr:uid="{00000000-0004-0000-0100-000017000000}"/>
    <hyperlink ref="R26" r:id="rId25" xr:uid="{00000000-0004-0000-0100-000018000000}"/>
    <hyperlink ref="R27" r:id="rId26" xr:uid="{00000000-0004-0000-0100-000019000000}"/>
    <hyperlink ref="R28" r:id="rId27" xr:uid="{00000000-0004-0000-0100-00001A000000}"/>
    <hyperlink ref="R29" r:id="rId28" xr:uid="{00000000-0004-0000-0100-00001B000000}"/>
    <hyperlink ref="R30" r:id="rId29" xr:uid="{00000000-0004-0000-0100-00001C000000}"/>
    <hyperlink ref="R31" r:id="rId30" xr:uid="{00000000-0004-0000-0100-00001D000000}"/>
    <hyperlink ref="R32" r:id="rId31" xr:uid="{00000000-0004-0000-0100-00001E000000}"/>
    <hyperlink ref="R33" r:id="rId32" xr:uid="{00000000-0004-0000-0100-00001F000000}"/>
    <hyperlink ref="R34" r:id="rId33" xr:uid="{00000000-0004-0000-0100-000020000000}"/>
    <hyperlink ref="R35" r:id="rId34" xr:uid="{00000000-0004-0000-0100-000021000000}"/>
    <hyperlink ref="R36" r:id="rId35" xr:uid="{00000000-0004-0000-0100-000022000000}"/>
    <hyperlink ref="R37" r:id="rId36" xr:uid="{00000000-0004-0000-0100-000023000000}"/>
    <hyperlink ref="R38" r:id="rId37" xr:uid="{00000000-0004-0000-0100-000024000000}"/>
    <hyperlink ref="R39" r:id="rId38" xr:uid="{00000000-0004-0000-0100-000025000000}"/>
    <hyperlink ref="R40" r:id="rId39" xr:uid="{00000000-0004-0000-0100-000026000000}"/>
    <hyperlink ref="R41" r:id="rId40" xr:uid="{00000000-0004-0000-0100-000027000000}"/>
    <hyperlink ref="R42" r:id="rId41" xr:uid="{00000000-0004-0000-0100-000028000000}"/>
    <hyperlink ref="R43" r:id="rId42" xr:uid="{00000000-0004-0000-0100-000029000000}"/>
    <hyperlink ref="R44" r:id="rId43" xr:uid="{00000000-0004-0000-0100-00002A000000}"/>
    <hyperlink ref="R45" r:id="rId44" xr:uid="{00000000-0004-0000-0100-00002B000000}"/>
    <hyperlink ref="R46" r:id="rId45" xr:uid="{00000000-0004-0000-0100-00002C000000}"/>
    <hyperlink ref="R47" r:id="rId46" xr:uid="{00000000-0004-0000-0100-00002D000000}"/>
    <hyperlink ref="R48" r:id="rId47" xr:uid="{00000000-0004-0000-0100-00002E000000}"/>
    <hyperlink ref="R49" r:id="rId48" xr:uid="{00000000-0004-0000-0100-00002F000000}"/>
    <hyperlink ref="R50" r:id="rId49" xr:uid="{00000000-0004-0000-0100-000030000000}"/>
    <hyperlink ref="R51" r:id="rId50" xr:uid="{00000000-0004-0000-0100-000031000000}"/>
    <hyperlink ref="R52" r:id="rId51" xr:uid="{00000000-0004-0000-0100-000032000000}"/>
    <hyperlink ref="R53" r:id="rId52" xr:uid="{00000000-0004-0000-0100-000033000000}"/>
    <hyperlink ref="R54" r:id="rId53" xr:uid="{00000000-0004-0000-0100-000034000000}"/>
    <hyperlink ref="R55" r:id="rId54" xr:uid="{00000000-0004-0000-0100-000035000000}"/>
    <hyperlink ref="R56" r:id="rId55" xr:uid="{00000000-0004-0000-0100-000036000000}"/>
    <hyperlink ref="R57" r:id="rId56" xr:uid="{00000000-0004-0000-0100-000037000000}"/>
    <hyperlink ref="R58" r:id="rId57" xr:uid="{00000000-0004-0000-0100-000038000000}"/>
    <hyperlink ref="R59" r:id="rId58" xr:uid="{00000000-0004-0000-0100-000039000000}"/>
    <hyperlink ref="R60" r:id="rId59" xr:uid="{00000000-0004-0000-0100-00003A000000}"/>
    <hyperlink ref="R61" r:id="rId60" xr:uid="{00000000-0004-0000-0100-00003B000000}"/>
    <hyperlink ref="R62" r:id="rId61" xr:uid="{00000000-0004-0000-0100-00003C000000}"/>
    <hyperlink ref="R63" r:id="rId62" xr:uid="{00000000-0004-0000-0100-00003D000000}"/>
    <hyperlink ref="R64" r:id="rId63" xr:uid="{00000000-0004-0000-0100-00003E000000}"/>
    <hyperlink ref="R65" r:id="rId64" xr:uid="{00000000-0004-0000-0100-00003F000000}"/>
    <hyperlink ref="R66" r:id="rId65" xr:uid="{00000000-0004-0000-0100-000040000000}"/>
    <hyperlink ref="R67" r:id="rId66" xr:uid="{00000000-0004-0000-0100-000041000000}"/>
    <hyperlink ref="R68" r:id="rId67" xr:uid="{00000000-0004-0000-0100-000042000000}"/>
    <hyperlink ref="R69" r:id="rId68" xr:uid="{00000000-0004-0000-0100-000043000000}"/>
    <hyperlink ref="R70" r:id="rId69" xr:uid="{00000000-0004-0000-0100-000044000000}"/>
    <hyperlink ref="R71" r:id="rId70" xr:uid="{00000000-0004-0000-0100-000045000000}"/>
    <hyperlink ref="R72" r:id="rId71" xr:uid="{00000000-0004-0000-0100-000046000000}"/>
    <hyperlink ref="R73" r:id="rId72" xr:uid="{00000000-0004-0000-0100-000047000000}"/>
    <hyperlink ref="R74" r:id="rId73" xr:uid="{00000000-0004-0000-0100-000048000000}"/>
    <hyperlink ref="R75" r:id="rId74" xr:uid="{00000000-0004-0000-0100-000049000000}"/>
    <hyperlink ref="R76" r:id="rId75" xr:uid="{00000000-0004-0000-0100-00004A000000}"/>
    <hyperlink ref="R77" r:id="rId76" xr:uid="{00000000-0004-0000-0100-00004B000000}"/>
    <hyperlink ref="R78" r:id="rId77" xr:uid="{00000000-0004-0000-0100-00004C000000}"/>
    <hyperlink ref="R79" r:id="rId78" xr:uid="{00000000-0004-0000-0100-00004D000000}"/>
    <hyperlink ref="R80" r:id="rId79" xr:uid="{00000000-0004-0000-0100-00004E000000}"/>
    <hyperlink ref="R81" r:id="rId80" xr:uid="{00000000-0004-0000-0100-00004F000000}"/>
    <hyperlink ref="R82" r:id="rId81" xr:uid="{00000000-0004-0000-0100-000050000000}"/>
    <hyperlink ref="R83" r:id="rId82" xr:uid="{00000000-0004-0000-0100-000051000000}"/>
    <hyperlink ref="R84" r:id="rId83" xr:uid="{00000000-0004-0000-0100-000052000000}"/>
    <hyperlink ref="R85" r:id="rId84" xr:uid="{00000000-0004-0000-0100-000053000000}"/>
    <hyperlink ref="R86" r:id="rId85" xr:uid="{00000000-0004-0000-0100-000054000000}"/>
    <hyperlink ref="R87" r:id="rId86" xr:uid="{00000000-0004-0000-0100-000055000000}"/>
    <hyperlink ref="R88" r:id="rId87" xr:uid="{00000000-0004-0000-0100-000056000000}"/>
    <hyperlink ref="R89" r:id="rId88" xr:uid="{00000000-0004-0000-0100-000057000000}"/>
    <hyperlink ref="R90" r:id="rId89" xr:uid="{00000000-0004-0000-0100-000058000000}"/>
    <hyperlink ref="R91" r:id="rId90" xr:uid="{00000000-0004-0000-0100-000059000000}"/>
    <hyperlink ref="R92" r:id="rId91" xr:uid="{00000000-0004-0000-0100-00005A000000}"/>
    <hyperlink ref="R93" r:id="rId92" xr:uid="{00000000-0004-0000-0100-00005B000000}"/>
    <hyperlink ref="R94" r:id="rId93" xr:uid="{00000000-0004-0000-0100-00005C000000}"/>
    <hyperlink ref="R95" r:id="rId94" xr:uid="{00000000-0004-0000-0100-00005D000000}"/>
    <hyperlink ref="R96" r:id="rId95" xr:uid="{00000000-0004-0000-0100-00005E000000}"/>
    <hyperlink ref="R97" r:id="rId96" xr:uid="{00000000-0004-0000-0100-00005F000000}"/>
    <hyperlink ref="R98" r:id="rId97" xr:uid="{00000000-0004-0000-0100-000060000000}"/>
    <hyperlink ref="R99" r:id="rId98" xr:uid="{00000000-0004-0000-0100-000061000000}"/>
    <hyperlink ref="R100" r:id="rId99" xr:uid="{00000000-0004-0000-0100-000062000000}"/>
    <hyperlink ref="R101" r:id="rId100" xr:uid="{00000000-0004-0000-0100-000063000000}"/>
    <hyperlink ref="R102" r:id="rId101" xr:uid="{00000000-0004-0000-0100-000064000000}"/>
    <hyperlink ref="R103" r:id="rId102" xr:uid="{00000000-0004-0000-0100-000065000000}"/>
    <hyperlink ref="R104" r:id="rId103" xr:uid="{00000000-0004-0000-0100-000066000000}"/>
    <hyperlink ref="R105" r:id="rId104" xr:uid="{00000000-0004-0000-0100-000067000000}"/>
    <hyperlink ref="R106" r:id="rId105" xr:uid="{00000000-0004-0000-0100-000068000000}"/>
    <hyperlink ref="R107" r:id="rId106" xr:uid="{00000000-0004-0000-0100-000069000000}"/>
    <hyperlink ref="R108" r:id="rId107" xr:uid="{00000000-0004-0000-0100-00006A000000}"/>
    <hyperlink ref="R109" r:id="rId108" xr:uid="{00000000-0004-0000-0100-00006B000000}"/>
    <hyperlink ref="R110" r:id="rId109" xr:uid="{00000000-0004-0000-0100-00006C000000}"/>
    <hyperlink ref="R111" r:id="rId110" xr:uid="{00000000-0004-0000-0100-00006D000000}"/>
    <hyperlink ref="R112" r:id="rId111" xr:uid="{00000000-0004-0000-0100-00006E000000}"/>
    <hyperlink ref="R113" r:id="rId112" xr:uid="{00000000-0004-0000-0100-00006F000000}"/>
    <hyperlink ref="R114" r:id="rId113" xr:uid="{00000000-0004-0000-0100-000070000000}"/>
  </hyperlinks>
  <pageMargins left="0.7" right="0.7" top="0.75" bottom="0.75" header="0.3" footer="0.3"/>
  <headerFooter>
    <oddHeader>&amp;C&amp;"Calibri"&amp;12&amp;KFF0000 OFFICIAL&amp;1#_x000D_</oddHeader>
  </headerFooter>
  <tableParts count="1">
    <tablePart r:id="rId11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85"/>
  <sheetViews>
    <sheetView workbookViewId="0">
      <selection activeCell="R86" sqref="R86"/>
    </sheetView>
  </sheetViews>
  <sheetFormatPr defaultColWidth="8.7109375" defaultRowHeight="15" x14ac:dyDescent="0.25"/>
  <cols>
    <col min="1" max="1" width="31.140625" style="1" customWidth="1"/>
    <col min="2" max="2" width="31.28515625" style="1" customWidth="1"/>
    <col min="3" max="3" width="27.140625" style="1" customWidth="1"/>
    <col min="4" max="4" width="9.42578125" style="2" bestFit="1" customWidth="1"/>
    <col min="5" max="5" width="0" style="2" hidden="1" customWidth="1"/>
    <col min="6" max="6" width="16.85546875" style="2" customWidth="1"/>
    <col min="7" max="7" width="9.42578125" style="3" customWidth="1"/>
    <col min="8" max="8" width="8.7109375" style="3"/>
    <col min="9" max="9" width="11.140625" style="3" customWidth="1"/>
    <col min="10" max="10" width="12.42578125" style="2" hidden="1" customWidth="1"/>
    <col min="11" max="11" width="18.42578125" style="2" hidden="1" customWidth="1"/>
    <col min="12" max="12" width="28.7109375" style="2" bestFit="1" customWidth="1"/>
    <col min="13" max="13" width="31.42578125" style="2" customWidth="1"/>
    <col min="14" max="14" width="17.140625" style="2" bestFit="1" customWidth="1"/>
    <col min="15" max="15" width="40.85546875" style="1" customWidth="1"/>
    <col min="16" max="16" width="25.42578125" style="2" hidden="1" customWidth="1"/>
    <col min="17" max="17" width="34.140625" style="2" customWidth="1"/>
    <col min="18" max="18" width="26.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75" x14ac:dyDescent="0.25">
      <c r="A2" s="1" t="s">
        <v>2685</v>
      </c>
      <c r="B2" s="1" t="s">
        <v>2686</v>
      </c>
      <c r="C2" s="1" t="s">
        <v>824</v>
      </c>
      <c r="D2" s="2" t="str">
        <f>"1715-5320"</f>
        <v>1715-5320</v>
      </c>
      <c r="F2" s="2" t="str">
        <f>"2017 Jun"</f>
        <v>2017 Jun</v>
      </c>
      <c r="G2" s="3">
        <v>42</v>
      </c>
      <c r="H2" s="3">
        <v>6</v>
      </c>
      <c r="I2" s="3">
        <v>672</v>
      </c>
      <c r="K2" s="2">
        <v>28278387</v>
      </c>
      <c r="L2" s="2" t="s">
        <v>2687</v>
      </c>
      <c r="M2" s="2" t="s">
        <v>826</v>
      </c>
      <c r="N2" s="2" t="s">
        <v>21</v>
      </c>
      <c r="O2" s="1" t="s">
        <v>2688</v>
      </c>
      <c r="Q2" s="2" t="s">
        <v>2689</v>
      </c>
      <c r="R2" s="6" t="s">
        <v>2690</v>
      </c>
    </row>
    <row r="3" spans="1:18" ht="135" x14ac:dyDescent="0.25">
      <c r="A3" s="1" t="s">
        <v>2691</v>
      </c>
      <c r="B3" s="1" t="s">
        <v>2692</v>
      </c>
      <c r="C3" s="1" t="s">
        <v>55</v>
      </c>
      <c r="D3" s="2" t="str">
        <f>"1878-1861"</f>
        <v>1878-1861</v>
      </c>
      <c r="F3" s="2" t="str">
        <f>"2017 Aug"</f>
        <v>2017 Aug</v>
      </c>
      <c r="G3" s="3">
        <v>20</v>
      </c>
      <c r="H3" s="3">
        <v>8</v>
      </c>
      <c r="I3" s="3">
        <v>745</v>
      </c>
      <c r="K3" s="2">
        <v>28385561</v>
      </c>
      <c r="L3" s="2" t="s">
        <v>2693</v>
      </c>
      <c r="M3" s="2" t="s">
        <v>59</v>
      </c>
      <c r="N3" s="2" t="s">
        <v>21</v>
      </c>
      <c r="O3" s="1" t="s">
        <v>2694</v>
      </c>
      <c r="Q3" s="2" t="s">
        <v>2695</v>
      </c>
      <c r="R3" s="6" t="s">
        <v>2696</v>
      </c>
    </row>
    <row r="4" spans="1:18" ht="45" x14ac:dyDescent="0.25">
      <c r="A4" s="1" t="s">
        <v>2697</v>
      </c>
      <c r="B4" s="1" t="s">
        <v>2698</v>
      </c>
      <c r="C4" s="1" t="s">
        <v>55</v>
      </c>
      <c r="D4" s="2" t="str">
        <f>"1878-1861"</f>
        <v>1878-1861</v>
      </c>
      <c r="F4" s="2" t="str">
        <f>"2017 Mar"</f>
        <v>2017 Mar</v>
      </c>
      <c r="G4" s="3">
        <v>20</v>
      </c>
      <c r="H4" s="3">
        <v>3</v>
      </c>
      <c r="I4" s="3">
        <v>241</v>
      </c>
      <c r="K4" s="2">
        <v>27566896</v>
      </c>
      <c r="L4" s="2" t="s">
        <v>2699</v>
      </c>
      <c r="M4" s="2" t="s">
        <v>59</v>
      </c>
      <c r="N4" s="2" t="s">
        <v>21</v>
      </c>
      <c r="O4" s="1" t="s">
        <v>2700</v>
      </c>
      <c r="Q4" s="2" t="s">
        <v>2701</v>
      </c>
      <c r="R4" s="6" t="s">
        <v>2702</v>
      </c>
    </row>
    <row r="5" spans="1:18" ht="45" x14ac:dyDescent="0.25">
      <c r="A5" s="1" t="s">
        <v>2703</v>
      </c>
      <c r="B5" s="1" t="s">
        <v>2704</v>
      </c>
      <c r="C5" s="1" t="s">
        <v>318</v>
      </c>
      <c r="D5" s="2" t="str">
        <f>"1555-0273"</f>
        <v>1555-0273</v>
      </c>
      <c r="F5" s="2" t="str">
        <f>"2017 Nov 01"</f>
        <v>2017 Nov 01</v>
      </c>
      <c r="G5" s="3">
        <v>12</v>
      </c>
      <c r="H5" s="3">
        <v>10</v>
      </c>
      <c r="I5" s="3">
        <v>1273</v>
      </c>
      <c r="K5" s="2">
        <v>29282990</v>
      </c>
      <c r="L5" s="2" t="s">
        <v>2705</v>
      </c>
      <c r="M5" s="2" t="s">
        <v>322</v>
      </c>
      <c r="N5" s="2" t="s">
        <v>633</v>
      </c>
      <c r="O5" s="1" t="s">
        <v>2706</v>
      </c>
      <c r="R5" s="6" t="s">
        <v>2707</v>
      </c>
    </row>
    <row r="6" spans="1:18" ht="135" x14ac:dyDescent="0.25">
      <c r="A6" s="1" t="s">
        <v>2708</v>
      </c>
      <c r="B6" s="1" t="s">
        <v>2709</v>
      </c>
      <c r="C6" s="1" t="s">
        <v>921</v>
      </c>
      <c r="D6" s="2" t="str">
        <f>"1466-447X"</f>
        <v>1466-447X</v>
      </c>
      <c r="F6" s="2" t="str">
        <f>"2017 Apr"</f>
        <v>2017 Apr</v>
      </c>
      <c r="G6" s="3">
        <v>35</v>
      </c>
      <c r="H6" s="3">
        <v>8</v>
      </c>
      <c r="I6" s="3">
        <v>769</v>
      </c>
      <c r="K6" s="2">
        <v>27241475</v>
      </c>
      <c r="L6" s="2" t="s">
        <v>2710</v>
      </c>
      <c r="M6" s="2" t="s">
        <v>923</v>
      </c>
      <c r="N6" s="2" t="s">
        <v>21</v>
      </c>
      <c r="O6" s="1" t="s">
        <v>2711</v>
      </c>
      <c r="Q6" s="2" t="s">
        <v>2712</v>
      </c>
      <c r="R6" s="6" t="s">
        <v>2713</v>
      </c>
    </row>
    <row r="7" spans="1:18" ht="120" x14ac:dyDescent="0.25">
      <c r="A7" s="1" t="s">
        <v>2714</v>
      </c>
      <c r="B7" s="1" t="s">
        <v>2715</v>
      </c>
      <c r="C7" s="1" t="s">
        <v>533</v>
      </c>
      <c r="D7" s="2" t="str">
        <f>"1873-1600"</f>
        <v>1873-1600</v>
      </c>
      <c r="F7" s="2" t="str">
        <f>"2017 Jul"</f>
        <v>2017 Jul</v>
      </c>
      <c r="G7" s="3">
        <v>26</v>
      </c>
      <c r="I7" s="3">
        <v>7</v>
      </c>
      <c r="K7" s="2">
        <v>28549243</v>
      </c>
      <c r="L7" s="2" t="s">
        <v>2716</v>
      </c>
      <c r="M7" s="2" t="s">
        <v>535</v>
      </c>
      <c r="N7" s="2" t="s">
        <v>21</v>
      </c>
      <c r="O7" s="1" t="s">
        <v>2717</v>
      </c>
      <c r="Q7" s="2" t="s">
        <v>2718</v>
      </c>
      <c r="R7" s="6" t="s">
        <v>2719</v>
      </c>
    </row>
    <row r="8" spans="1:18" ht="90" x14ac:dyDescent="0.25">
      <c r="A8" s="1" t="s">
        <v>2720</v>
      </c>
      <c r="B8" s="1" t="s">
        <v>2721</v>
      </c>
      <c r="C8" s="1" t="s">
        <v>2009</v>
      </c>
      <c r="D8" s="2" t="str">
        <f>"1326-5377"</f>
        <v>1326-5377</v>
      </c>
      <c r="F8" s="2" t="str">
        <f>"2017 Jan 16"</f>
        <v>2017 Jan 16</v>
      </c>
      <c r="G8" s="3">
        <v>206</v>
      </c>
      <c r="H8" s="3">
        <v>1</v>
      </c>
      <c r="I8" s="3">
        <v>46</v>
      </c>
      <c r="K8" s="2">
        <v>28076736</v>
      </c>
      <c r="L8" s="2" t="s">
        <v>2722</v>
      </c>
      <c r="M8" s="2" t="s">
        <v>2011</v>
      </c>
      <c r="N8" s="2" t="s">
        <v>21</v>
      </c>
      <c r="O8" s="1" t="s">
        <v>2723</v>
      </c>
      <c r="Q8" s="2" t="s">
        <v>2724</v>
      </c>
      <c r="R8" s="6" t="s">
        <v>2725</v>
      </c>
    </row>
    <row r="9" spans="1:18" ht="90" x14ac:dyDescent="0.25">
      <c r="A9" s="1" t="s">
        <v>2726</v>
      </c>
      <c r="B9" s="1" t="s">
        <v>2727</v>
      </c>
      <c r="C9" s="1" t="s">
        <v>2728</v>
      </c>
      <c r="D9" s="2" t="str">
        <f>"1758-8111"</f>
        <v>1758-8111</v>
      </c>
      <c r="F9" s="2" t="str">
        <f>"2017 Apr"</f>
        <v>2017 Apr</v>
      </c>
      <c r="G9" s="3">
        <v>7</v>
      </c>
      <c r="H9" s="3">
        <v>2</v>
      </c>
      <c r="I9" s="3">
        <v>105</v>
      </c>
      <c r="K9" s="2">
        <v>28199047</v>
      </c>
      <c r="L9" s="2" t="s">
        <v>2729</v>
      </c>
      <c r="M9" s="2" t="s">
        <v>216</v>
      </c>
      <c r="N9" s="2" t="s">
        <v>21</v>
      </c>
      <c r="O9" s="1" t="s">
        <v>2730</v>
      </c>
      <c r="Q9" s="2" t="s">
        <v>2731</v>
      </c>
      <c r="R9" s="6" t="s">
        <v>2732</v>
      </c>
    </row>
    <row r="10" spans="1:18" ht="60" x14ac:dyDescent="0.25">
      <c r="A10" s="1" t="s">
        <v>2733</v>
      </c>
      <c r="B10" s="1" t="s">
        <v>2734</v>
      </c>
      <c r="C10" s="1" t="s">
        <v>163</v>
      </c>
      <c r="D10" s="2" t="str">
        <f>"2199-1170"</f>
        <v>2199-1170</v>
      </c>
      <c r="F10" s="2" t="str">
        <f>"2017 Dec"</f>
        <v>2017 Dec</v>
      </c>
      <c r="G10" s="3">
        <v>3</v>
      </c>
      <c r="H10" s="3">
        <v>1</v>
      </c>
      <c r="I10" s="3">
        <v>20</v>
      </c>
      <c r="K10" s="2">
        <v>28523640</v>
      </c>
      <c r="L10" s="2" t="s">
        <v>2735</v>
      </c>
      <c r="M10" s="2" t="s">
        <v>167</v>
      </c>
      <c r="N10" s="2" t="s">
        <v>21</v>
      </c>
      <c r="Q10" s="2" t="s">
        <v>2736</v>
      </c>
      <c r="R10" s="6" t="s">
        <v>2737</v>
      </c>
    </row>
    <row r="11" spans="1:18" ht="90" x14ac:dyDescent="0.25">
      <c r="A11" s="1" t="s">
        <v>2738</v>
      </c>
      <c r="B11" s="1" t="s">
        <v>2739</v>
      </c>
      <c r="C11" s="1" t="s">
        <v>1489</v>
      </c>
      <c r="D11" s="2" t="str">
        <f>"1552-3365"</f>
        <v>1552-3365</v>
      </c>
      <c r="F11" s="2" t="str">
        <f>"2017 Apr"</f>
        <v>2017 Apr</v>
      </c>
      <c r="G11" s="3">
        <v>45</v>
      </c>
      <c r="H11" s="3">
        <v>5</v>
      </c>
      <c r="I11" s="3">
        <v>1162</v>
      </c>
      <c r="K11" s="2">
        <v>28129518</v>
      </c>
      <c r="L11" s="2" t="s">
        <v>2740</v>
      </c>
      <c r="M11" s="2" t="s">
        <v>31</v>
      </c>
      <c r="N11" s="2" t="s">
        <v>21</v>
      </c>
      <c r="O11" s="1" t="s">
        <v>2741</v>
      </c>
      <c r="Q11" s="2" t="s">
        <v>2742</v>
      </c>
      <c r="R11" s="6" t="s">
        <v>2743</v>
      </c>
    </row>
    <row r="12" spans="1:18" ht="90" x14ac:dyDescent="0.25">
      <c r="A12" s="1" t="s">
        <v>2744</v>
      </c>
      <c r="B12" s="1" t="s">
        <v>2745</v>
      </c>
      <c r="C12" s="1" t="s">
        <v>2746</v>
      </c>
      <c r="D12" s="2" t="str">
        <f>"1430-2772"</f>
        <v>1430-2772</v>
      </c>
      <c r="F12" s="2" t="str">
        <f>"2017 Sep"</f>
        <v>2017 Sep</v>
      </c>
      <c r="G12" s="3">
        <v>81</v>
      </c>
      <c r="H12" s="3">
        <v>5</v>
      </c>
      <c r="I12" s="3">
        <v>1051</v>
      </c>
      <c r="K12" s="2">
        <v>27465395</v>
      </c>
      <c r="L12" s="2" t="s">
        <v>2747</v>
      </c>
      <c r="M12" s="2" t="s">
        <v>50</v>
      </c>
      <c r="N12" s="2" t="s">
        <v>21</v>
      </c>
      <c r="O12" s="1" t="s">
        <v>2748</v>
      </c>
      <c r="Q12" s="2" t="s">
        <v>2749</v>
      </c>
      <c r="R12" s="6" t="s">
        <v>2750</v>
      </c>
    </row>
    <row r="13" spans="1:18" ht="165" x14ac:dyDescent="0.25">
      <c r="A13" s="1" t="s">
        <v>2751</v>
      </c>
      <c r="B13" s="1" t="s">
        <v>2752</v>
      </c>
      <c r="C13" s="1" t="s">
        <v>1300</v>
      </c>
      <c r="D13" s="2" t="str">
        <f>"1077-5552"</f>
        <v>1077-5552</v>
      </c>
      <c r="F13" s="2" t="str">
        <f>"2017"</f>
        <v>2017</v>
      </c>
      <c r="G13" s="3">
        <v>23</v>
      </c>
      <c r="I13" s="3">
        <v>52</v>
      </c>
      <c r="K13" s="2">
        <v>28230530</v>
      </c>
      <c r="M13" s="2" t="s">
        <v>1301</v>
      </c>
      <c r="N13" s="2" t="s">
        <v>21</v>
      </c>
      <c r="O13" s="1" t="s">
        <v>2753</v>
      </c>
      <c r="Q13" s="2" t="s">
        <v>2754</v>
      </c>
      <c r="R13" s="6" t="s">
        <v>2755</v>
      </c>
    </row>
    <row r="14" spans="1:18" ht="60" x14ac:dyDescent="0.25">
      <c r="A14" s="1" t="s">
        <v>2756</v>
      </c>
      <c r="B14" s="1" t="s">
        <v>2757</v>
      </c>
      <c r="C14" s="1" t="s">
        <v>444</v>
      </c>
      <c r="D14" s="2" t="str">
        <f>"1179-2035"</f>
        <v>1179-2035</v>
      </c>
      <c r="F14" s="2" t="str">
        <f>"2017 Jun"</f>
        <v>2017 Jun</v>
      </c>
      <c r="G14" s="3">
        <v>47</v>
      </c>
      <c r="H14" s="3">
        <v>6</v>
      </c>
      <c r="I14" s="3">
        <v>1043</v>
      </c>
      <c r="K14" s="2">
        <v>27873190</v>
      </c>
      <c r="L14" s="2" t="s">
        <v>2758</v>
      </c>
      <c r="M14" s="2" t="s">
        <v>446</v>
      </c>
      <c r="N14" s="2" t="s">
        <v>21</v>
      </c>
      <c r="O14" s="1" t="s">
        <v>2759</v>
      </c>
      <c r="Q14" s="2" t="s">
        <v>2760</v>
      </c>
      <c r="R14" s="6" t="s">
        <v>2761</v>
      </c>
    </row>
    <row r="15" spans="1:18" ht="90" x14ac:dyDescent="0.25">
      <c r="A15" s="1" t="s">
        <v>2762</v>
      </c>
      <c r="B15" s="1" t="s">
        <v>2763</v>
      </c>
      <c r="C15" s="1" t="s">
        <v>921</v>
      </c>
      <c r="D15" s="2" t="str">
        <f>"1466-447X"</f>
        <v>1466-447X</v>
      </c>
      <c r="F15" s="2" t="str">
        <f>"2017 Dec"</f>
        <v>2017 Dec</v>
      </c>
      <c r="G15" s="3">
        <v>35</v>
      </c>
      <c r="H15" s="3">
        <v>24</v>
      </c>
      <c r="I15" s="3">
        <v>2439</v>
      </c>
      <c r="K15" s="2">
        <v>28282752</v>
      </c>
      <c r="L15" s="2" t="s">
        <v>2764</v>
      </c>
      <c r="M15" s="2" t="s">
        <v>923</v>
      </c>
      <c r="N15" s="2" t="s">
        <v>21</v>
      </c>
      <c r="O15" s="1" t="s">
        <v>2765</v>
      </c>
      <c r="Q15" s="2" t="s">
        <v>2766</v>
      </c>
      <c r="R15" s="6" t="s">
        <v>2767</v>
      </c>
    </row>
    <row r="16" spans="1:18" ht="45" x14ac:dyDescent="0.25">
      <c r="A16" s="1" t="s">
        <v>2768</v>
      </c>
      <c r="B16" s="1" t="s">
        <v>2606</v>
      </c>
      <c r="C16" s="1" t="s">
        <v>133</v>
      </c>
      <c r="D16" s="2" t="str">
        <f>"1536-7290"</f>
        <v>1536-7290</v>
      </c>
      <c r="F16" s="2" t="str">
        <f>"2017 Sep"</f>
        <v>2017 Sep</v>
      </c>
      <c r="G16" s="3">
        <v>17</v>
      </c>
      <c r="H16" s="3">
        <v>8</v>
      </c>
      <c r="I16" s="3">
        <v>964</v>
      </c>
      <c r="K16" s="2">
        <v>28585467</v>
      </c>
      <c r="L16" s="2" t="s">
        <v>2769</v>
      </c>
      <c r="M16" s="2" t="s">
        <v>500</v>
      </c>
      <c r="N16" s="2" t="s">
        <v>21</v>
      </c>
      <c r="O16" s="1" t="s">
        <v>2770</v>
      </c>
      <c r="Q16" s="2" t="s">
        <v>2771</v>
      </c>
      <c r="R16" s="6" t="s">
        <v>2772</v>
      </c>
    </row>
    <row r="17" spans="1:18" ht="75" x14ac:dyDescent="0.25">
      <c r="A17" s="1" t="s">
        <v>2773</v>
      </c>
      <c r="B17" s="1" t="s">
        <v>2774</v>
      </c>
      <c r="C17" s="1" t="s">
        <v>55</v>
      </c>
      <c r="D17" s="2" t="str">
        <f>"1878-1861"</f>
        <v>1878-1861</v>
      </c>
      <c r="F17" s="2" t="str">
        <f>"2017 Feb"</f>
        <v>2017 Feb</v>
      </c>
      <c r="G17" s="3">
        <v>20</v>
      </c>
      <c r="H17" s="3">
        <v>2</v>
      </c>
      <c r="I17" s="3">
        <v>164</v>
      </c>
      <c r="K17" s="2">
        <v>27526635</v>
      </c>
      <c r="L17" s="2" t="s">
        <v>2775</v>
      </c>
      <c r="M17" s="2" t="s">
        <v>59</v>
      </c>
      <c r="N17" s="2" t="s">
        <v>21</v>
      </c>
      <c r="O17" s="1" t="s">
        <v>2776</v>
      </c>
      <c r="Q17" s="2" t="s">
        <v>2777</v>
      </c>
      <c r="R17" s="6" t="s">
        <v>2778</v>
      </c>
    </row>
    <row r="18" spans="1:18" ht="180" x14ac:dyDescent="0.25">
      <c r="A18" s="1" t="s">
        <v>2779</v>
      </c>
      <c r="B18" s="1" t="s">
        <v>2780</v>
      </c>
      <c r="C18" s="1" t="s">
        <v>797</v>
      </c>
      <c r="D18" s="2" t="str">
        <f>"1530-0315"</f>
        <v>1530-0315</v>
      </c>
      <c r="F18" s="2" t="str">
        <f>"2017 Dec"</f>
        <v>2017 Dec</v>
      </c>
      <c r="G18" s="3">
        <v>49</v>
      </c>
      <c r="H18" s="3">
        <v>12</v>
      </c>
      <c r="I18" s="3">
        <v>2517</v>
      </c>
      <c r="K18" s="2">
        <v>28704344</v>
      </c>
      <c r="L18" s="2" t="s">
        <v>2781</v>
      </c>
      <c r="M18" s="2" t="s">
        <v>156</v>
      </c>
      <c r="N18" s="2" t="s">
        <v>21</v>
      </c>
      <c r="O18" s="1" t="s">
        <v>2782</v>
      </c>
      <c r="Q18" s="2" t="s">
        <v>2783</v>
      </c>
      <c r="R18" s="6" t="s">
        <v>2784</v>
      </c>
    </row>
    <row r="19" spans="1:18" ht="135" x14ac:dyDescent="0.25">
      <c r="A19" s="1" t="s">
        <v>2785</v>
      </c>
      <c r="B19" s="1" t="s">
        <v>2786</v>
      </c>
      <c r="C19" s="1" t="s">
        <v>921</v>
      </c>
      <c r="D19" s="2" t="str">
        <f>"1466-447X"</f>
        <v>1466-447X</v>
      </c>
      <c r="F19" s="2" t="str">
        <f>"2017 Aug"</f>
        <v>2017 Aug</v>
      </c>
      <c r="G19" s="3">
        <v>35</v>
      </c>
      <c r="H19" s="3">
        <v>15</v>
      </c>
      <c r="I19" s="3">
        <v>1493</v>
      </c>
      <c r="K19" s="2">
        <v>27631544</v>
      </c>
      <c r="L19" s="2" t="s">
        <v>2787</v>
      </c>
      <c r="M19" s="2" t="s">
        <v>923</v>
      </c>
      <c r="N19" s="2" t="s">
        <v>21</v>
      </c>
      <c r="O19" s="1" t="s">
        <v>2788</v>
      </c>
      <c r="Q19" s="2" t="s">
        <v>2789</v>
      </c>
      <c r="R19" s="6" t="s">
        <v>2790</v>
      </c>
    </row>
    <row r="20" spans="1:18" ht="105" x14ac:dyDescent="0.25">
      <c r="A20" s="1" t="s">
        <v>2791</v>
      </c>
      <c r="B20" s="1" t="s">
        <v>2792</v>
      </c>
      <c r="C20" s="1" t="s">
        <v>102</v>
      </c>
      <c r="D20" s="2" t="str">
        <f>"1473-0480"</f>
        <v>1473-0480</v>
      </c>
      <c r="F20" s="2" t="str">
        <f>"2017 Jan"</f>
        <v>2017 Jan</v>
      </c>
      <c r="G20" s="3">
        <v>51</v>
      </c>
      <c r="H20" s="3">
        <v>1</v>
      </c>
      <c r="I20" s="3">
        <v>5</v>
      </c>
      <c r="K20" s="2">
        <v>27899345</v>
      </c>
      <c r="L20" s="2" t="s">
        <v>2793</v>
      </c>
      <c r="M20" s="2" t="s">
        <v>106</v>
      </c>
      <c r="N20" s="2" t="s">
        <v>21</v>
      </c>
      <c r="O20" s="1" t="s">
        <v>2794</v>
      </c>
      <c r="Q20" s="2" t="s">
        <v>2795</v>
      </c>
      <c r="R20" s="6" t="s">
        <v>2796</v>
      </c>
    </row>
    <row r="21" spans="1:18" ht="105" x14ac:dyDescent="0.25">
      <c r="A21" s="1" t="s">
        <v>2797</v>
      </c>
      <c r="B21" s="1" t="s">
        <v>2798</v>
      </c>
      <c r="C21" s="1" t="s">
        <v>444</v>
      </c>
      <c r="D21" s="2" t="str">
        <f>"1179-2035"</f>
        <v>1179-2035</v>
      </c>
      <c r="F21" s="2" t="str">
        <f>"2017 Oct"</f>
        <v>2017 Oct</v>
      </c>
      <c r="G21" s="3">
        <v>47</v>
      </c>
      <c r="H21" s="3">
        <v>10</v>
      </c>
      <c r="I21" s="3">
        <v>2011</v>
      </c>
      <c r="K21" s="2">
        <v>28497284</v>
      </c>
      <c r="L21" s="2" t="s">
        <v>2799</v>
      </c>
      <c r="M21" s="2" t="s">
        <v>446</v>
      </c>
      <c r="N21" s="2" t="s">
        <v>21</v>
      </c>
      <c r="O21" s="1" t="s">
        <v>2800</v>
      </c>
      <c r="Q21" s="2" t="s">
        <v>2801</v>
      </c>
      <c r="R21" s="6" t="s">
        <v>2802</v>
      </c>
    </row>
    <row r="22" spans="1:18" ht="255" x14ac:dyDescent="0.25">
      <c r="A22" s="1" t="s">
        <v>2803</v>
      </c>
      <c r="B22" s="1" t="s">
        <v>2804</v>
      </c>
      <c r="C22" s="1" t="s">
        <v>55</v>
      </c>
      <c r="D22" s="2" t="str">
        <f>"1878-1861"</f>
        <v>1878-1861</v>
      </c>
      <c r="F22" s="2" t="str">
        <f>"2017 Oct"</f>
        <v>2017 Oct</v>
      </c>
      <c r="G22" s="3">
        <v>20</v>
      </c>
      <c r="H22" s="3">
        <v>10</v>
      </c>
      <c r="I22" s="3">
        <v>904</v>
      </c>
      <c r="K22" s="2">
        <v>28526226</v>
      </c>
      <c r="L22" s="2" t="s">
        <v>2805</v>
      </c>
      <c r="M22" s="2" t="s">
        <v>59</v>
      </c>
      <c r="N22" s="2" t="s">
        <v>21</v>
      </c>
      <c r="O22" s="1" t="s">
        <v>2806</v>
      </c>
      <c r="Q22" s="2" t="s">
        <v>2807</v>
      </c>
      <c r="R22" s="6" t="s">
        <v>2808</v>
      </c>
    </row>
    <row r="23" spans="1:18" ht="60" x14ac:dyDescent="0.25">
      <c r="A23" s="1" t="s">
        <v>2809</v>
      </c>
      <c r="B23" s="1" t="s">
        <v>2810</v>
      </c>
      <c r="C23" s="1" t="s">
        <v>2811</v>
      </c>
      <c r="D23" s="2" t="str">
        <f>"1875-7855"</f>
        <v>1875-7855</v>
      </c>
      <c r="F23" s="2" t="str">
        <f>"2017"</f>
        <v>2017</v>
      </c>
      <c r="G23" s="3">
        <v>234</v>
      </c>
      <c r="I23" s="3">
        <v>69</v>
      </c>
      <c r="K23" s="2">
        <v>29031473</v>
      </c>
      <c r="L23" s="2" t="s">
        <v>2812</v>
      </c>
      <c r="M23" s="2" t="s">
        <v>1835</v>
      </c>
      <c r="N23" s="2" t="s">
        <v>21</v>
      </c>
      <c r="O23" s="1" t="s">
        <v>2813</v>
      </c>
      <c r="Q23" s="2" t="s">
        <v>2814</v>
      </c>
      <c r="R23" s="6" t="s">
        <v>2815</v>
      </c>
    </row>
    <row r="24" spans="1:18" ht="75" x14ac:dyDescent="0.25">
      <c r="A24" s="1" t="s">
        <v>2816</v>
      </c>
      <c r="B24" s="1" t="s">
        <v>2817</v>
      </c>
      <c r="C24" s="1" t="s">
        <v>46</v>
      </c>
      <c r="D24" s="2" t="str">
        <f>"1439-6327"</f>
        <v>1439-6327</v>
      </c>
      <c r="F24" s="2" t="str">
        <f>"2017 Jun"</f>
        <v>2017 Jun</v>
      </c>
      <c r="G24" s="3">
        <v>117</v>
      </c>
      <c r="H24" s="3">
        <v>6</v>
      </c>
      <c r="I24" s="3">
        <v>1233</v>
      </c>
      <c r="K24" s="2">
        <v>28409396</v>
      </c>
      <c r="L24" s="2" t="s">
        <v>2818</v>
      </c>
      <c r="M24" s="2" t="s">
        <v>50</v>
      </c>
      <c r="N24" s="2" t="s">
        <v>21</v>
      </c>
      <c r="O24" s="1" t="s">
        <v>2819</v>
      </c>
      <c r="Q24" s="2" t="s">
        <v>2820</v>
      </c>
      <c r="R24" s="6" t="s">
        <v>2821</v>
      </c>
    </row>
    <row r="25" spans="1:18" ht="90" x14ac:dyDescent="0.25">
      <c r="A25" s="1" t="s">
        <v>2822</v>
      </c>
      <c r="B25" s="1" t="s">
        <v>2823</v>
      </c>
      <c r="C25" s="1" t="s">
        <v>2824</v>
      </c>
      <c r="D25" s="2" t="str">
        <f>"1873-507X"</f>
        <v>1873-507X</v>
      </c>
      <c r="F25" s="2" t="str">
        <f>"2017 Mar 15"</f>
        <v>2017 Mar 15</v>
      </c>
      <c r="G25" s="3">
        <v>171</v>
      </c>
      <c r="I25" s="3">
        <v>228</v>
      </c>
      <c r="K25" s="2">
        <v>28104353</v>
      </c>
      <c r="L25" s="2" t="s">
        <v>2825</v>
      </c>
      <c r="M25" s="2" t="s">
        <v>608</v>
      </c>
      <c r="N25" s="2" t="s">
        <v>21</v>
      </c>
      <c r="O25" s="1" t="s">
        <v>2826</v>
      </c>
      <c r="Q25" s="2" t="s">
        <v>2827</v>
      </c>
      <c r="R25" s="6" t="s">
        <v>2828</v>
      </c>
    </row>
    <row r="26" spans="1:18" ht="60" x14ac:dyDescent="0.25">
      <c r="A26" s="1" t="s">
        <v>2829</v>
      </c>
      <c r="B26" s="1" t="s">
        <v>2830</v>
      </c>
      <c r="C26" s="1" t="s">
        <v>676</v>
      </c>
      <c r="D26" s="2" t="str">
        <f>"1932-6203"</f>
        <v>1932-6203</v>
      </c>
      <c r="F26" s="2" t="str">
        <f>"2017 Aug 01"</f>
        <v>2017 Aug 01</v>
      </c>
      <c r="G26" s="3">
        <v>12</v>
      </c>
      <c r="H26" s="3">
        <v>8</v>
      </c>
      <c r="I26" s="3" t="s">
        <v>2831</v>
      </c>
      <c r="K26" s="2">
        <v>28763504</v>
      </c>
      <c r="L26" s="2" t="s">
        <v>2832</v>
      </c>
      <c r="M26" s="2" t="s">
        <v>679</v>
      </c>
      <c r="N26" s="2" t="s">
        <v>21</v>
      </c>
      <c r="O26" s="1" t="s">
        <v>2833</v>
      </c>
      <c r="Q26" s="2" t="s">
        <v>2834</v>
      </c>
      <c r="R26" s="6" t="s">
        <v>2835</v>
      </c>
    </row>
    <row r="27" spans="1:18" ht="75" x14ac:dyDescent="0.25">
      <c r="A27" s="1" t="s">
        <v>2836</v>
      </c>
      <c r="B27" s="1" t="s">
        <v>2837</v>
      </c>
      <c r="C27" s="1" t="s">
        <v>921</v>
      </c>
      <c r="D27" s="2" t="str">
        <f>"1466-447X"</f>
        <v>1466-447X</v>
      </c>
      <c r="F27" s="2" t="str">
        <f>"2017 Apr"</f>
        <v>2017 Apr</v>
      </c>
      <c r="G27" s="3">
        <v>35</v>
      </c>
      <c r="H27" s="3">
        <v>8</v>
      </c>
      <c r="I27" s="3">
        <v>727</v>
      </c>
      <c r="K27" s="2">
        <v>27214399</v>
      </c>
      <c r="L27" s="2" t="s">
        <v>2838</v>
      </c>
      <c r="M27" s="2" t="s">
        <v>923</v>
      </c>
      <c r="N27" s="2" t="s">
        <v>21</v>
      </c>
      <c r="O27" s="1" t="s">
        <v>2839</v>
      </c>
      <c r="Q27" s="2" t="s">
        <v>2840</v>
      </c>
      <c r="R27" s="6" t="s">
        <v>2841</v>
      </c>
    </row>
    <row r="28" spans="1:18" ht="105" x14ac:dyDescent="0.25">
      <c r="A28" s="1" t="s">
        <v>2842</v>
      </c>
      <c r="B28" s="1" t="s">
        <v>2843</v>
      </c>
      <c r="C28" s="1" t="s">
        <v>2844</v>
      </c>
      <c r="D28" s="2" t="str">
        <f>"1471-2164"</f>
        <v>1471-2164</v>
      </c>
      <c r="F28" s="2" t="str">
        <f>"2017 Nov 14"</f>
        <v>2017 Nov 14</v>
      </c>
      <c r="G28" s="3">
        <v>18</v>
      </c>
      <c r="H28" s="3" t="s">
        <v>2845</v>
      </c>
      <c r="I28" s="3">
        <v>818</v>
      </c>
      <c r="K28" s="2">
        <v>29143596</v>
      </c>
      <c r="L28" s="2" t="s">
        <v>2846</v>
      </c>
      <c r="M28" s="2" t="s">
        <v>399</v>
      </c>
      <c r="N28" s="2" t="s">
        <v>21</v>
      </c>
      <c r="O28" s="1" t="s">
        <v>2847</v>
      </c>
      <c r="Q28" s="2" t="s">
        <v>2848</v>
      </c>
      <c r="R28" s="6" t="s">
        <v>2849</v>
      </c>
    </row>
    <row r="29" spans="1:18" ht="105" x14ac:dyDescent="0.25">
      <c r="A29" s="1" t="s">
        <v>2850</v>
      </c>
      <c r="B29" s="1" t="s">
        <v>2851</v>
      </c>
      <c r="C29" s="1" t="s">
        <v>797</v>
      </c>
      <c r="D29" s="2" t="str">
        <f>"1530-0315"</f>
        <v>1530-0315</v>
      </c>
      <c r="F29" s="2" t="str">
        <f>"2017 Dec"</f>
        <v>2017 Dec</v>
      </c>
      <c r="G29" s="3">
        <v>49</v>
      </c>
      <c r="H29" s="3">
        <v>12</v>
      </c>
      <c r="I29" s="3">
        <v>2548</v>
      </c>
      <c r="K29" s="2">
        <v>28719491</v>
      </c>
      <c r="L29" s="2" t="s">
        <v>2852</v>
      </c>
      <c r="M29" s="2" t="s">
        <v>156</v>
      </c>
      <c r="N29" s="2" t="s">
        <v>21</v>
      </c>
      <c r="O29" s="1" t="s">
        <v>2853</v>
      </c>
      <c r="Q29" s="2" t="s">
        <v>2854</v>
      </c>
      <c r="R29" s="6" t="s">
        <v>2855</v>
      </c>
    </row>
    <row r="30" spans="1:18" ht="75" x14ac:dyDescent="0.25">
      <c r="A30" s="1" t="s">
        <v>2856</v>
      </c>
      <c r="B30" s="1" t="s">
        <v>2857</v>
      </c>
      <c r="C30" s="1" t="s">
        <v>676</v>
      </c>
      <c r="D30" s="2" t="str">
        <f>"1932-6203"</f>
        <v>1932-6203</v>
      </c>
      <c r="F30" s="2" t="str">
        <f>"2017 Dec 29"</f>
        <v>2017 Dec 29</v>
      </c>
      <c r="G30" s="3">
        <v>12</v>
      </c>
      <c r="H30" s="3">
        <v>12</v>
      </c>
      <c r="I30" s="3" t="s">
        <v>2858</v>
      </c>
      <c r="K30" s="2">
        <v>29287064</v>
      </c>
      <c r="L30" s="2" t="s">
        <v>2859</v>
      </c>
      <c r="M30" s="2" t="s">
        <v>679</v>
      </c>
      <c r="N30" s="2" t="s">
        <v>924</v>
      </c>
      <c r="O30" s="1" t="s">
        <v>2860</v>
      </c>
      <c r="Q30" s="2" t="s">
        <v>2861</v>
      </c>
      <c r="R30" s="6" t="s">
        <v>2862</v>
      </c>
    </row>
    <row r="31" spans="1:18" ht="105" x14ac:dyDescent="0.25">
      <c r="A31" s="1" t="s">
        <v>2863</v>
      </c>
      <c r="B31" s="1" t="s">
        <v>2864</v>
      </c>
      <c r="C31" s="1" t="s">
        <v>55</v>
      </c>
      <c r="D31" s="2" t="str">
        <f>"1878-1861"</f>
        <v>1878-1861</v>
      </c>
      <c r="F31" s="2" t="str">
        <f>"2017 May"</f>
        <v>2017 May</v>
      </c>
      <c r="G31" s="3">
        <v>20</v>
      </c>
      <c r="H31" s="3">
        <v>5</v>
      </c>
      <c r="I31" s="3">
        <v>469</v>
      </c>
      <c r="K31" s="2">
        <v>27840035</v>
      </c>
      <c r="L31" s="2" t="s">
        <v>2865</v>
      </c>
      <c r="M31" s="2" t="s">
        <v>59</v>
      </c>
      <c r="N31" s="2" t="s">
        <v>21</v>
      </c>
      <c r="O31" s="1" t="s">
        <v>2866</v>
      </c>
      <c r="Q31" s="2" t="s">
        <v>2867</v>
      </c>
      <c r="R31" s="6" t="s">
        <v>2868</v>
      </c>
    </row>
    <row r="32" spans="1:18" ht="60" x14ac:dyDescent="0.25">
      <c r="A32" s="1" t="s">
        <v>2869</v>
      </c>
      <c r="B32" s="1" t="s">
        <v>2870</v>
      </c>
      <c r="C32" s="1" t="s">
        <v>133</v>
      </c>
      <c r="D32" s="2" t="str">
        <f>"1536-7290"</f>
        <v>1536-7290</v>
      </c>
      <c r="F32" s="2" t="str">
        <f>"2017 Jul"</f>
        <v>2017 Jul</v>
      </c>
      <c r="G32" s="3">
        <v>17</v>
      </c>
      <c r="H32" s="3">
        <v>6</v>
      </c>
      <c r="I32" s="3">
        <v>727</v>
      </c>
      <c r="K32" s="2">
        <v>28316263</v>
      </c>
      <c r="L32" s="2" t="s">
        <v>2871</v>
      </c>
      <c r="M32" s="2" t="s">
        <v>500</v>
      </c>
      <c r="N32" s="2" t="s">
        <v>21</v>
      </c>
      <c r="O32" s="1" t="s">
        <v>2872</v>
      </c>
      <c r="Q32" s="2" t="s">
        <v>2873</v>
      </c>
      <c r="R32" s="6" t="s">
        <v>2874</v>
      </c>
    </row>
    <row r="33" spans="1:18" ht="60" x14ac:dyDescent="0.25">
      <c r="A33" s="1" t="s">
        <v>2875</v>
      </c>
      <c r="B33" s="1" t="s">
        <v>2876</v>
      </c>
      <c r="C33" s="1" t="s">
        <v>102</v>
      </c>
      <c r="D33" s="2" t="str">
        <f>"1473-0480"</f>
        <v>1473-0480</v>
      </c>
      <c r="F33" s="2" t="str">
        <f>"2017 Aug"</f>
        <v>2017 Aug</v>
      </c>
      <c r="G33" s="3">
        <v>51</v>
      </c>
      <c r="H33" s="3">
        <v>16</v>
      </c>
      <c r="I33" s="3">
        <v>1209</v>
      </c>
      <c r="K33" s="2">
        <v>28446456</v>
      </c>
      <c r="L33" s="2" t="s">
        <v>2877</v>
      </c>
      <c r="M33" s="2" t="s">
        <v>106</v>
      </c>
      <c r="N33" s="2" t="s">
        <v>21</v>
      </c>
      <c r="O33" s="1" t="s">
        <v>2878</v>
      </c>
      <c r="Q33" s="2" t="s">
        <v>2879</v>
      </c>
      <c r="R33" s="6" t="s">
        <v>2880</v>
      </c>
    </row>
    <row r="34" spans="1:18" ht="60" x14ac:dyDescent="0.25">
      <c r="A34" s="1" t="s">
        <v>2881</v>
      </c>
      <c r="B34" s="1" t="s">
        <v>2882</v>
      </c>
      <c r="C34" s="1" t="s">
        <v>2028</v>
      </c>
      <c r="D34" s="2" t="str">
        <f>"1525-6073"</f>
        <v>1525-6073</v>
      </c>
      <c r="F34" s="2" t="str">
        <f>"2017"</f>
        <v>2017</v>
      </c>
      <c r="G34" s="3">
        <v>34</v>
      </c>
      <c r="H34" s="3">
        <v>9</v>
      </c>
      <c r="I34" s="3">
        <v>1239</v>
      </c>
      <c r="K34" s="2">
        <v>28910543</v>
      </c>
      <c r="L34" s="2" t="s">
        <v>2883</v>
      </c>
      <c r="M34" s="2" t="s">
        <v>1143</v>
      </c>
      <c r="N34" s="2" t="s">
        <v>21</v>
      </c>
      <c r="O34" s="1" t="s">
        <v>2884</v>
      </c>
      <c r="Q34" s="2" t="s">
        <v>2885</v>
      </c>
      <c r="R34" s="6" t="s">
        <v>2886</v>
      </c>
    </row>
    <row r="35" spans="1:18" ht="60" x14ac:dyDescent="0.25">
      <c r="A35" s="1" t="s">
        <v>2887</v>
      </c>
      <c r="B35" s="1" t="s">
        <v>2888</v>
      </c>
      <c r="C35" s="1" t="s">
        <v>102</v>
      </c>
      <c r="D35" s="2" t="str">
        <f>"1473-0480"</f>
        <v>1473-0480</v>
      </c>
      <c r="F35" s="2" t="str">
        <f>"2017 Dec"</f>
        <v>2017 Dec</v>
      </c>
      <c r="G35" s="3">
        <v>51</v>
      </c>
      <c r="H35" s="3">
        <v>23</v>
      </c>
      <c r="I35" s="3">
        <v>1670</v>
      </c>
      <c r="K35" s="2">
        <v>28784622</v>
      </c>
      <c r="L35" s="2" t="s">
        <v>2889</v>
      </c>
      <c r="M35" s="2" t="s">
        <v>106</v>
      </c>
      <c r="N35" s="2" t="s">
        <v>21</v>
      </c>
      <c r="O35" s="1" t="s">
        <v>2890</v>
      </c>
      <c r="Q35" s="2" t="s">
        <v>2891</v>
      </c>
      <c r="R35" s="6" t="s">
        <v>2892</v>
      </c>
    </row>
    <row r="36" spans="1:18" ht="45" x14ac:dyDescent="0.25">
      <c r="A36" s="1" t="s">
        <v>2893</v>
      </c>
      <c r="B36" s="1" t="s">
        <v>2894</v>
      </c>
      <c r="C36" s="1" t="s">
        <v>839</v>
      </c>
      <c r="D36" s="2" t="str">
        <f>"1664-042X"</f>
        <v>1664-042X</v>
      </c>
      <c r="F36" s="2" t="str">
        <f>"2017 Oct 23"</f>
        <v>2017 Oct 23</v>
      </c>
      <c r="G36" s="3">
        <v>8</v>
      </c>
      <c r="I36" s="3">
        <v>806</v>
      </c>
      <c r="K36" s="2">
        <v>29109686</v>
      </c>
      <c r="L36" s="2" t="s">
        <v>2895</v>
      </c>
      <c r="M36" s="2" t="s">
        <v>640</v>
      </c>
      <c r="N36" s="2" t="s">
        <v>21</v>
      </c>
      <c r="Q36" s="2" t="s">
        <v>2896</v>
      </c>
      <c r="R36" s="6" t="s">
        <v>2897</v>
      </c>
    </row>
    <row r="37" spans="1:18" ht="75" x14ac:dyDescent="0.25">
      <c r="A37" s="1" t="s">
        <v>2898</v>
      </c>
      <c r="B37" s="1" t="s">
        <v>2899</v>
      </c>
      <c r="C37" s="1" t="s">
        <v>82</v>
      </c>
      <c r="D37" s="2" t="str">
        <f>"1600-0838"</f>
        <v>1600-0838</v>
      </c>
      <c r="F37" s="2" t="str">
        <f>"2017 Jul"</f>
        <v>2017 Jul</v>
      </c>
      <c r="G37" s="3">
        <v>27</v>
      </c>
      <c r="H37" s="3">
        <v>7</v>
      </c>
      <c r="I37" s="3">
        <v>704</v>
      </c>
      <c r="K37" s="2">
        <v>27038097</v>
      </c>
      <c r="L37" s="2" t="s">
        <v>2900</v>
      </c>
      <c r="M37" s="2" t="s">
        <v>86</v>
      </c>
      <c r="N37" s="2" t="s">
        <v>21</v>
      </c>
      <c r="O37" s="1" t="s">
        <v>2901</v>
      </c>
      <c r="Q37" s="2" t="s">
        <v>2902</v>
      </c>
      <c r="R37" s="6" t="s">
        <v>2903</v>
      </c>
    </row>
    <row r="38" spans="1:18" ht="45" x14ac:dyDescent="0.25">
      <c r="A38" s="1" t="s">
        <v>2904</v>
      </c>
      <c r="B38" s="1" t="s">
        <v>1878</v>
      </c>
      <c r="C38" s="1" t="s">
        <v>638</v>
      </c>
      <c r="D38" s="2" t="str">
        <f>"1664-1078"</f>
        <v>1664-1078</v>
      </c>
      <c r="F38" s="2" t="str">
        <f>"2017 Aug 14"</f>
        <v>2017 Aug 14</v>
      </c>
      <c r="G38" s="3">
        <v>8</v>
      </c>
      <c r="I38" s="3">
        <v>1387</v>
      </c>
      <c r="K38" s="2">
        <v>28855883</v>
      </c>
      <c r="L38" s="2" t="s">
        <v>2905</v>
      </c>
      <c r="M38" s="2" t="s">
        <v>640</v>
      </c>
      <c r="N38" s="2" t="s">
        <v>21</v>
      </c>
      <c r="Q38" s="2" t="s">
        <v>2906</v>
      </c>
      <c r="R38" s="6" t="s">
        <v>2907</v>
      </c>
    </row>
    <row r="39" spans="1:18" ht="90" x14ac:dyDescent="0.25">
      <c r="A39" s="1" t="s">
        <v>2908</v>
      </c>
      <c r="B39" s="1" t="s">
        <v>2909</v>
      </c>
      <c r="C39" s="1" t="s">
        <v>789</v>
      </c>
      <c r="D39" s="2" t="str">
        <f>"1469-7793"</f>
        <v>1469-7793</v>
      </c>
      <c r="F39" s="2" t="str">
        <f>"2017 May 01"</f>
        <v>2017 May 01</v>
      </c>
      <c r="G39" s="3">
        <v>595</v>
      </c>
      <c r="H39" s="3">
        <v>9</v>
      </c>
      <c r="I39" s="3">
        <v>2785</v>
      </c>
      <c r="K39" s="2">
        <v>28012184</v>
      </c>
      <c r="L39" s="2" t="s">
        <v>2910</v>
      </c>
      <c r="M39" s="2" t="s">
        <v>791</v>
      </c>
      <c r="N39" s="2" t="s">
        <v>21</v>
      </c>
      <c r="O39" s="1" t="s">
        <v>2911</v>
      </c>
      <c r="Q39" s="2" t="s">
        <v>2912</v>
      </c>
      <c r="R39" s="6" t="s">
        <v>2913</v>
      </c>
    </row>
    <row r="40" spans="1:18" ht="105" x14ac:dyDescent="0.25">
      <c r="A40" s="1" t="s">
        <v>2914</v>
      </c>
      <c r="B40" s="1" t="s">
        <v>2915</v>
      </c>
      <c r="C40" s="1" t="s">
        <v>797</v>
      </c>
      <c r="D40" s="2" t="str">
        <f>"1530-0315"</f>
        <v>1530-0315</v>
      </c>
      <c r="F40" s="2" t="str">
        <f>"2017 May"</f>
        <v>2017 May</v>
      </c>
      <c r="G40" s="3">
        <v>49</v>
      </c>
      <c r="H40" s="3">
        <v>5</v>
      </c>
      <c r="I40" s="3">
        <v>1029</v>
      </c>
      <c r="K40" s="2">
        <v>28410328</v>
      </c>
      <c r="L40" s="2" t="s">
        <v>2916</v>
      </c>
      <c r="M40" s="2" t="s">
        <v>156</v>
      </c>
      <c r="N40" s="2" t="s">
        <v>21</v>
      </c>
      <c r="O40" s="1" t="s">
        <v>2917</v>
      </c>
      <c r="Q40" s="2" t="s">
        <v>2918</v>
      </c>
      <c r="R40" s="6" t="s">
        <v>2919</v>
      </c>
    </row>
    <row r="41" spans="1:18" ht="60" x14ac:dyDescent="0.25">
      <c r="A41" s="1" t="s">
        <v>2920</v>
      </c>
      <c r="B41" s="1" t="s">
        <v>2921</v>
      </c>
      <c r="C41" s="1" t="s">
        <v>46</v>
      </c>
      <c r="D41" s="2" t="str">
        <f>"1439-6327"</f>
        <v>1439-6327</v>
      </c>
      <c r="F41" s="2" t="str">
        <f>"2017 Jun"</f>
        <v>2017 Jun</v>
      </c>
      <c r="G41" s="3">
        <v>117</v>
      </c>
      <c r="H41" s="3">
        <v>6</v>
      </c>
      <c r="I41" s="3">
        <v>1241</v>
      </c>
      <c r="K41" s="2">
        <v>28409398</v>
      </c>
      <c r="L41" s="2" t="s">
        <v>2922</v>
      </c>
      <c r="M41" s="2" t="s">
        <v>50</v>
      </c>
      <c r="N41" s="2" t="s">
        <v>21</v>
      </c>
      <c r="O41" s="1" t="s">
        <v>2923</v>
      </c>
      <c r="Q41" s="2" t="s">
        <v>2924</v>
      </c>
      <c r="R41" s="6" t="s">
        <v>2925</v>
      </c>
    </row>
    <row r="42" spans="1:18" ht="150" x14ac:dyDescent="0.25">
      <c r="A42" s="1" t="s">
        <v>2926</v>
      </c>
      <c r="B42" s="1" t="s">
        <v>2927</v>
      </c>
      <c r="C42" s="1" t="s">
        <v>824</v>
      </c>
      <c r="D42" s="2" t="str">
        <f>"1715-5320"</f>
        <v>1715-5320</v>
      </c>
      <c r="F42" s="2" t="str">
        <f>"2017 Oct"</f>
        <v>2017 Oct</v>
      </c>
      <c r="G42" s="3">
        <v>42</v>
      </c>
      <c r="H42" s="3">
        <v>10</v>
      </c>
      <c r="I42" s="3">
        <v>1106</v>
      </c>
      <c r="K42" s="2">
        <v>28651061</v>
      </c>
      <c r="L42" s="2" t="s">
        <v>2928</v>
      </c>
      <c r="M42" s="2" t="s">
        <v>826</v>
      </c>
      <c r="N42" s="2" t="s">
        <v>21</v>
      </c>
      <c r="O42" s="1" t="s">
        <v>2929</v>
      </c>
      <c r="Q42" s="2" t="s">
        <v>2930</v>
      </c>
      <c r="R42" s="6" t="s">
        <v>2931</v>
      </c>
    </row>
    <row r="43" spans="1:18" ht="90" x14ac:dyDescent="0.25">
      <c r="A43" s="1" t="s">
        <v>2932</v>
      </c>
      <c r="B43" s="1" t="s">
        <v>2933</v>
      </c>
      <c r="C43" s="1" t="s">
        <v>55</v>
      </c>
      <c r="D43" s="2" t="str">
        <f>"1878-1861"</f>
        <v>1878-1861</v>
      </c>
      <c r="F43" s="2" t="str">
        <f>"2017 Dec"</f>
        <v>2017 Dec</v>
      </c>
      <c r="G43" s="3">
        <v>20</v>
      </c>
      <c r="H43" s="3">
        <v>12</v>
      </c>
      <c r="I43" s="3">
        <v>1068</v>
      </c>
      <c r="K43" s="2">
        <v>28595869</v>
      </c>
      <c r="L43" s="2" t="s">
        <v>2934</v>
      </c>
      <c r="M43" s="2" t="s">
        <v>59</v>
      </c>
      <c r="N43" s="2" t="s">
        <v>21</v>
      </c>
      <c r="O43" s="1" t="s">
        <v>2935</v>
      </c>
      <c r="Q43" s="2" t="s">
        <v>2936</v>
      </c>
      <c r="R43" s="6" t="s">
        <v>2937</v>
      </c>
    </row>
    <row r="44" spans="1:18" ht="75" x14ac:dyDescent="0.25">
      <c r="A44" s="1" t="s">
        <v>2938</v>
      </c>
      <c r="B44" s="1" t="s">
        <v>2939</v>
      </c>
      <c r="C44" s="1" t="s">
        <v>676</v>
      </c>
      <c r="D44" s="2" t="str">
        <f>"1932-6203"</f>
        <v>1932-6203</v>
      </c>
      <c r="F44" s="2" t="str">
        <f>"2017 Mar 15"</f>
        <v>2017 Mar 15</v>
      </c>
      <c r="G44" s="3">
        <v>12</v>
      </c>
      <c r="H44" s="3">
        <v>3</v>
      </c>
      <c r="I44" s="3" t="s">
        <v>2940</v>
      </c>
      <c r="K44" s="2">
        <v>28296943</v>
      </c>
      <c r="L44" s="2" t="s">
        <v>2941</v>
      </c>
      <c r="M44" s="2" t="s">
        <v>679</v>
      </c>
      <c r="N44" s="2" t="s">
        <v>21</v>
      </c>
      <c r="O44" s="1" t="s">
        <v>2942</v>
      </c>
      <c r="Q44" s="2" t="s">
        <v>2943</v>
      </c>
      <c r="R44" s="6" t="s">
        <v>2944</v>
      </c>
    </row>
    <row r="45" spans="1:18" ht="45" x14ac:dyDescent="0.25">
      <c r="A45" s="1" t="s">
        <v>2945</v>
      </c>
      <c r="B45" s="1" t="s">
        <v>2946</v>
      </c>
      <c r="C45" s="1" t="s">
        <v>2947</v>
      </c>
      <c r="D45" s="2" t="str">
        <f>"1728-869X"</f>
        <v>1728-869X</v>
      </c>
      <c r="F45" s="2" t="str">
        <f>"2017 Jun"</f>
        <v>2017 Jun</v>
      </c>
      <c r="G45" s="3">
        <v>15</v>
      </c>
      <c r="H45" s="3">
        <v>1</v>
      </c>
      <c r="I45" s="3">
        <v>43</v>
      </c>
      <c r="K45" s="2">
        <v>29541131</v>
      </c>
      <c r="L45" s="2" t="s">
        <v>2948</v>
      </c>
      <c r="M45" s="2" t="s">
        <v>2949</v>
      </c>
      <c r="N45" s="2" t="s">
        <v>21</v>
      </c>
      <c r="Q45" s="2" t="s">
        <v>2950</v>
      </c>
      <c r="R45" s="6" t="s">
        <v>2951</v>
      </c>
    </row>
    <row r="46" spans="1:18" ht="60" x14ac:dyDescent="0.25">
      <c r="A46" s="1" t="s">
        <v>2952</v>
      </c>
      <c r="B46" s="1" t="s">
        <v>2953</v>
      </c>
      <c r="C46" s="1" t="s">
        <v>163</v>
      </c>
      <c r="D46" s="2" t="str">
        <f>"2199-1170"</f>
        <v>2199-1170</v>
      </c>
      <c r="F46" s="2" t="str">
        <f>"2017 Dec 19"</f>
        <v>2017 Dec 19</v>
      </c>
      <c r="G46" s="3">
        <v>3</v>
      </c>
      <c r="H46" s="3">
        <v>1</v>
      </c>
      <c r="I46" s="3">
        <v>46</v>
      </c>
      <c r="K46" s="2">
        <v>29260420</v>
      </c>
      <c r="L46" s="2" t="s">
        <v>2954</v>
      </c>
      <c r="M46" s="2" t="s">
        <v>167</v>
      </c>
      <c r="N46" s="2" t="s">
        <v>21</v>
      </c>
      <c r="Q46" s="2" t="s">
        <v>2955</v>
      </c>
      <c r="R46" s="6" t="s">
        <v>2956</v>
      </c>
    </row>
    <row r="47" spans="1:18" ht="90" x14ac:dyDescent="0.25">
      <c r="A47" s="1" t="s">
        <v>2957</v>
      </c>
      <c r="B47" s="1" t="s">
        <v>2958</v>
      </c>
      <c r="C47" s="1" t="s">
        <v>545</v>
      </c>
      <c r="D47" s="2" t="str">
        <f>"1522-1601"</f>
        <v>1522-1601</v>
      </c>
      <c r="F47" s="2" t="str">
        <f>"2017 May 01"</f>
        <v>2017 May 01</v>
      </c>
      <c r="G47" s="3">
        <v>122</v>
      </c>
      <c r="H47" s="3">
        <v>5</v>
      </c>
      <c r="I47" s="3">
        <v>1055</v>
      </c>
      <c r="K47" s="2">
        <v>27789774</v>
      </c>
      <c r="L47" s="2" t="s">
        <v>2959</v>
      </c>
      <c r="M47" s="2" t="s">
        <v>547</v>
      </c>
      <c r="N47" s="2" t="s">
        <v>21</v>
      </c>
      <c r="O47" s="1" t="s">
        <v>2960</v>
      </c>
      <c r="Q47" s="2" t="s">
        <v>2961</v>
      </c>
      <c r="R47" s="6" t="s">
        <v>2962</v>
      </c>
    </row>
    <row r="48" spans="1:18" ht="90" x14ac:dyDescent="0.25">
      <c r="A48" s="1" t="s">
        <v>2963</v>
      </c>
      <c r="B48" s="1" t="s">
        <v>2964</v>
      </c>
      <c r="C48" s="1" t="s">
        <v>133</v>
      </c>
      <c r="D48" s="2" t="str">
        <f>"1536-7290"</f>
        <v>1536-7290</v>
      </c>
      <c r="F48" s="2" t="str">
        <f>"2017 Jun"</f>
        <v>2017 Jun</v>
      </c>
      <c r="G48" s="3">
        <v>17</v>
      </c>
      <c r="H48" s="3">
        <v>5</v>
      </c>
      <c r="I48" s="3">
        <v>539</v>
      </c>
      <c r="K48" s="2">
        <v>28276913</v>
      </c>
      <c r="L48" s="2" t="s">
        <v>2965</v>
      </c>
      <c r="M48" s="2" t="s">
        <v>500</v>
      </c>
      <c r="N48" s="2" t="s">
        <v>21</v>
      </c>
      <c r="O48" s="1" t="s">
        <v>2966</v>
      </c>
      <c r="Q48" s="2" t="s">
        <v>2967</v>
      </c>
      <c r="R48" s="6" t="s">
        <v>2968</v>
      </c>
    </row>
    <row r="49" spans="1:18" ht="75" x14ac:dyDescent="0.25">
      <c r="A49" s="1" t="s">
        <v>2969</v>
      </c>
      <c r="B49" s="1" t="s">
        <v>952</v>
      </c>
      <c r="C49" s="1" t="s">
        <v>444</v>
      </c>
      <c r="D49" s="2" t="str">
        <f>"1179-2035"</f>
        <v>1179-2035</v>
      </c>
      <c r="F49" s="2" t="str">
        <f>"2017 Mar"</f>
        <v>2017 Mar</v>
      </c>
      <c r="G49" s="3">
        <v>47</v>
      </c>
      <c r="H49" s="3" t="s">
        <v>2662</v>
      </c>
      <c r="I49" s="3">
        <v>79</v>
      </c>
      <c r="K49" s="2">
        <v>28332111</v>
      </c>
      <c r="L49" s="2" t="s">
        <v>2970</v>
      </c>
      <c r="M49" s="2" t="s">
        <v>446</v>
      </c>
      <c r="N49" s="2" t="s">
        <v>21</v>
      </c>
      <c r="O49" s="1" t="s">
        <v>2971</v>
      </c>
      <c r="Q49" s="2" t="s">
        <v>2972</v>
      </c>
      <c r="R49" s="6" t="s">
        <v>2973</v>
      </c>
    </row>
    <row r="50" spans="1:18" ht="60" x14ac:dyDescent="0.25">
      <c r="A50" s="1" t="s">
        <v>2974</v>
      </c>
      <c r="B50" s="1" t="s">
        <v>2837</v>
      </c>
      <c r="C50" s="1" t="s">
        <v>466</v>
      </c>
      <c r="D50" s="2" t="str">
        <f>"1533-4287"</f>
        <v>1533-4287</v>
      </c>
      <c r="F50" s="2" t="str">
        <f>"2017 Apr"</f>
        <v>2017 Apr</v>
      </c>
      <c r="G50" s="3">
        <v>31</v>
      </c>
      <c r="H50" s="3">
        <v>4</v>
      </c>
      <c r="I50" s="3">
        <v>1116</v>
      </c>
      <c r="K50" s="2">
        <v>27467515</v>
      </c>
      <c r="L50" s="2" t="s">
        <v>2975</v>
      </c>
      <c r="M50" s="2" t="s">
        <v>468</v>
      </c>
      <c r="N50" s="2" t="s">
        <v>21</v>
      </c>
      <c r="O50" s="1" t="s">
        <v>2976</v>
      </c>
      <c r="Q50" s="2" t="s">
        <v>2977</v>
      </c>
      <c r="R50" s="6" t="s">
        <v>2978</v>
      </c>
    </row>
    <row r="51" spans="1:18" ht="75" x14ac:dyDescent="0.25">
      <c r="A51" s="1" t="s">
        <v>2979</v>
      </c>
      <c r="B51" s="1" t="s">
        <v>2980</v>
      </c>
      <c r="C51" s="1" t="s">
        <v>2981</v>
      </c>
      <c r="D51" s="2" t="str">
        <f>"1541-6100"</f>
        <v>1541-6100</v>
      </c>
      <c r="F51" s="2" t="str">
        <f>"2017 Dec"</f>
        <v>2017 Dec</v>
      </c>
      <c r="G51" s="3">
        <v>147</v>
      </c>
      <c r="H51" s="3">
        <v>12</v>
      </c>
      <c r="I51" s="3">
        <v>2252</v>
      </c>
      <c r="K51" s="2">
        <v>28855419</v>
      </c>
      <c r="L51" s="2" t="s">
        <v>2982</v>
      </c>
      <c r="M51" s="2" t="s">
        <v>2983</v>
      </c>
      <c r="N51" s="2" t="s">
        <v>21</v>
      </c>
      <c r="O51" s="1" t="s">
        <v>2984</v>
      </c>
      <c r="Q51" s="2" t="s">
        <v>2985</v>
      </c>
      <c r="R51" s="6" t="s">
        <v>2986</v>
      </c>
    </row>
    <row r="52" spans="1:18" ht="60" x14ac:dyDescent="0.25">
      <c r="A52" s="1" t="s">
        <v>2987</v>
      </c>
      <c r="B52" s="1" t="s">
        <v>2988</v>
      </c>
      <c r="C52" s="1" t="s">
        <v>638</v>
      </c>
      <c r="D52" s="2" t="str">
        <f>"1664-1078"</f>
        <v>1664-1078</v>
      </c>
      <c r="F52" s="2" t="str">
        <f>"2017 Nov 03"</f>
        <v>2017 Nov 03</v>
      </c>
      <c r="G52" s="3">
        <v>8</v>
      </c>
      <c r="I52" s="3">
        <v>1931</v>
      </c>
      <c r="K52" s="2">
        <v>29163306</v>
      </c>
      <c r="L52" s="2" t="s">
        <v>2989</v>
      </c>
      <c r="M52" s="2" t="s">
        <v>640</v>
      </c>
      <c r="N52" s="2" t="s">
        <v>21</v>
      </c>
      <c r="Q52" s="2" t="s">
        <v>2990</v>
      </c>
      <c r="R52" s="6" t="s">
        <v>2991</v>
      </c>
    </row>
    <row r="53" spans="1:18" ht="60" x14ac:dyDescent="0.25">
      <c r="A53" s="1" t="s">
        <v>2992</v>
      </c>
      <c r="B53" s="1" t="s">
        <v>2993</v>
      </c>
      <c r="C53" s="1" t="s">
        <v>133</v>
      </c>
      <c r="D53" s="2" t="str">
        <f>"1536-7290"</f>
        <v>1536-7290</v>
      </c>
      <c r="F53" s="2" t="str">
        <f>"2017 Feb"</f>
        <v>2017 Feb</v>
      </c>
      <c r="G53" s="3">
        <v>17</v>
      </c>
      <c r="H53" s="3">
        <v>1</v>
      </c>
      <c r="I53" s="3">
        <v>93</v>
      </c>
      <c r="K53" s="2">
        <v>26949176</v>
      </c>
      <c r="L53" s="2" t="s">
        <v>2994</v>
      </c>
      <c r="M53" s="2" t="s">
        <v>500</v>
      </c>
      <c r="N53" s="2" t="s">
        <v>21</v>
      </c>
      <c r="O53" s="1" t="s">
        <v>2995</v>
      </c>
      <c r="Q53" s="2" t="s">
        <v>2996</v>
      </c>
      <c r="R53" s="6" t="s">
        <v>2997</v>
      </c>
    </row>
    <row r="54" spans="1:18" ht="105" x14ac:dyDescent="0.25">
      <c r="A54" s="1" t="s">
        <v>2998</v>
      </c>
      <c r="B54" s="1" t="s">
        <v>2999</v>
      </c>
      <c r="C54" s="1" t="s">
        <v>921</v>
      </c>
      <c r="D54" s="2" t="str">
        <f>"1466-447X"</f>
        <v>1466-447X</v>
      </c>
      <c r="F54" s="2" t="str">
        <f>"2017 May"</f>
        <v>2017 May</v>
      </c>
      <c r="G54" s="3">
        <v>35</v>
      </c>
      <c r="H54" s="3">
        <v>10</v>
      </c>
      <c r="I54" s="3">
        <v>995</v>
      </c>
      <c r="K54" s="2">
        <v>27431482</v>
      </c>
      <c r="L54" s="2" t="s">
        <v>3000</v>
      </c>
      <c r="M54" s="2" t="s">
        <v>923</v>
      </c>
      <c r="N54" s="2" t="s">
        <v>21</v>
      </c>
      <c r="O54" s="1" t="s">
        <v>3001</v>
      </c>
      <c r="Q54" s="2" t="s">
        <v>3002</v>
      </c>
      <c r="R54" s="6" t="s">
        <v>3003</v>
      </c>
    </row>
    <row r="55" spans="1:18" ht="30" x14ac:dyDescent="0.25">
      <c r="A55" s="1" t="s">
        <v>3004</v>
      </c>
      <c r="B55" s="1" t="s">
        <v>952</v>
      </c>
      <c r="C55" s="1" t="s">
        <v>789</v>
      </c>
      <c r="D55" s="2" t="str">
        <f>"1469-7793"</f>
        <v>1469-7793</v>
      </c>
      <c r="F55" s="2" t="str">
        <f>"2017 May 01"</f>
        <v>2017 May 01</v>
      </c>
      <c r="G55" s="3">
        <v>595</v>
      </c>
      <c r="H55" s="3">
        <v>9</v>
      </c>
      <c r="I55" s="3">
        <v>2993</v>
      </c>
      <c r="K55" s="2">
        <v>28452135</v>
      </c>
      <c r="L55" s="2" t="s">
        <v>3005</v>
      </c>
      <c r="M55" s="2" t="s">
        <v>791</v>
      </c>
      <c r="N55" s="2" t="s">
        <v>3006</v>
      </c>
      <c r="O55" s="1" t="s">
        <v>3007</v>
      </c>
      <c r="R55" s="6" t="s">
        <v>3008</v>
      </c>
    </row>
    <row r="56" spans="1:18" ht="90" x14ac:dyDescent="0.25">
      <c r="A56" s="1" t="s">
        <v>3009</v>
      </c>
      <c r="B56" s="1" t="s">
        <v>3010</v>
      </c>
      <c r="C56" s="1" t="s">
        <v>466</v>
      </c>
      <c r="D56" s="2" t="str">
        <f>"1533-4287"</f>
        <v>1533-4287</v>
      </c>
      <c r="F56" s="2" t="str">
        <f>"2017 Mar"</f>
        <v>2017 Mar</v>
      </c>
      <c r="G56" s="3">
        <v>31</v>
      </c>
      <c r="H56" s="3">
        <v>3</v>
      </c>
      <c r="I56" s="3">
        <v>686</v>
      </c>
      <c r="K56" s="2">
        <v>27359207</v>
      </c>
      <c r="L56" s="2" t="s">
        <v>3011</v>
      </c>
      <c r="M56" s="2" t="s">
        <v>468</v>
      </c>
      <c r="N56" s="2" t="s">
        <v>21</v>
      </c>
      <c r="O56" s="1" t="s">
        <v>3012</v>
      </c>
      <c r="Q56" s="2" t="s">
        <v>3013</v>
      </c>
      <c r="R56" s="6" t="s">
        <v>3014</v>
      </c>
    </row>
    <row r="57" spans="1:18" ht="60" x14ac:dyDescent="0.25">
      <c r="A57" s="1" t="s">
        <v>3015</v>
      </c>
      <c r="B57" s="1" t="s">
        <v>3016</v>
      </c>
      <c r="C57" s="1" t="s">
        <v>55</v>
      </c>
      <c r="D57" s="2" t="str">
        <f>"1878-1861"</f>
        <v>1878-1861</v>
      </c>
      <c r="F57" s="2" t="str">
        <f>"2017 Jun"</f>
        <v>2017 Jun</v>
      </c>
      <c r="G57" s="3">
        <v>20</v>
      </c>
      <c r="H57" s="3">
        <v>6</v>
      </c>
      <c r="I57" s="3">
        <v>526</v>
      </c>
      <c r="K57" s="2">
        <v>28108268</v>
      </c>
      <c r="L57" s="2" t="s">
        <v>3017</v>
      </c>
      <c r="M57" s="2" t="s">
        <v>59</v>
      </c>
      <c r="N57" s="2" t="s">
        <v>21</v>
      </c>
      <c r="O57" s="1" t="s">
        <v>3018</v>
      </c>
      <c r="R57" s="6" t="s">
        <v>3019</v>
      </c>
    </row>
    <row r="58" spans="1:18" ht="150" x14ac:dyDescent="0.25">
      <c r="A58" s="1" t="s">
        <v>3020</v>
      </c>
      <c r="B58" s="1" t="s">
        <v>3021</v>
      </c>
      <c r="C58" s="1" t="s">
        <v>921</v>
      </c>
      <c r="D58" s="2" t="str">
        <f>"1466-447X"</f>
        <v>1466-447X</v>
      </c>
      <c r="F58" s="2" t="str">
        <f>"2017 Aug"</f>
        <v>2017 Aug</v>
      </c>
      <c r="G58" s="3">
        <v>35</v>
      </c>
      <c r="H58" s="3">
        <v>16</v>
      </c>
      <c r="I58" s="3">
        <v>1622</v>
      </c>
      <c r="K58" s="2">
        <v>27594321</v>
      </c>
      <c r="L58" s="2" t="s">
        <v>3022</v>
      </c>
      <c r="M58" s="2" t="s">
        <v>923</v>
      </c>
      <c r="N58" s="2" t="s">
        <v>21</v>
      </c>
      <c r="O58" s="1" t="s">
        <v>3023</v>
      </c>
      <c r="Q58" s="2" t="s">
        <v>3024</v>
      </c>
      <c r="R58" s="6" t="s">
        <v>3025</v>
      </c>
    </row>
    <row r="59" spans="1:18" ht="60" x14ac:dyDescent="0.25">
      <c r="A59" s="1" t="s">
        <v>3026</v>
      </c>
      <c r="B59" s="1" t="s">
        <v>3027</v>
      </c>
      <c r="C59" s="1" t="s">
        <v>55</v>
      </c>
      <c r="D59" s="2" t="str">
        <f>"1878-1861"</f>
        <v>1878-1861</v>
      </c>
      <c r="F59" s="2" t="str">
        <f>"2017 Dec"</f>
        <v>2017 Dec</v>
      </c>
      <c r="G59" s="3">
        <v>20</v>
      </c>
      <c r="H59" s="3">
        <v>12</v>
      </c>
      <c r="I59" s="3">
        <v>1117</v>
      </c>
      <c r="K59" s="2">
        <v>28483557</v>
      </c>
      <c r="L59" s="2" t="s">
        <v>3028</v>
      </c>
      <c r="M59" s="2" t="s">
        <v>59</v>
      </c>
      <c r="N59" s="2" t="s">
        <v>21</v>
      </c>
      <c r="O59" s="1" t="s">
        <v>3029</v>
      </c>
      <c r="Q59" s="2" t="s">
        <v>3030</v>
      </c>
      <c r="R59" s="6" t="s">
        <v>3031</v>
      </c>
    </row>
    <row r="60" spans="1:18" ht="135" x14ac:dyDescent="0.25">
      <c r="A60" s="1" t="s">
        <v>3032</v>
      </c>
      <c r="B60" s="1" t="s">
        <v>3033</v>
      </c>
      <c r="C60" s="1" t="s">
        <v>3034</v>
      </c>
      <c r="D60" s="2" t="str">
        <f>"1873-6815"</f>
        <v>1873-6815</v>
      </c>
      <c r="F60" s="2" t="str">
        <f>"2017 May"</f>
        <v>2017 May</v>
      </c>
      <c r="G60" s="3">
        <v>91</v>
      </c>
      <c r="I60" s="3">
        <v>9</v>
      </c>
      <c r="K60" s="2">
        <v>28189699</v>
      </c>
      <c r="L60" s="2" t="s">
        <v>3035</v>
      </c>
      <c r="M60" s="2" t="s">
        <v>608</v>
      </c>
      <c r="N60" s="2" t="s">
        <v>21</v>
      </c>
      <c r="O60" s="1" t="s">
        <v>3036</v>
      </c>
      <c r="Q60" s="2" t="s">
        <v>3037</v>
      </c>
      <c r="R60" s="6" t="s">
        <v>3038</v>
      </c>
    </row>
    <row r="61" spans="1:18" ht="60" x14ac:dyDescent="0.25">
      <c r="A61" s="1" t="s">
        <v>3039</v>
      </c>
      <c r="B61" s="1" t="s">
        <v>3040</v>
      </c>
      <c r="C61" s="1" t="s">
        <v>2811</v>
      </c>
      <c r="D61" s="2" t="str">
        <f>"1875-7855"</f>
        <v>1875-7855</v>
      </c>
      <c r="F61" s="2" t="str">
        <f>"2017"</f>
        <v>2017</v>
      </c>
      <c r="G61" s="3">
        <v>234</v>
      </c>
      <c r="I61" s="3">
        <v>13</v>
      </c>
      <c r="K61" s="2">
        <v>29031461</v>
      </c>
      <c r="L61" s="2" t="s">
        <v>3041</v>
      </c>
      <c r="M61" s="2" t="s">
        <v>1835</v>
      </c>
      <c r="N61" s="2" t="s">
        <v>21</v>
      </c>
      <c r="O61" s="1" t="s">
        <v>3042</v>
      </c>
      <c r="Q61" s="2" t="s">
        <v>3043</v>
      </c>
      <c r="R61" s="6" t="s">
        <v>3044</v>
      </c>
    </row>
    <row r="62" spans="1:18" ht="45" x14ac:dyDescent="0.25">
      <c r="A62" s="1" t="s">
        <v>3045</v>
      </c>
      <c r="B62" s="1" t="s">
        <v>3046</v>
      </c>
      <c r="C62" s="1" t="s">
        <v>1953</v>
      </c>
      <c r="D62" s="2" t="str">
        <f>"1303-2968"</f>
        <v>1303-2968</v>
      </c>
      <c r="F62" s="2" t="str">
        <f>"2017 Dec 01"</f>
        <v>2017 Dec 01</v>
      </c>
      <c r="G62" s="3">
        <v>16</v>
      </c>
      <c r="H62" s="3">
        <v>4</v>
      </c>
      <c r="I62" s="3">
        <v>604</v>
      </c>
      <c r="K62" s="2">
        <v>29238263</v>
      </c>
      <c r="M62" s="2" t="s">
        <v>1954</v>
      </c>
      <c r="N62" s="2" t="s">
        <v>21</v>
      </c>
      <c r="R62" s="6" t="s">
        <v>3047</v>
      </c>
    </row>
    <row r="63" spans="1:18" ht="105" x14ac:dyDescent="0.25">
      <c r="A63" s="1" t="s">
        <v>3048</v>
      </c>
      <c r="B63" s="1" t="s">
        <v>3049</v>
      </c>
      <c r="C63" s="1" t="s">
        <v>55</v>
      </c>
      <c r="D63" s="2" t="str">
        <f>"1878-1861"</f>
        <v>1878-1861</v>
      </c>
      <c r="F63" s="2" t="str">
        <f>"2017 Aug"</f>
        <v>2017 Aug</v>
      </c>
      <c r="G63" s="3">
        <v>20</v>
      </c>
      <c r="H63" s="3">
        <v>8</v>
      </c>
      <c r="I63" s="3">
        <v>756</v>
      </c>
      <c r="K63" s="2">
        <v>28189461</v>
      </c>
      <c r="L63" s="2" t="s">
        <v>3050</v>
      </c>
      <c r="M63" s="2" t="s">
        <v>59</v>
      </c>
      <c r="N63" s="2" t="s">
        <v>924</v>
      </c>
      <c r="O63" s="1" t="s">
        <v>3051</v>
      </c>
      <c r="Q63" s="2" t="s">
        <v>3052</v>
      </c>
      <c r="R63" s="6" t="s">
        <v>3053</v>
      </c>
    </row>
    <row r="64" spans="1:18" ht="75" x14ac:dyDescent="0.25">
      <c r="A64" s="1" t="s">
        <v>3054</v>
      </c>
      <c r="B64" s="1" t="s">
        <v>3055</v>
      </c>
      <c r="C64" s="1" t="s">
        <v>2811</v>
      </c>
      <c r="D64" s="2" t="str">
        <f>"1875-7855"</f>
        <v>1875-7855</v>
      </c>
      <c r="F64" s="2" t="str">
        <f>"2017"</f>
        <v>2017</v>
      </c>
      <c r="G64" s="3">
        <v>232</v>
      </c>
      <c r="I64" s="3">
        <v>191</v>
      </c>
      <c r="K64" s="2">
        <v>28648242</v>
      </c>
      <c r="L64" s="2" t="s">
        <v>3056</v>
      </c>
      <c r="M64" s="2" t="s">
        <v>1835</v>
      </c>
      <c r="N64" s="2" t="s">
        <v>21</v>
      </c>
      <c r="O64" s="1" t="s">
        <v>3057</v>
      </c>
      <c r="Q64" s="2" t="s">
        <v>3058</v>
      </c>
      <c r="R64" s="6" t="s">
        <v>3059</v>
      </c>
    </row>
    <row r="65" spans="1:18" ht="45" x14ac:dyDescent="0.25">
      <c r="A65" s="1" t="s">
        <v>3060</v>
      </c>
      <c r="B65" s="1" t="s">
        <v>3061</v>
      </c>
      <c r="C65" s="1" t="s">
        <v>3062</v>
      </c>
      <c r="D65" s="2" t="str">
        <f>"2052-1847"</f>
        <v>2052-1847</v>
      </c>
      <c r="F65" s="2" t="str">
        <f>"2017 Feb 24"</f>
        <v>2017 Feb 24</v>
      </c>
      <c r="G65" s="3">
        <v>9</v>
      </c>
      <c r="I65" s="3">
        <v>6</v>
      </c>
      <c r="K65" s="2">
        <v>28250934</v>
      </c>
      <c r="L65" s="2" t="s">
        <v>3063</v>
      </c>
      <c r="M65" s="2" t="s">
        <v>399</v>
      </c>
      <c r="N65" s="2" t="s">
        <v>21</v>
      </c>
      <c r="Q65" s="2" t="s">
        <v>3064</v>
      </c>
      <c r="R65" s="6" t="s">
        <v>3065</v>
      </c>
    </row>
    <row r="66" spans="1:18" ht="120" x14ac:dyDescent="0.25">
      <c r="A66" s="1" t="s">
        <v>3066</v>
      </c>
      <c r="B66" s="1" t="s">
        <v>3067</v>
      </c>
      <c r="C66" s="1" t="s">
        <v>797</v>
      </c>
      <c r="D66" s="2" t="str">
        <f>"1530-0315"</f>
        <v>1530-0315</v>
      </c>
      <c r="F66" s="2" t="str">
        <f>"2017 Mar"</f>
        <v>2017 Mar</v>
      </c>
      <c r="G66" s="3">
        <v>49</v>
      </c>
      <c r="H66" s="3">
        <v>3</v>
      </c>
      <c r="I66" s="3">
        <v>509</v>
      </c>
      <c r="K66" s="2">
        <v>27787334</v>
      </c>
      <c r="L66" s="2" t="s">
        <v>3068</v>
      </c>
      <c r="M66" s="2" t="s">
        <v>156</v>
      </c>
      <c r="N66" s="2" t="s">
        <v>21</v>
      </c>
      <c r="O66" s="1" t="s">
        <v>3069</v>
      </c>
      <c r="Q66" s="2" t="s">
        <v>3070</v>
      </c>
      <c r="R66" s="6" t="s">
        <v>3071</v>
      </c>
    </row>
    <row r="67" spans="1:18" ht="90" x14ac:dyDescent="0.25">
      <c r="A67" s="1" t="s">
        <v>3072</v>
      </c>
      <c r="B67" s="1" t="s">
        <v>3073</v>
      </c>
      <c r="C67" s="1" t="s">
        <v>3074</v>
      </c>
      <c r="D67" s="2" t="str">
        <f>"1873-6297"</f>
        <v>1873-6297</v>
      </c>
      <c r="F67" s="2" t="str">
        <f>"2017 Mar"</f>
        <v>2017 Mar</v>
      </c>
      <c r="G67" s="3">
        <v>174</v>
      </c>
      <c r="I67" s="3">
        <v>80</v>
      </c>
      <c r="K67" s="2">
        <v>28196753</v>
      </c>
      <c r="L67" s="2" t="s">
        <v>3075</v>
      </c>
      <c r="M67" s="2" t="s">
        <v>3076</v>
      </c>
      <c r="N67" s="2" t="s">
        <v>21</v>
      </c>
      <c r="O67" s="1" t="s">
        <v>3077</v>
      </c>
      <c r="Q67" s="2" t="s">
        <v>3078</v>
      </c>
      <c r="R67" s="6" t="s">
        <v>3079</v>
      </c>
    </row>
    <row r="68" spans="1:18" ht="120" x14ac:dyDescent="0.25">
      <c r="A68" s="1" t="s">
        <v>3080</v>
      </c>
      <c r="B68" s="1" t="s">
        <v>3081</v>
      </c>
      <c r="C68" s="1" t="s">
        <v>2271</v>
      </c>
      <c r="D68" s="2" t="str">
        <f>"1942-7611"</f>
        <v>1942-7611</v>
      </c>
      <c r="F68" s="2" t="str">
        <f>"2017 Oct"</f>
        <v>2017 Oct</v>
      </c>
      <c r="G68" s="3">
        <v>9</v>
      </c>
      <c r="H68" s="3">
        <v>10</v>
      </c>
      <c r="I68" s="3">
        <v>1561</v>
      </c>
      <c r="K68" s="2">
        <v>28214385</v>
      </c>
      <c r="L68" s="2" t="s">
        <v>3082</v>
      </c>
      <c r="M68" s="2" t="s">
        <v>2273</v>
      </c>
      <c r="N68" s="2" t="s">
        <v>21</v>
      </c>
      <c r="O68" s="1" t="s">
        <v>3083</v>
      </c>
      <c r="Q68" s="2" t="s">
        <v>3084</v>
      </c>
      <c r="R68" s="6" t="s">
        <v>3085</v>
      </c>
    </row>
    <row r="69" spans="1:18" ht="60" x14ac:dyDescent="0.25">
      <c r="A69" s="1" t="s">
        <v>3086</v>
      </c>
      <c r="B69" s="1" t="s">
        <v>3087</v>
      </c>
      <c r="C69" s="1" t="s">
        <v>55</v>
      </c>
      <c r="D69" s="2" t="str">
        <f>"1878-1861"</f>
        <v>1878-1861</v>
      </c>
      <c r="F69" s="2" t="str">
        <f>"2017 Sep"</f>
        <v>2017 Sep</v>
      </c>
      <c r="G69" s="3">
        <v>20</v>
      </c>
      <c r="H69" s="3">
        <v>9</v>
      </c>
      <c r="I69" s="3">
        <v>867</v>
      </c>
      <c r="K69" s="2">
        <v>28173971</v>
      </c>
      <c r="L69" s="2" t="s">
        <v>3088</v>
      </c>
      <c r="M69" s="2" t="s">
        <v>59</v>
      </c>
      <c r="N69" s="2" t="s">
        <v>21</v>
      </c>
      <c r="O69" s="1" t="s">
        <v>3089</v>
      </c>
      <c r="Q69" s="2" t="s">
        <v>3090</v>
      </c>
      <c r="R69" s="6" t="s">
        <v>3091</v>
      </c>
    </row>
    <row r="70" spans="1:18" ht="60" x14ac:dyDescent="0.25">
      <c r="A70" s="1" t="s">
        <v>3092</v>
      </c>
      <c r="B70" s="1" t="s">
        <v>2421</v>
      </c>
      <c r="C70" s="1" t="s">
        <v>82</v>
      </c>
      <c r="D70" s="2" t="str">
        <f>"1600-0838"</f>
        <v>1600-0838</v>
      </c>
      <c r="F70" s="2" t="str">
        <f>"2017 Mar"</f>
        <v>2017 Mar</v>
      </c>
      <c r="G70" s="3">
        <v>27</v>
      </c>
      <c r="H70" s="3">
        <v>3</v>
      </c>
      <c r="I70" s="3">
        <v>282</v>
      </c>
      <c r="K70" s="2">
        <v>26926311</v>
      </c>
      <c r="L70" s="2" t="s">
        <v>3093</v>
      </c>
      <c r="M70" s="2" t="s">
        <v>86</v>
      </c>
      <c r="N70" s="2" t="s">
        <v>21</v>
      </c>
      <c r="O70" s="1" t="s">
        <v>3094</v>
      </c>
      <c r="Q70" s="2" t="s">
        <v>3095</v>
      </c>
      <c r="R70" s="6" t="s">
        <v>3096</v>
      </c>
    </row>
    <row r="71" spans="1:18" ht="90" x14ac:dyDescent="0.25">
      <c r="A71" s="1" t="s">
        <v>3097</v>
      </c>
      <c r="B71" s="1" t="s">
        <v>3098</v>
      </c>
      <c r="C71" s="1" t="s">
        <v>82</v>
      </c>
      <c r="D71" s="2" t="str">
        <f>"1600-0838"</f>
        <v>1600-0838</v>
      </c>
      <c r="F71" s="2" t="str">
        <f>"2017 Mar"</f>
        <v>2017 Mar</v>
      </c>
      <c r="G71" s="3">
        <v>27</v>
      </c>
      <c r="H71" s="3">
        <v>3</v>
      </c>
      <c r="I71" s="3">
        <v>289</v>
      </c>
      <c r="K71" s="2">
        <v>26888631</v>
      </c>
      <c r="L71" s="2" t="s">
        <v>3099</v>
      </c>
      <c r="M71" s="2" t="s">
        <v>86</v>
      </c>
      <c r="N71" s="2" t="s">
        <v>21</v>
      </c>
      <c r="O71" s="1" t="s">
        <v>3100</v>
      </c>
      <c r="Q71" s="2" t="s">
        <v>3101</v>
      </c>
      <c r="R71" s="6" t="s">
        <v>3102</v>
      </c>
    </row>
    <row r="72" spans="1:18" ht="60" x14ac:dyDescent="0.25">
      <c r="A72" s="1" t="s">
        <v>3103</v>
      </c>
      <c r="B72" s="1" t="s">
        <v>3104</v>
      </c>
      <c r="C72" s="1" t="s">
        <v>862</v>
      </c>
      <c r="D72" s="2" t="str">
        <f>"2168-3824"</f>
        <v>2168-3824</v>
      </c>
      <c r="F72" s="2" t="str">
        <f>"2017 Jun"</f>
        <v>2017 Jun</v>
      </c>
      <c r="G72" s="3">
        <v>88</v>
      </c>
      <c r="H72" s="3">
        <v>2</v>
      </c>
      <c r="I72" s="3">
        <v>184</v>
      </c>
      <c r="K72" s="2">
        <v>28339350</v>
      </c>
      <c r="L72" s="2" t="s">
        <v>3105</v>
      </c>
      <c r="M72" s="2" t="s">
        <v>864</v>
      </c>
      <c r="N72" s="2" t="s">
        <v>21</v>
      </c>
      <c r="O72" s="1" t="s">
        <v>3106</v>
      </c>
      <c r="Q72" s="2" t="s">
        <v>3107</v>
      </c>
      <c r="R72" s="6" t="s">
        <v>3108</v>
      </c>
    </row>
    <row r="73" spans="1:18" ht="120" x14ac:dyDescent="0.25">
      <c r="A73" s="1" t="s">
        <v>3109</v>
      </c>
      <c r="B73" s="1" t="s">
        <v>3110</v>
      </c>
      <c r="C73" s="1" t="s">
        <v>983</v>
      </c>
      <c r="D73" s="2" t="str">
        <f>"1873-2380"</f>
        <v>1873-2380</v>
      </c>
      <c r="F73" s="2" t="str">
        <f>"2017 Jul 26"</f>
        <v>2017 Jul 26</v>
      </c>
      <c r="G73" s="3">
        <v>60</v>
      </c>
      <c r="I73" s="3">
        <v>181</v>
      </c>
      <c r="K73" s="2">
        <v>28712544</v>
      </c>
      <c r="L73" s="2" t="s">
        <v>3111</v>
      </c>
      <c r="M73" s="2" t="s">
        <v>608</v>
      </c>
      <c r="N73" s="2" t="s">
        <v>21</v>
      </c>
      <c r="O73" s="1" t="s">
        <v>3112</v>
      </c>
      <c r="Q73" s="2" t="s">
        <v>3113</v>
      </c>
      <c r="R73" s="6" t="s">
        <v>3114</v>
      </c>
    </row>
    <row r="74" spans="1:18" ht="90" x14ac:dyDescent="0.25">
      <c r="A74" s="1" t="s">
        <v>3115</v>
      </c>
      <c r="B74" s="1" t="s">
        <v>3116</v>
      </c>
      <c r="C74" s="1" t="s">
        <v>921</v>
      </c>
      <c r="D74" s="2" t="str">
        <f>"1466-447X"</f>
        <v>1466-447X</v>
      </c>
      <c r="F74" s="2" t="str">
        <f>"2017 Mar"</f>
        <v>2017 Mar</v>
      </c>
      <c r="G74" s="3">
        <v>35</v>
      </c>
      <c r="H74" s="3">
        <v>5</v>
      </c>
      <c r="I74" s="3">
        <v>500</v>
      </c>
      <c r="K74" s="2">
        <v>27088370</v>
      </c>
      <c r="L74" s="2" t="s">
        <v>3117</v>
      </c>
      <c r="M74" s="2" t="s">
        <v>923</v>
      </c>
      <c r="N74" s="2" t="s">
        <v>21</v>
      </c>
      <c r="O74" s="1" t="s">
        <v>3118</v>
      </c>
      <c r="Q74" s="2" t="s">
        <v>3119</v>
      </c>
      <c r="R74" s="6" t="s">
        <v>3120</v>
      </c>
    </row>
    <row r="75" spans="1:18" ht="225" x14ac:dyDescent="0.25">
      <c r="A75" s="1" t="s">
        <v>3121</v>
      </c>
      <c r="B75" s="1" t="s">
        <v>3122</v>
      </c>
      <c r="C75" s="1" t="s">
        <v>3123</v>
      </c>
      <c r="D75" s="2" t="str">
        <f>"1528-1167"</f>
        <v>1528-1167</v>
      </c>
      <c r="F75" s="2" t="str">
        <f>"2017 Apr"</f>
        <v>2017 Apr</v>
      </c>
      <c r="G75" s="3">
        <v>58</v>
      </c>
      <c r="H75" s="3">
        <v>4</v>
      </c>
      <c r="I75" s="3" t="s">
        <v>3124</v>
      </c>
      <c r="K75" s="2">
        <v>28225153</v>
      </c>
      <c r="L75" s="2" t="s">
        <v>3125</v>
      </c>
      <c r="M75" s="2" t="s">
        <v>3126</v>
      </c>
      <c r="N75" s="2" t="s">
        <v>21</v>
      </c>
      <c r="O75" s="1" t="s">
        <v>3127</v>
      </c>
      <c r="Q75" s="2" t="s">
        <v>3128</v>
      </c>
      <c r="R75" s="6" t="s">
        <v>3129</v>
      </c>
    </row>
    <row r="76" spans="1:18" ht="75" x14ac:dyDescent="0.25">
      <c r="A76" s="1" t="s">
        <v>3130</v>
      </c>
      <c r="B76" s="1" t="s">
        <v>3131</v>
      </c>
      <c r="C76" s="1" t="s">
        <v>466</v>
      </c>
      <c r="D76" s="2" t="str">
        <f>"1533-4287"</f>
        <v>1533-4287</v>
      </c>
      <c r="F76" s="2" t="str">
        <f>"2017 Oct"</f>
        <v>2017 Oct</v>
      </c>
      <c r="G76" s="3">
        <v>31</v>
      </c>
      <c r="H76" s="3">
        <v>10</v>
      </c>
      <c r="I76" s="3">
        <v>2832</v>
      </c>
      <c r="K76" s="2">
        <v>28081034</v>
      </c>
      <c r="L76" s="2" t="s">
        <v>3132</v>
      </c>
      <c r="M76" s="2" t="s">
        <v>468</v>
      </c>
      <c r="N76" s="2" t="s">
        <v>21</v>
      </c>
      <c r="O76" s="1" t="s">
        <v>3133</v>
      </c>
      <c r="Q76" s="2" t="s">
        <v>3134</v>
      </c>
      <c r="R76" s="6" t="s">
        <v>3135</v>
      </c>
    </row>
    <row r="77" spans="1:18" ht="45" x14ac:dyDescent="0.25">
      <c r="A77" s="1" t="s">
        <v>3136</v>
      </c>
      <c r="B77" s="1" t="s">
        <v>3137</v>
      </c>
      <c r="C77" s="1" t="s">
        <v>3138</v>
      </c>
      <c r="D77" s="2" t="str">
        <f>"2352-2518"</f>
        <v>2352-2518</v>
      </c>
      <c r="F77" s="2" t="str">
        <f>"2017 Aug"</f>
        <v>2017 Aug</v>
      </c>
      <c r="G77" s="3">
        <v>16</v>
      </c>
      <c r="I77" s="3">
        <v>54</v>
      </c>
      <c r="K77" s="2">
        <v>28813355</v>
      </c>
      <c r="L77" s="2" t="s">
        <v>3139</v>
      </c>
      <c r="M77" s="2" t="s">
        <v>1835</v>
      </c>
      <c r="N77" s="2" t="s">
        <v>21</v>
      </c>
      <c r="Q77" s="2" t="s">
        <v>3140</v>
      </c>
      <c r="R77" s="6" t="s">
        <v>3141</v>
      </c>
    </row>
    <row r="78" spans="1:18" ht="90" x14ac:dyDescent="0.25">
      <c r="A78" s="1" t="s">
        <v>3142</v>
      </c>
      <c r="B78" s="1" t="s">
        <v>3143</v>
      </c>
      <c r="C78" s="1" t="s">
        <v>1022</v>
      </c>
      <c r="D78" s="2" t="str">
        <f>"1872-7646"</f>
        <v>1872-7646</v>
      </c>
      <c r="F78" s="2" t="str">
        <f>"2017 Aug"</f>
        <v>2017 Aug</v>
      </c>
      <c r="G78" s="3">
        <v>54</v>
      </c>
      <c r="I78" s="3">
        <v>82</v>
      </c>
      <c r="K78" s="2">
        <v>28410536</v>
      </c>
      <c r="L78" s="2" t="s">
        <v>3144</v>
      </c>
      <c r="M78" s="2" t="s">
        <v>1024</v>
      </c>
      <c r="N78" s="2" t="s">
        <v>21</v>
      </c>
      <c r="O78" s="1" t="s">
        <v>3145</v>
      </c>
      <c r="Q78" s="2" t="s">
        <v>3146</v>
      </c>
      <c r="R78" s="6" t="s">
        <v>3147</v>
      </c>
    </row>
    <row r="79" spans="1:18" ht="90" x14ac:dyDescent="0.25">
      <c r="A79" s="1" t="s">
        <v>3148</v>
      </c>
      <c r="B79" s="1" t="s">
        <v>3149</v>
      </c>
      <c r="C79" s="1" t="s">
        <v>55</v>
      </c>
      <c r="D79" s="2" t="str">
        <f>"1878-1861"</f>
        <v>1878-1861</v>
      </c>
      <c r="F79" s="2" t="str">
        <f>"2017 Feb"</f>
        <v>2017 Feb</v>
      </c>
      <c r="G79" s="3">
        <v>20</v>
      </c>
      <c r="H79" s="3">
        <v>2</v>
      </c>
      <c r="I79" s="3">
        <v>139</v>
      </c>
      <c r="K79" s="2">
        <v>27473653</v>
      </c>
      <c r="L79" s="2" t="s">
        <v>3150</v>
      </c>
      <c r="M79" s="2" t="s">
        <v>59</v>
      </c>
      <c r="N79" s="2" t="s">
        <v>21</v>
      </c>
      <c r="O79" s="1" t="s">
        <v>3151</v>
      </c>
      <c r="Q79" s="2" t="s">
        <v>3152</v>
      </c>
      <c r="R79" s="6" t="s">
        <v>3153</v>
      </c>
    </row>
    <row r="80" spans="1:18" ht="45" x14ac:dyDescent="0.25">
      <c r="A80" s="1" t="s">
        <v>3154</v>
      </c>
      <c r="B80" s="1" t="s">
        <v>3155</v>
      </c>
      <c r="C80" s="1" t="s">
        <v>1325</v>
      </c>
      <c r="D80" s="2" t="str">
        <f>"2075-4663"</f>
        <v>2075-4663</v>
      </c>
      <c r="F80" s="2" t="str">
        <f>"2017 Nov 04"</f>
        <v>2017 Nov 04</v>
      </c>
      <c r="G80" s="3">
        <v>5</v>
      </c>
      <c r="H80" s="3">
        <v>4</v>
      </c>
      <c r="K80" s="2">
        <v>29910445</v>
      </c>
      <c r="L80" s="2" t="s">
        <v>3156</v>
      </c>
      <c r="M80" s="2" t="s">
        <v>775</v>
      </c>
      <c r="N80" s="2" t="s">
        <v>21</v>
      </c>
      <c r="Q80" s="2" t="s">
        <v>3157</v>
      </c>
      <c r="R80" s="6" t="s">
        <v>3158</v>
      </c>
    </row>
    <row r="81" spans="1:18" ht="165" x14ac:dyDescent="0.25">
      <c r="A81" s="1" t="s">
        <v>3159</v>
      </c>
      <c r="B81" s="1" t="s">
        <v>3160</v>
      </c>
      <c r="C81" s="1" t="s">
        <v>3161</v>
      </c>
      <c r="D81" s="2" t="str">
        <f>"1938-3207"</f>
        <v>1938-3207</v>
      </c>
      <c r="F81" s="2" t="str">
        <f>"2017 Jan"</f>
        <v>2017 Jan</v>
      </c>
      <c r="G81" s="3">
        <v>105</v>
      </c>
      <c r="H81" s="3">
        <v>1</v>
      </c>
      <c r="I81" s="3">
        <v>136</v>
      </c>
      <c r="K81" s="2">
        <v>27852613</v>
      </c>
      <c r="L81" s="2" t="s">
        <v>3162</v>
      </c>
      <c r="M81" s="2" t="s">
        <v>2983</v>
      </c>
      <c r="N81" s="2" t="s">
        <v>21</v>
      </c>
      <c r="O81" s="1" t="s">
        <v>3163</v>
      </c>
      <c r="Q81" s="2" t="s">
        <v>3164</v>
      </c>
      <c r="R81" s="6" t="s">
        <v>3165</v>
      </c>
    </row>
    <row r="82" spans="1:18" ht="75" x14ac:dyDescent="0.25">
      <c r="A82" s="1" t="s">
        <v>3166</v>
      </c>
      <c r="B82" s="1" t="s">
        <v>3167</v>
      </c>
      <c r="C82" s="1" t="s">
        <v>55</v>
      </c>
      <c r="D82" s="2" t="str">
        <f>"1878-1861"</f>
        <v>1878-1861</v>
      </c>
      <c r="F82" s="2" t="str">
        <f>"2017 Jun"</f>
        <v>2017 Jun</v>
      </c>
      <c r="G82" s="3">
        <v>20</v>
      </c>
      <c r="H82" s="3">
        <v>6</v>
      </c>
      <c r="I82" s="3">
        <v>572</v>
      </c>
      <c r="K82" s="2">
        <v>27836627</v>
      </c>
      <c r="L82" s="2" t="s">
        <v>3168</v>
      </c>
      <c r="M82" s="2" t="s">
        <v>59</v>
      </c>
      <c r="N82" s="2" t="s">
        <v>21</v>
      </c>
      <c r="O82" s="1" t="s">
        <v>3169</v>
      </c>
      <c r="Q82" s="2" t="s">
        <v>3170</v>
      </c>
      <c r="R82" s="6" t="s">
        <v>3171</v>
      </c>
    </row>
    <row r="83" spans="1:18" ht="75" x14ac:dyDescent="0.25">
      <c r="A83" s="1" t="s">
        <v>3172</v>
      </c>
      <c r="B83" s="1" t="s">
        <v>3173</v>
      </c>
      <c r="C83" s="1" t="s">
        <v>102</v>
      </c>
      <c r="D83" s="2" t="str">
        <f>"1473-0480"</f>
        <v>1473-0480</v>
      </c>
      <c r="F83" s="2" t="str">
        <f>"2017 Jul"</f>
        <v>2017 Jul</v>
      </c>
      <c r="G83" s="3">
        <v>51</v>
      </c>
      <c r="H83" s="3">
        <v>14</v>
      </c>
      <c r="I83" s="3">
        <v>1054</v>
      </c>
      <c r="K83" s="2">
        <v>28330847</v>
      </c>
      <c r="L83" s="2" t="s">
        <v>3174</v>
      </c>
      <c r="M83" s="2" t="s">
        <v>106</v>
      </c>
      <c r="N83" s="2" t="s">
        <v>633</v>
      </c>
      <c r="O83" s="1" t="s">
        <v>3175</v>
      </c>
      <c r="Q83" s="2" t="s">
        <v>807</v>
      </c>
      <c r="R83" s="6" t="s">
        <v>3176</v>
      </c>
    </row>
    <row r="84" spans="1:18" ht="60" x14ac:dyDescent="0.25">
      <c r="A84" s="1" t="s">
        <v>3177</v>
      </c>
      <c r="B84" s="1" t="s">
        <v>3178</v>
      </c>
      <c r="C84" s="1" t="s">
        <v>638</v>
      </c>
      <c r="D84" s="2" t="str">
        <f>"1664-1078"</f>
        <v>1664-1078</v>
      </c>
      <c r="F84" s="2" t="str">
        <f>"2017 Aug 22"</f>
        <v>2017 Aug 22</v>
      </c>
      <c r="G84" s="3">
        <v>8</v>
      </c>
      <c r="I84" s="3">
        <v>1350</v>
      </c>
      <c r="K84" s="2">
        <v>28878701</v>
      </c>
      <c r="L84" s="2" t="s">
        <v>3179</v>
      </c>
      <c r="M84" s="2" t="s">
        <v>640</v>
      </c>
      <c r="N84" s="2" t="s">
        <v>21</v>
      </c>
      <c r="Q84" s="2" t="s">
        <v>3180</v>
      </c>
      <c r="R84" s="6" t="s">
        <v>3181</v>
      </c>
    </row>
    <row r="85" spans="1:18" ht="75" x14ac:dyDescent="0.25">
      <c r="A85" s="1" t="s">
        <v>3182</v>
      </c>
      <c r="B85" s="1" t="s">
        <v>3183</v>
      </c>
      <c r="C85" s="1" t="s">
        <v>102</v>
      </c>
      <c r="D85" s="2" t="str">
        <f>"1473-0480"</f>
        <v>1473-0480</v>
      </c>
      <c r="F85" s="2" t="str">
        <f>"2017 Apr"</f>
        <v>2017 Apr</v>
      </c>
      <c r="G85" s="3">
        <v>51</v>
      </c>
      <c r="H85" s="3">
        <v>7</v>
      </c>
      <c r="I85" s="3">
        <v>618</v>
      </c>
      <c r="K85" s="2">
        <v>27647857</v>
      </c>
      <c r="L85" s="2" t="s">
        <v>3184</v>
      </c>
      <c r="M85" s="2" t="s">
        <v>106</v>
      </c>
      <c r="N85" s="2" t="s">
        <v>3006</v>
      </c>
      <c r="O85" s="1" t="s">
        <v>3185</v>
      </c>
      <c r="R85" s="6" t="s">
        <v>3186</v>
      </c>
    </row>
  </sheetData>
  <hyperlinks>
    <hyperlink ref="R2" r:id="rId1" xr:uid="{00000000-0004-0000-0200-000000000000}"/>
    <hyperlink ref="R3" r:id="rId2" xr:uid="{00000000-0004-0000-0200-000001000000}"/>
    <hyperlink ref="R4" r:id="rId3" xr:uid="{00000000-0004-0000-0200-000002000000}"/>
    <hyperlink ref="R5" r:id="rId4" xr:uid="{00000000-0004-0000-0200-000003000000}"/>
    <hyperlink ref="R6" r:id="rId5" xr:uid="{00000000-0004-0000-0200-000004000000}"/>
    <hyperlink ref="R7" r:id="rId6" xr:uid="{00000000-0004-0000-0200-000005000000}"/>
    <hyperlink ref="R8" r:id="rId7" xr:uid="{00000000-0004-0000-0200-000006000000}"/>
    <hyperlink ref="R9" r:id="rId8" xr:uid="{00000000-0004-0000-0200-000007000000}"/>
    <hyperlink ref="R10" r:id="rId9" xr:uid="{00000000-0004-0000-0200-000008000000}"/>
    <hyperlink ref="R11" r:id="rId10" xr:uid="{00000000-0004-0000-0200-000009000000}"/>
    <hyperlink ref="R12" r:id="rId11" xr:uid="{00000000-0004-0000-0200-00000A000000}"/>
    <hyperlink ref="R13" r:id="rId12" xr:uid="{00000000-0004-0000-0200-00000B000000}"/>
    <hyperlink ref="R14" r:id="rId13" xr:uid="{00000000-0004-0000-0200-00000C000000}"/>
    <hyperlink ref="R15" r:id="rId14" xr:uid="{00000000-0004-0000-0200-00000D000000}"/>
    <hyperlink ref="R16" r:id="rId15" xr:uid="{00000000-0004-0000-0200-00000E000000}"/>
    <hyperlink ref="R17" r:id="rId16" xr:uid="{00000000-0004-0000-0200-00000F000000}"/>
    <hyperlink ref="R18" r:id="rId17" xr:uid="{00000000-0004-0000-0200-000010000000}"/>
    <hyperlink ref="R19" r:id="rId18" xr:uid="{00000000-0004-0000-0200-000011000000}"/>
    <hyperlink ref="R20" r:id="rId19" xr:uid="{00000000-0004-0000-0200-000012000000}"/>
    <hyperlink ref="R21" r:id="rId20" xr:uid="{00000000-0004-0000-0200-000013000000}"/>
    <hyperlink ref="R22" r:id="rId21" xr:uid="{00000000-0004-0000-0200-000014000000}"/>
    <hyperlink ref="R23" r:id="rId22" xr:uid="{00000000-0004-0000-0200-000015000000}"/>
    <hyperlink ref="R24" r:id="rId23" xr:uid="{00000000-0004-0000-0200-000016000000}"/>
    <hyperlink ref="R25" r:id="rId24" xr:uid="{00000000-0004-0000-0200-000017000000}"/>
    <hyperlink ref="R26" r:id="rId25" xr:uid="{00000000-0004-0000-0200-000018000000}"/>
    <hyperlink ref="R27" r:id="rId26" xr:uid="{00000000-0004-0000-0200-000019000000}"/>
    <hyperlink ref="R28" r:id="rId27" xr:uid="{00000000-0004-0000-0200-00001A000000}"/>
    <hyperlink ref="R29" r:id="rId28" xr:uid="{00000000-0004-0000-0200-00001B000000}"/>
    <hyperlink ref="R30" r:id="rId29" xr:uid="{00000000-0004-0000-0200-00001C000000}"/>
    <hyperlink ref="R31" r:id="rId30" xr:uid="{00000000-0004-0000-0200-00001D000000}"/>
    <hyperlink ref="R32" r:id="rId31" xr:uid="{00000000-0004-0000-0200-00001E000000}"/>
    <hyperlink ref="R33" r:id="rId32" xr:uid="{00000000-0004-0000-0200-00001F000000}"/>
    <hyperlink ref="R34" r:id="rId33" xr:uid="{00000000-0004-0000-0200-000020000000}"/>
    <hyperlink ref="R35" r:id="rId34" xr:uid="{00000000-0004-0000-0200-000021000000}"/>
    <hyperlink ref="R36" r:id="rId35" xr:uid="{00000000-0004-0000-0200-000022000000}"/>
    <hyperlink ref="R37" r:id="rId36" xr:uid="{00000000-0004-0000-0200-000023000000}"/>
    <hyperlink ref="R38" r:id="rId37" xr:uid="{00000000-0004-0000-0200-000024000000}"/>
    <hyperlink ref="R39" r:id="rId38" xr:uid="{00000000-0004-0000-0200-000025000000}"/>
    <hyperlink ref="R40" r:id="rId39" xr:uid="{00000000-0004-0000-0200-000026000000}"/>
    <hyperlink ref="R41" r:id="rId40" xr:uid="{00000000-0004-0000-0200-000027000000}"/>
    <hyperlink ref="R42" r:id="rId41" xr:uid="{00000000-0004-0000-0200-000028000000}"/>
    <hyperlink ref="R43" r:id="rId42" xr:uid="{00000000-0004-0000-0200-000029000000}"/>
    <hyperlink ref="R44" r:id="rId43" xr:uid="{00000000-0004-0000-0200-00002A000000}"/>
    <hyperlink ref="R45" r:id="rId44" xr:uid="{00000000-0004-0000-0200-00002B000000}"/>
    <hyperlink ref="R46" r:id="rId45" xr:uid="{00000000-0004-0000-0200-00002C000000}"/>
    <hyperlink ref="R47" r:id="rId46" xr:uid="{00000000-0004-0000-0200-00002D000000}"/>
    <hyperlink ref="R48" r:id="rId47" xr:uid="{00000000-0004-0000-0200-00002E000000}"/>
    <hyperlink ref="R49" r:id="rId48" xr:uid="{00000000-0004-0000-0200-00002F000000}"/>
    <hyperlink ref="R50" r:id="rId49" xr:uid="{00000000-0004-0000-0200-000030000000}"/>
    <hyperlink ref="R51" r:id="rId50" xr:uid="{00000000-0004-0000-0200-000031000000}"/>
    <hyperlink ref="R52" r:id="rId51" xr:uid="{00000000-0004-0000-0200-000032000000}"/>
    <hyperlink ref="R53" r:id="rId52" xr:uid="{00000000-0004-0000-0200-000033000000}"/>
    <hyperlink ref="R54" r:id="rId53" xr:uid="{00000000-0004-0000-0200-000034000000}"/>
    <hyperlink ref="R55" r:id="rId54" xr:uid="{00000000-0004-0000-0200-000035000000}"/>
    <hyperlink ref="R56" r:id="rId55" xr:uid="{00000000-0004-0000-0200-000036000000}"/>
    <hyperlink ref="R57" r:id="rId56" xr:uid="{00000000-0004-0000-0200-000037000000}"/>
    <hyperlink ref="R58" r:id="rId57" xr:uid="{00000000-0004-0000-0200-000038000000}"/>
    <hyperlink ref="R59" r:id="rId58" xr:uid="{00000000-0004-0000-0200-000039000000}"/>
    <hyperlink ref="R60" r:id="rId59" xr:uid="{00000000-0004-0000-0200-00003A000000}"/>
    <hyperlink ref="R61" r:id="rId60" xr:uid="{00000000-0004-0000-0200-00003B000000}"/>
    <hyperlink ref="R62" r:id="rId61" xr:uid="{00000000-0004-0000-0200-00003C000000}"/>
    <hyperlink ref="R63" r:id="rId62" xr:uid="{00000000-0004-0000-0200-00003D000000}"/>
    <hyperlink ref="R64" r:id="rId63" xr:uid="{00000000-0004-0000-0200-00003E000000}"/>
    <hyperlink ref="R65" r:id="rId64" xr:uid="{00000000-0004-0000-0200-00003F000000}"/>
    <hyperlink ref="R66" r:id="rId65" xr:uid="{00000000-0004-0000-0200-000040000000}"/>
    <hyperlink ref="R67" r:id="rId66" xr:uid="{00000000-0004-0000-0200-000041000000}"/>
    <hyperlink ref="R68" r:id="rId67" xr:uid="{00000000-0004-0000-0200-000042000000}"/>
    <hyperlink ref="R69" r:id="rId68" xr:uid="{00000000-0004-0000-0200-000043000000}"/>
    <hyperlink ref="R70" r:id="rId69" xr:uid="{00000000-0004-0000-0200-000044000000}"/>
    <hyperlink ref="R71" r:id="rId70" xr:uid="{00000000-0004-0000-0200-000045000000}"/>
    <hyperlink ref="R72" r:id="rId71" xr:uid="{00000000-0004-0000-0200-000046000000}"/>
    <hyperlink ref="R73" r:id="rId72" xr:uid="{00000000-0004-0000-0200-000047000000}"/>
    <hyperlink ref="R74" r:id="rId73" xr:uid="{00000000-0004-0000-0200-000048000000}"/>
    <hyperlink ref="R75" r:id="rId74" xr:uid="{00000000-0004-0000-0200-000049000000}"/>
    <hyperlink ref="R76" r:id="rId75" xr:uid="{00000000-0004-0000-0200-00004A000000}"/>
    <hyperlink ref="R77" r:id="rId76" xr:uid="{00000000-0004-0000-0200-00004B000000}"/>
    <hyperlink ref="R78" r:id="rId77" xr:uid="{00000000-0004-0000-0200-00004C000000}"/>
    <hyperlink ref="R79" r:id="rId78" xr:uid="{00000000-0004-0000-0200-00004D000000}"/>
    <hyperlink ref="R80" r:id="rId79" xr:uid="{00000000-0004-0000-0200-00004E000000}"/>
    <hyperlink ref="R81" r:id="rId80" xr:uid="{00000000-0004-0000-0200-00004F000000}"/>
    <hyperlink ref="R82" r:id="rId81" xr:uid="{00000000-0004-0000-0200-000050000000}"/>
    <hyperlink ref="R83" r:id="rId82" xr:uid="{00000000-0004-0000-0200-000051000000}"/>
    <hyperlink ref="R84" r:id="rId83" xr:uid="{00000000-0004-0000-0200-000052000000}"/>
    <hyperlink ref="R85" r:id="rId84" xr:uid="{00000000-0004-0000-0200-000053000000}"/>
  </hyperlinks>
  <pageMargins left="0.7" right="0.7" top="0.75" bottom="0.75" header="0.3" footer="0.3"/>
  <headerFooter>
    <oddHeader>&amp;C&amp;"Calibri"&amp;12&amp;KFF0000 OFFICIAL&amp;1#_x000D_</oddHeader>
  </headerFooter>
  <tableParts count="1">
    <tablePart r:id="rId85"/>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82"/>
  <sheetViews>
    <sheetView workbookViewId="0">
      <selection activeCell="R83" sqref="R83"/>
    </sheetView>
  </sheetViews>
  <sheetFormatPr defaultColWidth="8.7109375" defaultRowHeight="15" x14ac:dyDescent="0.25"/>
  <cols>
    <col min="1" max="1" width="43.7109375" style="1" customWidth="1"/>
    <col min="2" max="2" width="28.85546875" style="1" customWidth="1"/>
    <col min="3" max="3" width="29.42578125" style="1" customWidth="1"/>
    <col min="4" max="4" width="9.42578125" style="2" bestFit="1" customWidth="1"/>
    <col min="5" max="5" width="0" style="2" hidden="1" customWidth="1"/>
    <col min="6" max="6" width="16.85546875" style="2" customWidth="1"/>
    <col min="7" max="7" width="9.42578125" style="3" customWidth="1"/>
    <col min="8" max="8" width="8.7109375" style="3"/>
    <col min="9" max="9" width="11.140625" style="3" customWidth="1"/>
    <col min="10" max="10" width="12.42578125" style="2" hidden="1" customWidth="1"/>
    <col min="11" max="11" width="18.42578125" style="2" hidden="1" customWidth="1"/>
    <col min="12" max="12" width="28.140625" style="2" customWidth="1"/>
    <col min="13" max="13" width="17.85546875" style="2" customWidth="1"/>
    <col min="14" max="14" width="15.42578125" style="2" customWidth="1"/>
    <col min="15" max="15" width="48.42578125" style="1" customWidth="1"/>
    <col min="16" max="16" width="11.140625" style="2" hidden="1" customWidth="1"/>
    <col min="17" max="17" width="39.28515625" style="2" customWidth="1"/>
    <col min="18" max="18" width="35.140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90" x14ac:dyDescent="0.25">
      <c r="A2" s="1" t="s">
        <v>3187</v>
      </c>
      <c r="B2" s="1" t="s">
        <v>3188</v>
      </c>
      <c r="C2" s="1" t="s">
        <v>921</v>
      </c>
      <c r="D2" s="2" t="str">
        <f>"1466-447X"</f>
        <v>1466-447X</v>
      </c>
      <c r="F2" s="2" t="str">
        <f>"2016"</f>
        <v>2016</v>
      </c>
      <c r="G2" s="3">
        <v>34</v>
      </c>
      <c r="H2" s="3">
        <v>5</v>
      </c>
      <c r="I2" s="3">
        <v>477</v>
      </c>
      <c r="K2" s="2">
        <v>26119031</v>
      </c>
      <c r="L2" s="2" t="s">
        <v>3189</v>
      </c>
      <c r="M2" s="2" t="s">
        <v>923</v>
      </c>
      <c r="N2" s="2" t="s">
        <v>21</v>
      </c>
      <c r="O2" s="1" t="s">
        <v>3190</v>
      </c>
      <c r="Q2" s="2" t="s">
        <v>3191</v>
      </c>
      <c r="R2" s="6" t="s">
        <v>3192</v>
      </c>
    </row>
    <row r="3" spans="1:18" ht="120" x14ac:dyDescent="0.25">
      <c r="A3" s="1" t="s">
        <v>3193</v>
      </c>
      <c r="B3" s="1" t="s">
        <v>3194</v>
      </c>
      <c r="C3" s="1" t="s">
        <v>3195</v>
      </c>
      <c r="D3" s="2" t="str">
        <f>"1930-739X"</f>
        <v>1930-739X</v>
      </c>
      <c r="F3" s="2" t="str">
        <f>"2016 May"</f>
        <v>2016 May</v>
      </c>
      <c r="G3" s="3">
        <v>24</v>
      </c>
      <c r="H3" s="3">
        <v>5</v>
      </c>
      <c r="I3" s="3">
        <v>1035</v>
      </c>
      <c r="K3" s="2">
        <v>26931302</v>
      </c>
      <c r="L3" s="2" t="s">
        <v>3196</v>
      </c>
      <c r="M3" s="2" t="s">
        <v>2273</v>
      </c>
      <c r="N3" s="2" t="s">
        <v>21</v>
      </c>
      <c r="O3" s="1" t="s">
        <v>3197</v>
      </c>
      <c r="Q3" s="2" t="s">
        <v>3198</v>
      </c>
      <c r="R3" s="6" t="s">
        <v>3199</v>
      </c>
    </row>
    <row r="4" spans="1:18" ht="105" x14ac:dyDescent="0.25">
      <c r="A4" s="1" t="s">
        <v>3200</v>
      </c>
      <c r="B4" s="1" t="s">
        <v>3201</v>
      </c>
      <c r="C4" s="1" t="s">
        <v>545</v>
      </c>
      <c r="D4" s="2" t="str">
        <f>"1522-1601"</f>
        <v>1522-1601</v>
      </c>
      <c r="F4" s="2" t="str">
        <f>"2016 Jan 15"</f>
        <v>2016 Jan 15</v>
      </c>
      <c r="G4" s="3">
        <v>120</v>
      </c>
      <c r="H4" s="3">
        <v>2</v>
      </c>
      <c r="I4" s="3">
        <v>107</v>
      </c>
      <c r="K4" s="2">
        <v>26586912</v>
      </c>
      <c r="L4" s="2" t="s">
        <v>3202</v>
      </c>
      <c r="M4" s="2" t="s">
        <v>547</v>
      </c>
      <c r="N4" s="2" t="s">
        <v>21</v>
      </c>
      <c r="O4" s="1" t="s">
        <v>3203</v>
      </c>
      <c r="Q4" s="2" t="s">
        <v>3204</v>
      </c>
      <c r="R4" s="6" t="s">
        <v>3205</v>
      </c>
    </row>
    <row r="5" spans="1:18" ht="45" x14ac:dyDescent="0.25">
      <c r="A5" s="1" t="s">
        <v>3206</v>
      </c>
      <c r="B5" s="1" t="s">
        <v>3207</v>
      </c>
      <c r="C5" s="1" t="s">
        <v>676</v>
      </c>
      <c r="D5" s="2" t="str">
        <f>"1932-6203"</f>
        <v>1932-6203</v>
      </c>
      <c r="F5" s="2" t="str">
        <f>"2016 Apr 13"</f>
        <v>2016 Apr 13</v>
      </c>
      <c r="G5" s="3">
        <v>11</v>
      </c>
      <c r="H5" s="3">
        <v>4</v>
      </c>
      <c r="I5" s="3" t="s">
        <v>3208</v>
      </c>
      <c r="K5" s="2">
        <v>27073897</v>
      </c>
      <c r="L5" s="2" t="s">
        <v>3209</v>
      </c>
      <c r="M5" s="2" t="s">
        <v>679</v>
      </c>
      <c r="N5" s="2" t="s">
        <v>21</v>
      </c>
      <c r="O5" s="1" t="s">
        <v>3210</v>
      </c>
      <c r="Q5" s="2" t="s">
        <v>3211</v>
      </c>
      <c r="R5" s="6" t="s">
        <v>3212</v>
      </c>
    </row>
    <row r="6" spans="1:18" ht="75" x14ac:dyDescent="0.25">
      <c r="A6" s="1" t="s">
        <v>3213</v>
      </c>
      <c r="B6" s="1" t="s">
        <v>3214</v>
      </c>
      <c r="C6" s="1" t="s">
        <v>133</v>
      </c>
      <c r="D6" s="2" t="str">
        <f>"1536-7290"</f>
        <v>1536-7290</v>
      </c>
      <c r="F6" s="2" t="str">
        <f>"2016 Sep"</f>
        <v>2016 Sep</v>
      </c>
      <c r="G6" s="3">
        <v>16</v>
      </c>
      <c r="H6" s="3">
        <v>6</v>
      </c>
      <c r="I6" s="3">
        <v>645</v>
      </c>
      <c r="K6" s="2">
        <v>26366462</v>
      </c>
      <c r="L6" s="2" t="s">
        <v>3215</v>
      </c>
      <c r="M6" s="2" t="s">
        <v>500</v>
      </c>
      <c r="N6" s="2" t="s">
        <v>21</v>
      </c>
      <c r="O6" s="1" t="s">
        <v>3216</v>
      </c>
      <c r="Q6" s="2" t="s">
        <v>3217</v>
      </c>
      <c r="R6" s="6" t="s">
        <v>3218</v>
      </c>
    </row>
    <row r="7" spans="1:18" ht="45" x14ac:dyDescent="0.25">
      <c r="A7" s="1" t="s">
        <v>3219</v>
      </c>
      <c r="B7" s="1" t="s">
        <v>3220</v>
      </c>
      <c r="C7" s="1" t="s">
        <v>3221</v>
      </c>
      <c r="D7" s="2" t="str">
        <f>"2046-7648"</f>
        <v>2046-7648</v>
      </c>
      <c r="F7" s="2" t="str">
        <f>"2016 Jul 15"</f>
        <v>2016 Jul 15</v>
      </c>
      <c r="G7" s="3">
        <v>5</v>
      </c>
      <c r="I7" s="3">
        <v>8</v>
      </c>
      <c r="K7" s="2">
        <v>27429749</v>
      </c>
      <c r="L7" s="2" t="s">
        <v>3222</v>
      </c>
      <c r="M7" s="2" t="s">
        <v>399</v>
      </c>
      <c r="N7" s="2" t="s">
        <v>21</v>
      </c>
      <c r="Q7" s="2" t="s">
        <v>3223</v>
      </c>
      <c r="R7" s="6" t="s">
        <v>3224</v>
      </c>
    </row>
    <row r="8" spans="1:18" ht="105" x14ac:dyDescent="0.25">
      <c r="A8" s="1" t="s">
        <v>3225</v>
      </c>
      <c r="B8" s="1" t="s">
        <v>3226</v>
      </c>
      <c r="C8" s="1" t="s">
        <v>676</v>
      </c>
      <c r="D8" s="2" t="str">
        <f>"1932-6203"</f>
        <v>1932-6203</v>
      </c>
      <c r="F8" s="2" t="str">
        <f>"2016 Apr 21"</f>
        <v>2016 Apr 21</v>
      </c>
      <c r="G8" s="3">
        <v>11</v>
      </c>
      <c r="H8" s="3">
        <v>4</v>
      </c>
      <c r="I8" s="3" t="s">
        <v>3227</v>
      </c>
      <c r="K8" s="2">
        <v>27101373</v>
      </c>
      <c r="L8" s="2" t="s">
        <v>3228</v>
      </c>
      <c r="M8" s="2" t="s">
        <v>679</v>
      </c>
      <c r="N8" s="2" t="s">
        <v>21</v>
      </c>
      <c r="O8" s="1" t="s">
        <v>3229</v>
      </c>
      <c r="Q8" s="2" t="s">
        <v>3230</v>
      </c>
      <c r="R8" s="6" t="s">
        <v>3231</v>
      </c>
    </row>
    <row r="9" spans="1:18" ht="75" x14ac:dyDescent="0.25">
      <c r="A9" s="1" t="s">
        <v>3232</v>
      </c>
      <c r="B9" s="1" t="s">
        <v>3233</v>
      </c>
      <c r="C9" s="1" t="s">
        <v>466</v>
      </c>
      <c r="D9" s="2" t="str">
        <f>"1533-4287"</f>
        <v>1533-4287</v>
      </c>
      <c r="F9" s="2" t="str">
        <f>"2016 May"</f>
        <v>2016 May</v>
      </c>
      <c r="G9" s="3">
        <v>30</v>
      </c>
      <c r="H9" s="3">
        <v>5</v>
      </c>
      <c r="I9" s="3">
        <v>1287</v>
      </c>
      <c r="K9" s="2">
        <v>27100167</v>
      </c>
      <c r="L9" s="2" t="s">
        <v>3234</v>
      </c>
      <c r="M9" s="2" t="s">
        <v>468</v>
      </c>
      <c r="N9" s="2" t="s">
        <v>924</v>
      </c>
      <c r="O9" s="1" t="s">
        <v>3235</v>
      </c>
      <c r="Q9" s="2" t="s">
        <v>3236</v>
      </c>
      <c r="R9" s="6" t="s">
        <v>3237</v>
      </c>
    </row>
    <row r="10" spans="1:18" ht="75" x14ac:dyDescent="0.25">
      <c r="A10" s="1" t="s">
        <v>3238</v>
      </c>
      <c r="B10" s="1" t="s">
        <v>3239</v>
      </c>
      <c r="C10" s="1" t="s">
        <v>2509</v>
      </c>
      <c r="D10" s="2" t="str">
        <f>"1943-393X"</f>
        <v>1943-393X</v>
      </c>
      <c r="F10" s="2" t="str">
        <f>"2016 May"</f>
        <v>2016 May</v>
      </c>
      <c r="G10" s="3">
        <v>78</v>
      </c>
      <c r="H10" s="3">
        <v>4</v>
      </c>
      <c r="I10" s="3">
        <v>1115</v>
      </c>
      <c r="K10" s="2">
        <v>26975450</v>
      </c>
      <c r="L10" s="2" t="s">
        <v>3240</v>
      </c>
      <c r="M10" s="2" t="s">
        <v>895</v>
      </c>
      <c r="N10" s="2" t="s">
        <v>21</v>
      </c>
      <c r="O10" s="1" t="s">
        <v>3241</v>
      </c>
      <c r="Q10" s="2" t="s">
        <v>3242</v>
      </c>
      <c r="R10" s="6" t="s">
        <v>3243</v>
      </c>
    </row>
    <row r="11" spans="1:18" ht="45" x14ac:dyDescent="0.25">
      <c r="A11" s="1" t="s">
        <v>3244</v>
      </c>
      <c r="B11" s="1" t="s">
        <v>3245</v>
      </c>
      <c r="C11" s="1" t="s">
        <v>466</v>
      </c>
      <c r="D11" s="2" t="str">
        <f>"1533-4287"</f>
        <v>1533-4287</v>
      </c>
      <c r="F11" s="2" t="str">
        <f>"2016 Dec"</f>
        <v>2016 Dec</v>
      </c>
      <c r="G11" s="3">
        <v>30</v>
      </c>
      <c r="H11" s="3">
        <v>12</v>
      </c>
      <c r="I11" s="3">
        <v>3471</v>
      </c>
      <c r="K11" s="2">
        <v>27097379</v>
      </c>
      <c r="L11" s="2" t="s">
        <v>3246</v>
      </c>
      <c r="M11" s="2" t="s">
        <v>468</v>
      </c>
      <c r="N11" s="2" t="s">
        <v>21</v>
      </c>
      <c r="O11" s="1" t="s">
        <v>3247</v>
      </c>
      <c r="Q11" s="2" t="s">
        <v>3248</v>
      </c>
      <c r="R11" s="6" t="s">
        <v>3249</v>
      </c>
    </row>
    <row r="12" spans="1:18" ht="60" x14ac:dyDescent="0.25">
      <c r="A12" s="1" t="s">
        <v>3250</v>
      </c>
      <c r="B12" s="1" t="s">
        <v>3251</v>
      </c>
      <c r="C12" s="1" t="s">
        <v>82</v>
      </c>
      <c r="D12" s="2" t="str">
        <f>"1600-0838"</f>
        <v>1600-0838</v>
      </c>
      <c r="F12" s="2" t="str">
        <f>"2016 Jul"</f>
        <v>2016 Jul</v>
      </c>
      <c r="G12" s="3">
        <v>26</v>
      </c>
      <c r="H12" s="3">
        <v>7</v>
      </c>
      <c r="I12" s="3">
        <v>774</v>
      </c>
      <c r="K12" s="2">
        <v>26103786</v>
      </c>
      <c r="L12" s="2" t="s">
        <v>3252</v>
      </c>
      <c r="M12" s="2" t="s">
        <v>86</v>
      </c>
      <c r="N12" s="2" t="s">
        <v>21</v>
      </c>
      <c r="O12" s="1" t="s">
        <v>3253</v>
      </c>
      <c r="Q12" s="2" t="s">
        <v>3254</v>
      </c>
      <c r="R12" s="6" t="s">
        <v>3255</v>
      </c>
    </row>
    <row r="13" spans="1:18" ht="90" x14ac:dyDescent="0.25">
      <c r="A13" s="1" t="s">
        <v>3256</v>
      </c>
      <c r="B13" s="1" t="s">
        <v>2715</v>
      </c>
      <c r="C13" s="1" t="s">
        <v>55</v>
      </c>
      <c r="D13" s="2" t="str">
        <f>"1878-1861"</f>
        <v>1878-1861</v>
      </c>
      <c r="F13" s="2" t="str">
        <f>"2016 Oct"</f>
        <v>2016 Oct</v>
      </c>
      <c r="G13" s="3">
        <v>19</v>
      </c>
      <c r="H13" s="3">
        <v>10</v>
      </c>
      <c r="I13" s="3">
        <v>784</v>
      </c>
      <c r="K13" s="2">
        <v>26794720</v>
      </c>
      <c r="L13" s="2" t="s">
        <v>3257</v>
      </c>
      <c r="M13" s="2" t="s">
        <v>59</v>
      </c>
      <c r="N13" s="2" t="s">
        <v>21</v>
      </c>
      <c r="O13" s="1" t="s">
        <v>3258</v>
      </c>
      <c r="Q13" s="2" t="s">
        <v>3259</v>
      </c>
      <c r="R13" s="6" t="s">
        <v>3260</v>
      </c>
    </row>
    <row r="14" spans="1:18" ht="60" x14ac:dyDescent="0.25">
      <c r="A14" s="1" t="s">
        <v>3261</v>
      </c>
      <c r="B14" s="1" t="s">
        <v>3262</v>
      </c>
      <c r="C14" s="1" t="s">
        <v>921</v>
      </c>
      <c r="D14" s="2" t="str">
        <f>"1466-447X"</f>
        <v>1466-447X</v>
      </c>
      <c r="F14" s="2" t="str">
        <f>"2016 Aug"</f>
        <v>2016 Aug</v>
      </c>
      <c r="G14" s="3">
        <v>34</v>
      </c>
      <c r="H14" s="3">
        <v>16</v>
      </c>
      <c r="I14" s="3">
        <v>1547</v>
      </c>
      <c r="K14" s="2">
        <v>26651505</v>
      </c>
      <c r="L14" s="2" t="s">
        <v>3263</v>
      </c>
      <c r="M14" s="2" t="s">
        <v>923</v>
      </c>
      <c r="N14" s="2" t="s">
        <v>21</v>
      </c>
      <c r="O14" s="1" t="s">
        <v>3264</v>
      </c>
      <c r="Q14" s="2" t="s">
        <v>3265</v>
      </c>
      <c r="R14" s="6" t="s">
        <v>3266</v>
      </c>
    </row>
    <row r="15" spans="1:18" ht="75" x14ac:dyDescent="0.25">
      <c r="A15" s="1" t="s">
        <v>3267</v>
      </c>
      <c r="B15" s="1" t="s">
        <v>3268</v>
      </c>
      <c r="C15" s="1" t="s">
        <v>2509</v>
      </c>
      <c r="D15" s="2" t="str">
        <f>"1943-393X"</f>
        <v>1943-393X</v>
      </c>
      <c r="F15" s="2" t="str">
        <f>"2016 Aug"</f>
        <v>2016 Aug</v>
      </c>
      <c r="G15" s="3">
        <v>78</v>
      </c>
      <c r="H15" s="3">
        <v>6</v>
      </c>
      <c r="I15" s="3">
        <v>1781</v>
      </c>
      <c r="K15" s="2">
        <v>27338718</v>
      </c>
      <c r="L15" s="2" t="s">
        <v>3269</v>
      </c>
      <c r="M15" s="2" t="s">
        <v>895</v>
      </c>
      <c r="N15" s="2" t="s">
        <v>21</v>
      </c>
      <c r="O15" s="1" t="s">
        <v>3270</v>
      </c>
      <c r="Q15" s="2" t="s">
        <v>3271</v>
      </c>
      <c r="R15" s="6" t="s">
        <v>3272</v>
      </c>
    </row>
    <row r="16" spans="1:18" ht="30" x14ac:dyDescent="0.25">
      <c r="A16" s="1" t="s">
        <v>3273</v>
      </c>
      <c r="B16" s="1" t="s">
        <v>3274</v>
      </c>
      <c r="C16" s="1" t="s">
        <v>3275</v>
      </c>
      <c r="D16" s="2" t="str">
        <f>"1758-1001"</f>
        <v>1758-1001</v>
      </c>
      <c r="F16" s="2" t="str">
        <f>"2016 Mar"</f>
        <v>2016 Mar</v>
      </c>
      <c r="G16" s="3">
        <v>53</v>
      </c>
      <c r="H16" s="3" t="s">
        <v>3276</v>
      </c>
      <c r="I16" s="3">
        <v>196</v>
      </c>
      <c r="K16" s="2">
        <v>26384361</v>
      </c>
      <c r="L16" s="2" t="s">
        <v>3277</v>
      </c>
      <c r="M16" s="2" t="s">
        <v>3278</v>
      </c>
      <c r="N16" s="2" t="s">
        <v>21</v>
      </c>
      <c r="O16" s="1" t="s">
        <v>3279</v>
      </c>
      <c r="Q16" s="2" t="s">
        <v>3280</v>
      </c>
      <c r="R16" s="6" t="s">
        <v>3281</v>
      </c>
    </row>
    <row r="17" spans="1:18" ht="45" x14ac:dyDescent="0.25">
      <c r="A17" s="1" t="s">
        <v>3282</v>
      </c>
      <c r="B17" s="1" t="s">
        <v>3283</v>
      </c>
      <c r="C17" s="1" t="s">
        <v>3284</v>
      </c>
      <c r="D17" s="2" t="str">
        <f>"1421-9697"</f>
        <v>1421-9697</v>
      </c>
      <c r="F17" s="2" t="str">
        <f>"2016"</f>
        <v>2016</v>
      </c>
      <c r="G17" s="3">
        <v>68</v>
      </c>
      <c r="H17" s="3">
        <v>3</v>
      </c>
      <c r="I17" s="3">
        <v>228</v>
      </c>
      <c r="K17" s="2">
        <v>27073914</v>
      </c>
      <c r="L17" s="2" t="s">
        <v>3285</v>
      </c>
      <c r="M17" s="2" t="s">
        <v>3286</v>
      </c>
      <c r="N17" s="2" t="s">
        <v>3006</v>
      </c>
      <c r="O17" s="1" t="s">
        <v>3287</v>
      </c>
      <c r="R17" s="6" t="s">
        <v>3288</v>
      </c>
    </row>
    <row r="18" spans="1:18" ht="45" x14ac:dyDescent="0.25">
      <c r="A18" s="1" t="s">
        <v>3289</v>
      </c>
      <c r="B18" s="1" t="s">
        <v>3290</v>
      </c>
      <c r="C18" s="1" t="s">
        <v>839</v>
      </c>
      <c r="D18" s="2" t="str">
        <f>"1664-042X"</f>
        <v>1664-042X</v>
      </c>
      <c r="F18" s="2" t="str">
        <f>"2016 Dec 05"</f>
        <v>2016 Dec 05</v>
      </c>
      <c r="G18" s="3">
        <v>7</v>
      </c>
      <c r="I18" s="3">
        <v>591</v>
      </c>
      <c r="K18" s="2">
        <v>27994554</v>
      </c>
      <c r="L18" s="2" t="s">
        <v>3291</v>
      </c>
      <c r="M18" s="2" t="s">
        <v>640</v>
      </c>
      <c r="N18" s="2" t="s">
        <v>385</v>
      </c>
      <c r="Q18" s="2" t="s">
        <v>3292</v>
      </c>
      <c r="R18" s="6" t="s">
        <v>3293</v>
      </c>
    </row>
    <row r="19" spans="1:18" ht="75" x14ac:dyDescent="0.25">
      <c r="A19" s="1" t="s">
        <v>3294</v>
      </c>
      <c r="B19" s="1" t="s">
        <v>3295</v>
      </c>
      <c r="C19" s="1" t="s">
        <v>3296</v>
      </c>
      <c r="D19" s="2" t="str">
        <f>"2045-7723"</f>
        <v>2045-7723</v>
      </c>
      <c r="F19" s="2" t="str">
        <f>"2016"</f>
        <v>2016</v>
      </c>
      <c r="G19" s="3">
        <v>39</v>
      </c>
      <c r="H19" s="3">
        <v>2</v>
      </c>
      <c r="I19" s="3">
        <v>206</v>
      </c>
      <c r="K19" s="2">
        <v>25582434</v>
      </c>
      <c r="L19" s="2" t="s">
        <v>3297</v>
      </c>
      <c r="M19" s="2" t="s">
        <v>290</v>
      </c>
      <c r="N19" s="2" t="s">
        <v>21</v>
      </c>
      <c r="O19" s="1" t="s">
        <v>3298</v>
      </c>
      <c r="Q19" s="2" t="s">
        <v>3299</v>
      </c>
      <c r="R19" s="6" t="s">
        <v>3300</v>
      </c>
    </row>
    <row r="20" spans="1:18" ht="75" x14ac:dyDescent="0.25">
      <c r="A20" s="1" t="s">
        <v>3301</v>
      </c>
      <c r="B20" s="1" t="s">
        <v>3302</v>
      </c>
      <c r="C20" s="1" t="s">
        <v>133</v>
      </c>
      <c r="D20" s="2" t="str">
        <f>"1536-7290"</f>
        <v>1536-7290</v>
      </c>
      <c r="F20" s="2" t="str">
        <f>"2016 Nov"</f>
        <v>2016 Nov</v>
      </c>
      <c r="G20" s="3">
        <v>16</v>
      </c>
      <c r="H20" s="3">
        <v>8</v>
      </c>
      <c r="I20" s="3">
        <v>1047</v>
      </c>
      <c r="K20" s="2">
        <v>26690262</v>
      </c>
      <c r="L20" s="2" t="s">
        <v>3303</v>
      </c>
      <c r="M20" s="2" t="s">
        <v>500</v>
      </c>
      <c r="N20" s="2" t="s">
        <v>21</v>
      </c>
      <c r="O20" s="1" t="s">
        <v>3304</v>
      </c>
      <c r="Q20" s="2" t="s">
        <v>3305</v>
      </c>
      <c r="R20" s="6" t="s">
        <v>3306</v>
      </c>
    </row>
    <row r="21" spans="1:18" ht="60" x14ac:dyDescent="0.25">
      <c r="A21" s="1" t="s">
        <v>3307</v>
      </c>
      <c r="B21" s="1" t="s">
        <v>3308</v>
      </c>
      <c r="C21" s="1" t="s">
        <v>921</v>
      </c>
      <c r="D21" s="2" t="str">
        <f>"1466-447X"</f>
        <v>1466-447X</v>
      </c>
      <c r="F21" s="2" t="str">
        <f>"2016 Sep"</f>
        <v>2016 Sep</v>
      </c>
      <c r="G21" s="3">
        <v>34</v>
      </c>
      <c r="H21" s="3">
        <v>18</v>
      </c>
      <c r="I21" s="3">
        <v>1740</v>
      </c>
      <c r="K21" s="2">
        <v>27328725</v>
      </c>
      <c r="L21" s="2" t="s">
        <v>3309</v>
      </c>
      <c r="M21" s="2" t="s">
        <v>923</v>
      </c>
      <c r="N21" s="2" t="s">
        <v>21</v>
      </c>
      <c r="O21" s="1" t="s">
        <v>3310</v>
      </c>
      <c r="Q21" s="2" t="s">
        <v>3311</v>
      </c>
      <c r="R21" s="6" t="s">
        <v>3312</v>
      </c>
    </row>
    <row r="22" spans="1:18" ht="60" x14ac:dyDescent="0.25">
      <c r="A22" s="1" t="s">
        <v>3313</v>
      </c>
      <c r="B22" s="1" t="s">
        <v>3314</v>
      </c>
      <c r="C22" s="1" t="s">
        <v>3315</v>
      </c>
      <c r="D22" s="2" t="str">
        <f>"1471-2474"</f>
        <v>1471-2474</v>
      </c>
      <c r="F22" s="2" t="str">
        <f>"2016 Oct 22"</f>
        <v>2016 Oct 22</v>
      </c>
      <c r="G22" s="3">
        <v>17</v>
      </c>
      <c r="H22" s="3">
        <v>1</v>
      </c>
      <c r="I22" s="3">
        <v>445</v>
      </c>
      <c r="K22" s="2">
        <v>27770784</v>
      </c>
      <c r="L22" s="2" t="s">
        <v>3316</v>
      </c>
      <c r="M22" s="2" t="s">
        <v>399</v>
      </c>
      <c r="N22" s="2" t="s">
        <v>21</v>
      </c>
      <c r="O22" s="1" t="s">
        <v>3317</v>
      </c>
      <c r="Q22" s="2" t="s">
        <v>3318</v>
      </c>
      <c r="R22" s="6" t="s">
        <v>3319</v>
      </c>
    </row>
    <row r="23" spans="1:18" ht="60" x14ac:dyDescent="0.25">
      <c r="A23" s="1" t="s">
        <v>3320</v>
      </c>
      <c r="B23" s="1" t="s">
        <v>3321</v>
      </c>
      <c r="C23" s="1" t="s">
        <v>983</v>
      </c>
      <c r="D23" s="2" t="str">
        <f>"1873-2380"</f>
        <v>1873-2380</v>
      </c>
      <c r="F23" s="2" t="str">
        <f>"2016 Mar 21"</f>
        <v>2016 Mar 21</v>
      </c>
      <c r="G23" s="3">
        <v>49</v>
      </c>
      <c r="H23" s="3">
        <v>5</v>
      </c>
      <c r="I23" s="3">
        <v>653</v>
      </c>
      <c r="K23" s="2">
        <v>26897649</v>
      </c>
      <c r="L23" s="2" t="s">
        <v>3322</v>
      </c>
      <c r="M23" s="2" t="s">
        <v>608</v>
      </c>
      <c r="N23" s="2" t="s">
        <v>21</v>
      </c>
      <c r="O23" s="1" t="s">
        <v>3323</v>
      </c>
      <c r="Q23" s="2" t="s">
        <v>3324</v>
      </c>
      <c r="R23" s="6" t="s">
        <v>3325</v>
      </c>
    </row>
    <row r="24" spans="1:18" ht="105" x14ac:dyDescent="0.25">
      <c r="A24" s="1" t="s">
        <v>3326</v>
      </c>
      <c r="B24" s="1" t="s">
        <v>3327</v>
      </c>
      <c r="C24" s="1" t="s">
        <v>797</v>
      </c>
      <c r="D24" s="2" t="str">
        <f>"1530-0315"</f>
        <v>1530-0315</v>
      </c>
      <c r="F24" s="2" t="str">
        <f>"2016 Apr"</f>
        <v>2016 Apr</v>
      </c>
      <c r="G24" s="3">
        <v>48</v>
      </c>
      <c r="H24" s="3">
        <v>4</v>
      </c>
      <c r="I24" s="3">
        <v>663</v>
      </c>
      <c r="K24" s="2">
        <v>26741119</v>
      </c>
      <c r="L24" s="2" t="s">
        <v>3328</v>
      </c>
      <c r="M24" s="2" t="s">
        <v>156</v>
      </c>
      <c r="N24" s="2" t="s">
        <v>21</v>
      </c>
      <c r="O24" s="1" t="s">
        <v>3329</v>
      </c>
      <c r="Q24" s="2" t="s">
        <v>3330</v>
      </c>
      <c r="R24" s="6" t="s">
        <v>3331</v>
      </c>
    </row>
    <row r="25" spans="1:18" ht="90" x14ac:dyDescent="0.25">
      <c r="A25" s="1" t="s">
        <v>3332</v>
      </c>
      <c r="B25" s="1" t="s">
        <v>3333</v>
      </c>
      <c r="C25" s="1" t="s">
        <v>533</v>
      </c>
      <c r="D25" s="2" t="str">
        <f>"1873-1600"</f>
        <v>1873-1600</v>
      </c>
      <c r="F25" s="2" t="str">
        <f>"2016 Sep"</f>
        <v>2016 Sep</v>
      </c>
      <c r="G25" s="3">
        <v>21</v>
      </c>
      <c r="I25" s="3">
        <v>75</v>
      </c>
      <c r="K25" s="2">
        <v>27500450</v>
      </c>
      <c r="L25" s="2" t="s">
        <v>3334</v>
      </c>
      <c r="M25" s="2" t="s">
        <v>535</v>
      </c>
      <c r="N25" s="2" t="s">
        <v>21</v>
      </c>
      <c r="O25" s="1" t="s">
        <v>3335</v>
      </c>
      <c r="Q25" s="2" t="s">
        <v>3336</v>
      </c>
      <c r="R25" s="6" t="s">
        <v>3337</v>
      </c>
    </row>
    <row r="26" spans="1:18" ht="60" x14ac:dyDescent="0.25">
      <c r="A26" s="1" t="s">
        <v>3338</v>
      </c>
      <c r="B26" s="1" t="s">
        <v>3339</v>
      </c>
      <c r="C26" s="1" t="s">
        <v>55</v>
      </c>
      <c r="D26" s="2" t="str">
        <f>"1878-1861"</f>
        <v>1878-1861</v>
      </c>
      <c r="F26" s="2" t="str">
        <f>"2016 Apr"</f>
        <v>2016 Apr</v>
      </c>
      <c r="G26" s="3">
        <v>19</v>
      </c>
      <c r="H26" s="3">
        <v>4</v>
      </c>
      <c r="I26" s="3">
        <v>354</v>
      </c>
      <c r="K26" s="2">
        <v>25987491</v>
      </c>
      <c r="L26" s="2" t="s">
        <v>3340</v>
      </c>
      <c r="M26" s="2" t="s">
        <v>59</v>
      </c>
      <c r="N26" s="2" t="s">
        <v>21</v>
      </c>
      <c r="O26" s="1" t="s">
        <v>3341</v>
      </c>
      <c r="Q26" s="2" t="s">
        <v>3342</v>
      </c>
      <c r="R26" s="6" t="s">
        <v>3343</v>
      </c>
    </row>
    <row r="27" spans="1:18" ht="75" x14ac:dyDescent="0.25">
      <c r="A27" s="1" t="s">
        <v>3344</v>
      </c>
      <c r="B27" s="1" t="s">
        <v>3345</v>
      </c>
      <c r="C27" s="1" t="s">
        <v>3346</v>
      </c>
      <c r="D27" s="2" t="str">
        <f>"1742-5662"</f>
        <v>1742-5662</v>
      </c>
      <c r="F27" s="2" t="str">
        <f>"2016 Aug"</f>
        <v>2016 Aug</v>
      </c>
      <c r="G27" s="3">
        <v>13</v>
      </c>
      <c r="H27" s="3">
        <v>121</v>
      </c>
      <c r="K27" s="2">
        <v>27581481</v>
      </c>
      <c r="L27" s="2" t="s">
        <v>3347</v>
      </c>
      <c r="M27" s="2" t="s">
        <v>3348</v>
      </c>
      <c r="N27" s="2" t="s">
        <v>21</v>
      </c>
      <c r="O27" s="1" t="s">
        <v>3349</v>
      </c>
      <c r="Q27" s="2" t="s">
        <v>3350</v>
      </c>
      <c r="R27" s="6" t="s">
        <v>3351</v>
      </c>
    </row>
    <row r="28" spans="1:18" ht="45" x14ac:dyDescent="0.25">
      <c r="A28" s="1" t="s">
        <v>3352</v>
      </c>
      <c r="B28" s="1" t="s">
        <v>3353</v>
      </c>
      <c r="C28" s="1" t="s">
        <v>36</v>
      </c>
      <c r="D28" s="2" t="str">
        <f>"1543-2742"</f>
        <v>1543-2742</v>
      </c>
      <c r="F28" s="2" t="str">
        <f>"2016 Jun"</f>
        <v>2016 Jun</v>
      </c>
      <c r="G28" s="3">
        <v>26</v>
      </c>
      <c r="H28" s="3">
        <v>3</v>
      </c>
      <c r="I28" s="3">
        <v>259</v>
      </c>
      <c r="K28" s="2">
        <v>24458265</v>
      </c>
      <c r="L28" s="2" t="s">
        <v>3354</v>
      </c>
      <c r="M28" s="2" t="s">
        <v>40</v>
      </c>
      <c r="N28" s="2" t="s">
        <v>21</v>
      </c>
      <c r="O28" s="1" t="s">
        <v>3355</v>
      </c>
      <c r="Q28" s="2" t="s">
        <v>3356</v>
      </c>
      <c r="R28" s="6" t="s">
        <v>3357</v>
      </c>
    </row>
    <row r="29" spans="1:18" ht="30" x14ac:dyDescent="0.25">
      <c r="A29" s="1" t="s">
        <v>3358</v>
      </c>
      <c r="B29" s="1" t="s">
        <v>3359</v>
      </c>
      <c r="C29" s="1" t="s">
        <v>1953</v>
      </c>
      <c r="D29" s="2" t="str">
        <f>"1303-2968"</f>
        <v>1303-2968</v>
      </c>
      <c r="F29" s="2" t="str">
        <f>"2016 Feb 23"</f>
        <v>2016 Feb 23</v>
      </c>
      <c r="G29" s="3">
        <v>15</v>
      </c>
      <c r="H29" s="3">
        <v>1</v>
      </c>
      <c r="I29" s="3">
        <v>204</v>
      </c>
      <c r="K29" s="2">
        <v>26957944</v>
      </c>
      <c r="M29" s="2" t="s">
        <v>1954</v>
      </c>
      <c r="N29" s="2" t="s">
        <v>21</v>
      </c>
      <c r="R29" s="6" t="s">
        <v>3360</v>
      </c>
    </row>
    <row r="30" spans="1:18" ht="60" x14ac:dyDescent="0.25">
      <c r="A30" s="1" t="s">
        <v>3361</v>
      </c>
      <c r="B30" s="1" t="s">
        <v>3362</v>
      </c>
      <c r="C30" s="1" t="s">
        <v>102</v>
      </c>
      <c r="D30" s="2" t="str">
        <f>"1473-0480"</f>
        <v>1473-0480</v>
      </c>
      <c r="F30" s="2" t="str">
        <f>"2016 Jun"</f>
        <v>2016 Jun</v>
      </c>
      <c r="G30" s="3">
        <v>50</v>
      </c>
      <c r="H30" s="3">
        <v>11</v>
      </c>
      <c r="I30" s="3">
        <v>641</v>
      </c>
      <c r="K30" s="2">
        <v>27034125</v>
      </c>
      <c r="L30" s="2" t="s">
        <v>3363</v>
      </c>
      <c r="M30" s="2" t="s">
        <v>106</v>
      </c>
      <c r="N30" s="2" t="s">
        <v>633</v>
      </c>
      <c r="O30" s="1" t="s">
        <v>3364</v>
      </c>
      <c r="R30" s="6" t="s">
        <v>3365</v>
      </c>
    </row>
    <row r="31" spans="1:18" ht="30" x14ac:dyDescent="0.25">
      <c r="A31" s="1" t="s">
        <v>3366</v>
      </c>
      <c r="B31" s="1" t="s">
        <v>3367</v>
      </c>
      <c r="C31" s="1" t="s">
        <v>545</v>
      </c>
      <c r="D31" s="2" t="str">
        <f>"1522-1601"</f>
        <v>1522-1601</v>
      </c>
      <c r="F31" s="2" t="str">
        <f>"2016 Jul 01"</f>
        <v>2016 Jul 01</v>
      </c>
      <c r="G31" s="3">
        <v>121</v>
      </c>
      <c r="H31" s="3">
        <v>1</v>
      </c>
      <c r="I31" s="3">
        <v>359</v>
      </c>
      <c r="K31" s="2">
        <v>27451277</v>
      </c>
      <c r="L31" s="2" t="s">
        <v>3368</v>
      </c>
      <c r="M31" s="2" t="s">
        <v>547</v>
      </c>
      <c r="N31" s="2" t="s">
        <v>3006</v>
      </c>
      <c r="O31" s="1" t="s">
        <v>3369</v>
      </c>
      <c r="R31" s="6" t="s">
        <v>3370</v>
      </c>
    </row>
    <row r="32" spans="1:18" ht="60" x14ac:dyDescent="0.25">
      <c r="A32" s="1" t="s">
        <v>3371</v>
      </c>
      <c r="B32" s="1" t="s">
        <v>3372</v>
      </c>
      <c r="C32" s="1" t="s">
        <v>921</v>
      </c>
      <c r="D32" s="2" t="str">
        <f>"1466-447X"</f>
        <v>1466-447X</v>
      </c>
      <c r="F32" s="2" t="str">
        <f>"2016 Oct"</f>
        <v>2016 Oct</v>
      </c>
      <c r="G32" s="3">
        <v>34</v>
      </c>
      <c r="H32" s="3">
        <v>19</v>
      </c>
      <c r="I32" s="3">
        <v>1791</v>
      </c>
      <c r="K32" s="2">
        <v>27009823</v>
      </c>
      <c r="L32" s="2" t="s">
        <v>3373</v>
      </c>
      <c r="M32" s="2" t="s">
        <v>923</v>
      </c>
      <c r="N32" s="2" t="s">
        <v>21</v>
      </c>
      <c r="O32" s="1" t="s">
        <v>3374</v>
      </c>
      <c r="Q32" s="2" t="s">
        <v>3375</v>
      </c>
      <c r="R32" s="6" t="s">
        <v>3376</v>
      </c>
    </row>
    <row r="33" spans="1:18" ht="45" x14ac:dyDescent="0.25">
      <c r="A33" s="1" t="s">
        <v>3377</v>
      </c>
      <c r="B33" s="1" t="s">
        <v>3378</v>
      </c>
      <c r="C33" s="1" t="s">
        <v>163</v>
      </c>
      <c r="D33" s="2" t="str">
        <f>"2199-1170"</f>
        <v>2199-1170</v>
      </c>
      <c r="F33" s="2" t="str">
        <f>"2016 Dec"</f>
        <v>2016 Dec</v>
      </c>
      <c r="G33" s="3">
        <v>2</v>
      </c>
      <c r="H33" s="3">
        <v>1</v>
      </c>
      <c r="I33" s="3">
        <v>41</v>
      </c>
      <c r="K33" s="2">
        <v>27747796</v>
      </c>
      <c r="L33" s="2" t="s">
        <v>3379</v>
      </c>
      <c r="M33" s="2" t="s">
        <v>167</v>
      </c>
      <c r="N33" s="2" t="s">
        <v>385</v>
      </c>
      <c r="Q33" s="2" t="s">
        <v>3380</v>
      </c>
      <c r="R33" s="6" t="s">
        <v>3381</v>
      </c>
    </row>
    <row r="34" spans="1:18" x14ac:dyDescent="0.25">
      <c r="A34" s="1" t="s">
        <v>3382</v>
      </c>
      <c r="B34" s="1" t="s">
        <v>1260</v>
      </c>
      <c r="C34" s="1" t="s">
        <v>3383</v>
      </c>
      <c r="D34" s="2" t="str">
        <f>"0312-8008"</f>
        <v>0312-8008</v>
      </c>
      <c r="F34" s="2" t="str">
        <f>"2016 Jun"</f>
        <v>2016 Jun</v>
      </c>
      <c r="G34" s="3">
        <v>39</v>
      </c>
      <c r="H34" s="3">
        <v>3</v>
      </c>
      <c r="I34" s="3">
        <v>102</v>
      </c>
      <c r="K34" s="2">
        <v>27350119</v>
      </c>
      <c r="L34" s="2" t="s">
        <v>3384</v>
      </c>
      <c r="M34" s="2" t="s">
        <v>3385</v>
      </c>
      <c r="N34" s="2" t="s">
        <v>3386</v>
      </c>
      <c r="R34" s="6" t="s">
        <v>3387</v>
      </c>
    </row>
    <row r="35" spans="1:18" ht="45" x14ac:dyDescent="0.25">
      <c r="A35" s="1" t="s">
        <v>3388</v>
      </c>
      <c r="B35" s="1" t="s">
        <v>3389</v>
      </c>
      <c r="C35" s="1" t="s">
        <v>638</v>
      </c>
      <c r="D35" s="2" t="str">
        <f>"1664-1078"</f>
        <v>1664-1078</v>
      </c>
      <c r="F35" s="2" t="str">
        <f>"2016 Jun 24"</f>
        <v>2016 Jun 24</v>
      </c>
      <c r="G35" s="3">
        <v>7</v>
      </c>
      <c r="I35" s="3">
        <v>911</v>
      </c>
      <c r="K35" s="2">
        <v>27445887</v>
      </c>
      <c r="L35" s="2" t="s">
        <v>3390</v>
      </c>
      <c r="M35" s="2" t="s">
        <v>640</v>
      </c>
      <c r="N35" s="2" t="s">
        <v>21</v>
      </c>
      <c r="Q35" s="2" t="s">
        <v>3391</v>
      </c>
      <c r="R35" s="6" t="s">
        <v>3392</v>
      </c>
    </row>
    <row r="36" spans="1:18" ht="105" x14ac:dyDescent="0.25">
      <c r="A36" s="1" t="s">
        <v>3393</v>
      </c>
      <c r="B36" s="1" t="s">
        <v>3394</v>
      </c>
      <c r="C36" s="1" t="s">
        <v>55</v>
      </c>
      <c r="D36" s="2" t="str">
        <f>"1878-1861"</f>
        <v>1878-1861</v>
      </c>
      <c r="F36" s="2" t="str">
        <f>"2016 Nov"</f>
        <v>2016 Nov</v>
      </c>
      <c r="G36" s="3">
        <v>19</v>
      </c>
      <c r="H36" s="3">
        <v>11</v>
      </c>
      <c r="I36" s="3">
        <v>903</v>
      </c>
      <c r="K36" s="2">
        <v>26996946</v>
      </c>
      <c r="L36" s="2" t="s">
        <v>3395</v>
      </c>
      <c r="M36" s="2" t="s">
        <v>59</v>
      </c>
      <c r="N36" s="2" t="s">
        <v>21</v>
      </c>
      <c r="O36" s="1" t="s">
        <v>3396</v>
      </c>
      <c r="Q36" s="2" t="s">
        <v>3397</v>
      </c>
      <c r="R36" s="6" t="s">
        <v>3398</v>
      </c>
    </row>
    <row r="37" spans="1:18" ht="60" x14ac:dyDescent="0.25">
      <c r="A37" s="1" t="s">
        <v>3399</v>
      </c>
      <c r="B37" s="1" t="s">
        <v>3400</v>
      </c>
      <c r="C37" s="1" t="s">
        <v>3401</v>
      </c>
      <c r="D37" s="2" t="str">
        <f>"1873-4596"</f>
        <v>1873-4596</v>
      </c>
      <c r="F37" s="2" t="str">
        <f>"2016 Sep"</f>
        <v>2016 Sep</v>
      </c>
      <c r="G37" s="3">
        <v>98</v>
      </c>
      <c r="I37" s="3">
        <v>144</v>
      </c>
      <c r="K37" s="2">
        <v>26855422</v>
      </c>
      <c r="L37" s="2" t="s">
        <v>3402</v>
      </c>
      <c r="M37" s="2" t="s">
        <v>608</v>
      </c>
      <c r="N37" s="2" t="s">
        <v>21</v>
      </c>
      <c r="O37" s="1" t="s">
        <v>3403</v>
      </c>
      <c r="Q37" s="2" t="s">
        <v>3404</v>
      </c>
      <c r="R37" s="6" t="s">
        <v>3405</v>
      </c>
    </row>
    <row r="38" spans="1:18" ht="135" x14ac:dyDescent="0.25">
      <c r="A38" s="1" t="s">
        <v>3406</v>
      </c>
      <c r="B38" s="1" t="s">
        <v>3407</v>
      </c>
      <c r="C38" s="1" t="s">
        <v>55</v>
      </c>
      <c r="D38" s="2" t="str">
        <f>"1878-1861"</f>
        <v>1878-1861</v>
      </c>
      <c r="F38" s="2" t="str">
        <f>"2016 Feb"</f>
        <v>2016 Feb</v>
      </c>
      <c r="G38" s="3">
        <v>19</v>
      </c>
      <c r="H38" s="3">
        <v>2</v>
      </c>
      <c r="I38" s="3">
        <v>103</v>
      </c>
      <c r="K38" s="2">
        <v>25819703</v>
      </c>
      <c r="L38" s="2" t="s">
        <v>3408</v>
      </c>
      <c r="M38" s="2" t="s">
        <v>59</v>
      </c>
      <c r="N38" s="2" t="s">
        <v>21</v>
      </c>
      <c r="O38" s="1" t="s">
        <v>3409</v>
      </c>
      <c r="Q38" s="2" t="s">
        <v>3410</v>
      </c>
      <c r="R38" s="6" t="s">
        <v>3411</v>
      </c>
    </row>
    <row r="39" spans="1:18" ht="90" x14ac:dyDescent="0.25">
      <c r="A39" s="1" t="s">
        <v>3412</v>
      </c>
      <c r="B39" s="1" t="s">
        <v>3413</v>
      </c>
      <c r="C39" s="1" t="s">
        <v>55</v>
      </c>
      <c r="D39" s="2" t="str">
        <f>"1878-1861"</f>
        <v>1878-1861</v>
      </c>
      <c r="F39" s="2" t="str">
        <f>"2016 Oct"</f>
        <v>2016 Oct</v>
      </c>
      <c r="G39" s="3">
        <v>19</v>
      </c>
      <c r="H39" s="3">
        <v>10</v>
      </c>
      <c r="I39" s="3">
        <v>778</v>
      </c>
      <c r="K39" s="2">
        <v>26839047</v>
      </c>
      <c r="L39" s="2" t="s">
        <v>3414</v>
      </c>
      <c r="M39" s="2" t="s">
        <v>59</v>
      </c>
      <c r="N39" s="2" t="s">
        <v>21</v>
      </c>
      <c r="O39" s="1" t="s">
        <v>3415</v>
      </c>
      <c r="Q39" s="2" t="s">
        <v>3416</v>
      </c>
      <c r="R39" s="6" t="s">
        <v>3417</v>
      </c>
    </row>
    <row r="40" spans="1:18" ht="90" x14ac:dyDescent="0.25">
      <c r="A40" s="1" t="s">
        <v>3418</v>
      </c>
      <c r="B40" s="1" t="s">
        <v>3419</v>
      </c>
      <c r="C40" s="1" t="s">
        <v>181</v>
      </c>
      <c r="D40" s="2" t="str">
        <f>"2072-6643"</f>
        <v>2072-6643</v>
      </c>
      <c r="F40" s="2" t="str">
        <f>"2016 Nov 25"</f>
        <v>2016 Nov 25</v>
      </c>
      <c r="G40" s="3">
        <v>8</v>
      </c>
      <c r="H40" s="3">
        <v>12</v>
      </c>
      <c r="K40" s="2">
        <v>27897989</v>
      </c>
      <c r="L40" s="2" t="s">
        <v>3420</v>
      </c>
      <c r="M40" s="2" t="s">
        <v>185</v>
      </c>
      <c r="N40" s="2" t="s">
        <v>3421</v>
      </c>
      <c r="O40" s="1" t="s">
        <v>3422</v>
      </c>
      <c r="Q40" s="2" t="s">
        <v>3423</v>
      </c>
      <c r="R40" s="6" t="s">
        <v>3424</v>
      </c>
    </row>
    <row r="41" spans="1:18" ht="90" x14ac:dyDescent="0.25">
      <c r="A41" s="1" t="s">
        <v>3425</v>
      </c>
      <c r="B41" s="1" t="s">
        <v>3426</v>
      </c>
      <c r="C41" s="1" t="s">
        <v>2981</v>
      </c>
      <c r="D41" s="2" t="str">
        <f>"1541-6100"</f>
        <v>1541-6100</v>
      </c>
      <c r="F41" s="2" t="str">
        <f>"2016 Jul"</f>
        <v>2016 Jul</v>
      </c>
      <c r="G41" s="3">
        <v>146</v>
      </c>
      <c r="H41" s="3">
        <v>7</v>
      </c>
      <c r="I41" s="3">
        <v>1307</v>
      </c>
      <c r="K41" s="2">
        <v>27281811</v>
      </c>
      <c r="L41" s="2" t="s">
        <v>3427</v>
      </c>
      <c r="M41" s="2" t="s">
        <v>2983</v>
      </c>
      <c r="N41" s="2" t="s">
        <v>21</v>
      </c>
      <c r="O41" s="1" t="s">
        <v>3428</v>
      </c>
      <c r="Q41" s="2" t="s">
        <v>3429</v>
      </c>
      <c r="R41" s="6" t="s">
        <v>3430</v>
      </c>
    </row>
    <row r="42" spans="1:18" ht="105" x14ac:dyDescent="0.25">
      <c r="A42" s="1" t="s">
        <v>3431</v>
      </c>
      <c r="B42" s="1" t="s">
        <v>3432</v>
      </c>
      <c r="C42" s="1" t="s">
        <v>3296</v>
      </c>
      <c r="D42" s="2" t="str">
        <f>"2045-7723"</f>
        <v>2045-7723</v>
      </c>
      <c r="F42" s="2" t="str">
        <f>"2016 Nov"</f>
        <v>2016 Nov</v>
      </c>
      <c r="G42" s="3">
        <v>39</v>
      </c>
      <c r="H42" s="3">
        <v>6</v>
      </c>
      <c r="I42" s="3">
        <v>671</v>
      </c>
      <c r="K42" s="2">
        <v>27192132</v>
      </c>
      <c r="L42" s="2" t="s">
        <v>3433</v>
      </c>
      <c r="M42" s="2" t="s">
        <v>290</v>
      </c>
      <c r="N42" s="2" t="s">
        <v>21</v>
      </c>
      <c r="O42" s="1" t="s">
        <v>3434</v>
      </c>
      <c r="Q42" s="2" t="s">
        <v>3435</v>
      </c>
      <c r="R42" s="6" t="s">
        <v>3436</v>
      </c>
    </row>
    <row r="43" spans="1:18" ht="75" x14ac:dyDescent="0.25">
      <c r="A43" s="1" t="s">
        <v>3437</v>
      </c>
      <c r="B43" s="1" t="s">
        <v>3438</v>
      </c>
      <c r="C43" s="1" t="s">
        <v>921</v>
      </c>
      <c r="D43" s="2" t="str">
        <f>"1466-447X"</f>
        <v>1466-447X</v>
      </c>
      <c r="F43" s="2" t="str">
        <f>"2016 Oct"</f>
        <v>2016 Oct</v>
      </c>
      <c r="G43" s="3">
        <v>34</v>
      </c>
      <c r="H43" s="3">
        <v>20</v>
      </c>
      <c r="I43" s="3">
        <v>1949</v>
      </c>
      <c r="K43" s="2">
        <v>26881871</v>
      </c>
      <c r="L43" s="2" t="s">
        <v>3439</v>
      </c>
      <c r="M43" s="2" t="s">
        <v>923</v>
      </c>
      <c r="N43" s="2" t="s">
        <v>2054</v>
      </c>
      <c r="O43" s="1" t="s">
        <v>3440</v>
      </c>
      <c r="Q43" s="2" t="s">
        <v>3441</v>
      </c>
      <c r="R43" s="6" t="s">
        <v>3442</v>
      </c>
    </row>
    <row r="44" spans="1:18" ht="210" x14ac:dyDescent="0.25">
      <c r="A44" s="1" t="s">
        <v>3443</v>
      </c>
      <c r="B44" s="1" t="s">
        <v>3444</v>
      </c>
      <c r="C44" s="1" t="s">
        <v>3445</v>
      </c>
      <c r="D44" s="2" t="str">
        <f>"2212-2672"</f>
        <v>2212-2672</v>
      </c>
      <c r="F44" s="2" t="str">
        <f>"2016 Mar"</f>
        <v>2016 Mar</v>
      </c>
      <c r="G44" s="3">
        <v>116</v>
      </c>
      <c r="H44" s="3">
        <v>3</v>
      </c>
      <c r="I44" s="3">
        <v>501</v>
      </c>
      <c r="K44" s="2">
        <v>26920240</v>
      </c>
      <c r="L44" s="2" t="s">
        <v>3446</v>
      </c>
      <c r="M44" s="2" t="s">
        <v>1835</v>
      </c>
      <c r="N44" s="2" t="s">
        <v>21</v>
      </c>
      <c r="O44" s="1" t="s">
        <v>3447</v>
      </c>
      <c r="Q44" s="2" t="s">
        <v>3448</v>
      </c>
      <c r="R44" s="6" t="s">
        <v>3449</v>
      </c>
    </row>
    <row r="45" spans="1:18" ht="75" x14ac:dyDescent="0.25">
      <c r="A45" s="1" t="s">
        <v>3450</v>
      </c>
      <c r="B45" s="1" t="s">
        <v>3451</v>
      </c>
      <c r="C45" s="1" t="s">
        <v>133</v>
      </c>
      <c r="D45" s="2" t="str">
        <f>"1536-7290"</f>
        <v>1536-7290</v>
      </c>
      <c r="F45" s="2" t="str">
        <f>"2016 Oct"</f>
        <v>2016 Oct</v>
      </c>
      <c r="G45" s="3">
        <v>16</v>
      </c>
      <c r="H45" s="3">
        <v>7</v>
      </c>
      <c r="I45" s="3">
        <v>850</v>
      </c>
      <c r="K45" s="2">
        <v>26697921</v>
      </c>
      <c r="L45" s="2" t="s">
        <v>3452</v>
      </c>
      <c r="M45" s="2" t="s">
        <v>500</v>
      </c>
      <c r="N45" s="2" t="s">
        <v>21</v>
      </c>
      <c r="O45" s="1" t="s">
        <v>3453</v>
      </c>
      <c r="Q45" s="2" t="s">
        <v>3454</v>
      </c>
      <c r="R45" s="6" t="s">
        <v>3455</v>
      </c>
    </row>
    <row r="46" spans="1:18" ht="75" x14ac:dyDescent="0.25">
      <c r="A46" s="1" t="s">
        <v>3456</v>
      </c>
      <c r="B46" s="1" t="s">
        <v>3457</v>
      </c>
      <c r="C46" s="1" t="s">
        <v>3458</v>
      </c>
      <c r="D46" s="2" t="str">
        <f>"1097-6825"</f>
        <v>1097-6825</v>
      </c>
      <c r="F46" s="2" t="str">
        <f>"2016 Dec"</f>
        <v>2016 Dec</v>
      </c>
      <c r="G46" s="3">
        <v>138</v>
      </c>
      <c r="H46" s="3">
        <v>6</v>
      </c>
      <c r="I46" s="3">
        <v>1749</v>
      </c>
      <c r="K46" s="2">
        <v>27554813</v>
      </c>
      <c r="L46" s="2" t="s">
        <v>3459</v>
      </c>
      <c r="M46" s="2" t="s">
        <v>3460</v>
      </c>
      <c r="N46" s="2" t="s">
        <v>3006</v>
      </c>
      <c r="O46" s="1" t="s">
        <v>3461</v>
      </c>
      <c r="R46" s="6" t="s">
        <v>3462</v>
      </c>
    </row>
    <row r="47" spans="1:18" ht="180" x14ac:dyDescent="0.25">
      <c r="A47" s="1" t="s">
        <v>3463</v>
      </c>
      <c r="B47" s="1" t="s">
        <v>3464</v>
      </c>
      <c r="C47" s="1" t="s">
        <v>1451</v>
      </c>
      <c r="D47" s="2" t="str">
        <f>"1938-162X"</f>
        <v>1938-162X</v>
      </c>
      <c r="F47" s="2" t="str">
        <f>"2016 Oct"</f>
        <v>2016 Oct</v>
      </c>
      <c r="G47" s="3">
        <v>51</v>
      </c>
      <c r="H47" s="3">
        <v>10</v>
      </c>
      <c r="I47" s="3">
        <v>806</v>
      </c>
      <c r="K47" s="2">
        <v>27834504</v>
      </c>
      <c r="L47" s="2" t="s">
        <v>3465</v>
      </c>
      <c r="M47" s="2" t="s">
        <v>1453</v>
      </c>
      <c r="N47" s="2" t="s">
        <v>21</v>
      </c>
      <c r="O47" s="1" t="s">
        <v>3466</v>
      </c>
      <c r="Q47" s="2" t="s">
        <v>3467</v>
      </c>
      <c r="R47" s="6" t="s">
        <v>3468</v>
      </c>
    </row>
    <row r="48" spans="1:18" ht="90" x14ac:dyDescent="0.25">
      <c r="A48" s="1" t="s">
        <v>3469</v>
      </c>
      <c r="B48" s="1" t="s">
        <v>3470</v>
      </c>
      <c r="C48" s="1" t="s">
        <v>16</v>
      </c>
      <c r="D48" s="2" t="str">
        <f>"1752-6116"</f>
        <v>1752-6116</v>
      </c>
      <c r="F48" s="2" t="str">
        <f>"2016 Sep"</f>
        <v>2016 Sep</v>
      </c>
      <c r="G48" s="3">
        <v>15</v>
      </c>
      <c r="H48" s="3">
        <v>3</v>
      </c>
      <c r="I48" s="3">
        <v>283</v>
      </c>
      <c r="K48" s="2">
        <v>27126742</v>
      </c>
      <c r="L48" s="2" t="s">
        <v>3471</v>
      </c>
      <c r="M48" s="2" t="s">
        <v>20</v>
      </c>
      <c r="N48" s="2" t="s">
        <v>21</v>
      </c>
      <c r="O48" s="1" t="s">
        <v>3472</v>
      </c>
      <c r="Q48" s="2" t="s">
        <v>3473</v>
      </c>
      <c r="R48" s="6" t="s">
        <v>3474</v>
      </c>
    </row>
    <row r="49" spans="1:18" ht="60" x14ac:dyDescent="0.25">
      <c r="A49" s="1" t="s">
        <v>3475</v>
      </c>
      <c r="B49" s="1" t="s">
        <v>3476</v>
      </c>
      <c r="C49" s="1" t="s">
        <v>55</v>
      </c>
      <c r="D49" s="2" t="str">
        <f>"1878-1861"</f>
        <v>1878-1861</v>
      </c>
      <c r="F49" s="2" t="str">
        <f>"2016 Jan"</f>
        <v>2016 Jan</v>
      </c>
      <c r="G49" s="3">
        <v>19</v>
      </c>
      <c r="H49" s="3">
        <v>1</v>
      </c>
      <c r="I49" s="3">
        <v>93</v>
      </c>
      <c r="K49" s="2">
        <v>25683733</v>
      </c>
      <c r="L49" s="2" t="s">
        <v>3477</v>
      </c>
      <c r="M49" s="2" t="s">
        <v>59</v>
      </c>
      <c r="N49" s="2" t="s">
        <v>21</v>
      </c>
      <c r="O49" s="1" t="s">
        <v>3478</v>
      </c>
      <c r="Q49" s="2" t="s">
        <v>3479</v>
      </c>
      <c r="R49" s="6" t="s">
        <v>3480</v>
      </c>
    </row>
    <row r="50" spans="1:18" ht="135" x14ac:dyDescent="0.25">
      <c r="A50" s="1" t="s">
        <v>3481</v>
      </c>
      <c r="B50" s="1" t="s">
        <v>3482</v>
      </c>
      <c r="C50" s="1" t="s">
        <v>797</v>
      </c>
      <c r="D50" s="2" t="str">
        <f>"1530-0315"</f>
        <v>1530-0315</v>
      </c>
      <c r="F50" s="2" t="str">
        <f>"2016 Dec"</f>
        <v>2016 Dec</v>
      </c>
      <c r="G50" s="3">
        <v>48</v>
      </c>
      <c r="H50" s="3">
        <v>12</v>
      </c>
      <c r="I50" s="3">
        <v>2517</v>
      </c>
      <c r="K50" s="2">
        <v>27643743</v>
      </c>
      <c r="L50" s="2" t="s">
        <v>3483</v>
      </c>
      <c r="M50" s="2" t="s">
        <v>156</v>
      </c>
      <c r="N50" s="2" t="s">
        <v>21</v>
      </c>
      <c r="O50" s="1" t="s">
        <v>3484</v>
      </c>
      <c r="Q50" s="2" t="s">
        <v>3485</v>
      </c>
      <c r="R50" s="6" t="s">
        <v>3486</v>
      </c>
    </row>
    <row r="51" spans="1:18" ht="135" x14ac:dyDescent="0.25">
      <c r="A51" s="1" t="s">
        <v>3487</v>
      </c>
      <c r="B51" s="1" t="s">
        <v>3488</v>
      </c>
      <c r="C51" s="1" t="s">
        <v>82</v>
      </c>
      <c r="D51" s="2" t="str">
        <f>"1600-0838"</f>
        <v>1600-0838</v>
      </c>
      <c r="F51" s="2" t="str">
        <f>"2016 Aug"</f>
        <v>2016 Aug</v>
      </c>
      <c r="G51" s="3">
        <v>26</v>
      </c>
      <c r="H51" s="3">
        <v>8</v>
      </c>
      <c r="I51" s="3">
        <v>967</v>
      </c>
      <c r="K51" s="2">
        <v>26247618</v>
      </c>
      <c r="L51" s="2" t="s">
        <v>3489</v>
      </c>
      <c r="M51" s="2" t="s">
        <v>86</v>
      </c>
      <c r="N51" s="2" t="s">
        <v>21</v>
      </c>
      <c r="O51" s="1" t="s">
        <v>3490</v>
      </c>
      <c r="Q51" s="2" t="s">
        <v>3491</v>
      </c>
      <c r="R51" s="6" t="s">
        <v>3492</v>
      </c>
    </row>
    <row r="52" spans="1:18" ht="165" x14ac:dyDescent="0.25">
      <c r="A52" s="1" t="s">
        <v>3493</v>
      </c>
      <c r="B52" s="1" t="s">
        <v>3494</v>
      </c>
      <c r="C52" s="1" t="s">
        <v>3495</v>
      </c>
      <c r="D52" s="2" t="str">
        <f>"1440-1711"</f>
        <v>1440-1711</v>
      </c>
      <c r="F52" s="2" t="str">
        <f>"2016 Feb"</f>
        <v>2016 Feb</v>
      </c>
      <c r="G52" s="3">
        <v>94</v>
      </c>
      <c r="H52" s="3">
        <v>2</v>
      </c>
      <c r="I52" s="3">
        <v>124</v>
      </c>
      <c r="K52" s="2">
        <v>26568028</v>
      </c>
      <c r="L52" s="2" t="s">
        <v>3496</v>
      </c>
      <c r="M52" s="2" t="s">
        <v>1373</v>
      </c>
      <c r="N52" s="2" t="s">
        <v>21</v>
      </c>
      <c r="O52" s="1" t="s">
        <v>3497</v>
      </c>
      <c r="Q52" s="2" t="s">
        <v>3498</v>
      </c>
      <c r="R52" s="6" t="s">
        <v>3499</v>
      </c>
    </row>
    <row r="53" spans="1:18" ht="75" x14ac:dyDescent="0.25">
      <c r="A53" s="1" t="s">
        <v>3500</v>
      </c>
      <c r="B53" s="1" t="s">
        <v>3501</v>
      </c>
      <c r="C53" s="1" t="s">
        <v>102</v>
      </c>
      <c r="D53" s="2" t="str">
        <f>"1473-0480"</f>
        <v>1473-0480</v>
      </c>
      <c r="F53" s="2" t="str">
        <f>"2016 Oct"</f>
        <v>2016 Oct</v>
      </c>
      <c r="G53" s="3">
        <v>50</v>
      </c>
      <c r="H53" s="3">
        <v>19</v>
      </c>
      <c r="I53" s="3">
        <v>1187</v>
      </c>
      <c r="K53" s="2">
        <v>27127294</v>
      </c>
      <c r="L53" s="2" t="s">
        <v>3502</v>
      </c>
      <c r="M53" s="2" t="s">
        <v>106</v>
      </c>
      <c r="N53" s="2" t="s">
        <v>21</v>
      </c>
      <c r="O53" s="1" t="s">
        <v>3503</v>
      </c>
      <c r="Q53" s="2" t="s">
        <v>3504</v>
      </c>
      <c r="R53" s="6" t="s">
        <v>3505</v>
      </c>
    </row>
    <row r="54" spans="1:18" ht="60" x14ac:dyDescent="0.25">
      <c r="A54" s="1" t="s">
        <v>3506</v>
      </c>
      <c r="B54" s="1" t="s">
        <v>3507</v>
      </c>
      <c r="C54" s="1" t="s">
        <v>862</v>
      </c>
      <c r="D54" s="2" t="str">
        <f>"2168-3824"</f>
        <v>2168-3824</v>
      </c>
      <c r="F54" s="2" t="str">
        <f>"2016 Dec"</f>
        <v>2016 Dec</v>
      </c>
      <c r="G54" s="3">
        <v>87</v>
      </c>
      <c r="H54" s="3">
        <v>4</v>
      </c>
      <c r="I54" s="3">
        <v>414</v>
      </c>
      <c r="K54" s="2">
        <v>27586426</v>
      </c>
      <c r="L54" s="2" t="s">
        <v>3508</v>
      </c>
      <c r="M54" s="2" t="s">
        <v>864</v>
      </c>
      <c r="N54" s="2" t="s">
        <v>21</v>
      </c>
      <c r="O54" s="1" t="s">
        <v>3509</v>
      </c>
      <c r="Q54" s="2" t="s">
        <v>3510</v>
      </c>
      <c r="R54" s="6" t="s">
        <v>3511</v>
      </c>
    </row>
    <row r="55" spans="1:18" ht="75" x14ac:dyDescent="0.25">
      <c r="A55" s="1" t="s">
        <v>3512</v>
      </c>
      <c r="B55" s="1" t="s">
        <v>3513</v>
      </c>
      <c r="C55" s="1" t="s">
        <v>444</v>
      </c>
      <c r="D55" s="2" t="str">
        <f>"1179-2035"</f>
        <v>1179-2035</v>
      </c>
      <c r="F55" s="2" t="str">
        <f>"2016 Jun"</f>
        <v>2016 Jun</v>
      </c>
      <c r="G55" s="3">
        <v>46</v>
      </c>
      <c r="H55" s="3">
        <v>6</v>
      </c>
      <c r="I55" s="3">
        <v>829</v>
      </c>
      <c r="K55" s="2">
        <v>26780345</v>
      </c>
      <c r="L55" s="2" t="s">
        <v>3514</v>
      </c>
      <c r="M55" s="2" t="s">
        <v>446</v>
      </c>
      <c r="N55" s="2" t="s">
        <v>21</v>
      </c>
      <c r="O55" s="1" t="s">
        <v>3515</v>
      </c>
      <c r="Q55" s="2" t="s">
        <v>3516</v>
      </c>
      <c r="R55" s="6" t="s">
        <v>3517</v>
      </c>
    </row>
    <row r="56" spans="1:18" ht="105" x14ac:dyDescent="0.25">
      <c r="A56" s="1" t="s">
        <v>3518</v>
      </c>
      <c r="B56" s="1" t="s">
        <v>3519</v>
      </c>
      <c r="C56" s="1" t="s">
        <v>46</v>
      </c>
      <c r="D56" s="2" t="str">
        <f>"1439-6327"</f>
        <v>1439-6327</v>
      </c>
      <c r="F56" s="2" t="str">
        <f>"2016 Sep"</f>
        <v>2016 Sep</v>
      </c>
      <c r="G56" s="3">
        <v>116</v>
      </c>
      <c r="H56" s="3">
        <v>9</v>
      </c>
      <c r="I56" s="3">
        <v>1715</v>
      </c>
      <c r="K56" s="2">
        <v>27379793</v>
      </c>
      <c r="L56" s="2" t="s">
        <v>3520</v>
      </c>
      <c r="M56" s="2" t="s">
        <v>50</v>
      </c>
      <c r="N56" s="2" t="s">
        <v>21</v>
      </c>
      <c r="O56" s="1" t="s">
        <v>3521</v>
      </c>
      <c r="Q56" s="2" t="s">
        <v>3522</v>
      </c>
      <c r="R56" s="6" t="s">
        <v>3523</v>
      </c>
    </row>
    <row r="57" spans="1:18" ht="60" x14ac:dyDescent="0.25">
      <c r="A57" s="1" t="s">
        <v>3524</v>
      </c>
      <c r="B57" s="1" t="s">
        <v>3525</v>
      </c>
      <c r="C57" s="1" t="s">
        <v>133</v>
      </c>
      <c r="D57" s="2" t="str">
        <f>"1536-7290"</f>
        <v>1536-7290</v>
      </c>
      <c r="F57" s="2" t="str">
        <f>"2016"</f>
        <v>2016</v>
      </c>
      <c r="G57" s="3">
        <v>16</v>
      </c>
      <c r="H57" s="3">
        <v>3</v>
      </c>
      <c r="I57" s="3">
        <v>301</v>
      </c>
      <c r="K57" s="2">
        <v>25790844</v>
      </c>
      <c r="L57" s="2" t="s">
        <v>3526</v>
      </c>
      <c r="M57" s="2" t="s">
        <v>500</v>
      </c>
      <c r="N57" s="2" t="s">
        <v>21</v>
      </c>
      <c r="O57" s="1" t="s">
        <v>3527</v>
      </c>
      <c r="Q57" s="2" t="s">
        <v>3528</v>
      </c>
      <c r="R57" s="6" t="s">
        <v>3529</v>
      </c>
    </row>
    <row r="58" spans="1:18" ht="45" x14ac:dyDescent="0.25">
      <c r="A58" s="1" t="s">
        <v>3530</v>
      </c>
      <c r="B58" s="1" t="s">
        <v>3531</v>
      </c>
      <c r="C58" s="1" t="s">
        <v>102</v>
      </c>
      <c r="D58" s="2" t="str">
        <f>"1473-0480"</f>
        <v>1473-0480</v>
      </c>
      <c r="F58" s="2" t="str">
        <f>"2016 Nov"</f>
        <v>2016 Nov</v>
      </c>
      <c r="G58" s="3">
        <v>50</v>
      </c>
      <c r="H58" s="3">
        <v>21</v>
      </c>
      <c r="I58" s="3">
        <v>1306</v>
      </c>
      <c r="K58" s="2">
        <v>27166288</v>
      </c>
      <c r="L58" s="2" t="s">
        <v>3532</v>
      </c>
      <c r="M58" s="2" t="s">
        <v>106</v>
      </c>
      <c r="N58" s="2" t="s">
        <v>21</v>
      </c>
      <c r="Q58" s="2" t="s">
        <v>3533</v>
      </c>
      <c r="R58" s="6" t="s">
        <v>3534</v>
      </c>
    </row>
    <row r="59" spans="1:18" ht="60" x14ac:dyDescent="0.25">
      <c r="A59" s="1" t="s">
        <v>3535</v>
      </c>
      <c r="B59" s="1" t="s">
        <v>3536</v>
      </c>
      <c r="C59" s="1" t="s">
        <v>676</v>
      </c>
      <c r="D59" s="2" t="str">
        <f>"1932-6203"</f>
        <v>1932-6203</v>
      </c>
      <c r="F59" s="2" t="str">
        <f>"2016 Jul 21"</f>
        <v>2016 Jul 21</v>
      </c>
      <c r="G59" s="3">
        <v>11</v>
      </c>
      <c r="H59" s="3">
        <v>7</v>
      </c>
      <c r="I59" s="3" t="s">
        <v>3537</v>
      </c>
      <c r="K59" s="2">
        <v>27441380</v>
      </c>
      <c r="L59" s="2" t="s">
        <v>3538</v>
      </c>
      <c r="M59" s="2" t="s">
        <v>679</v>
      </c>
      <c r="N59" s="2" t="s">
        <v>21</v>
      </c>
      <c r="O59" s="1" t="s">
        <v>3539</v>
      </c>
      <c r="Q59" s="2" t="s">
        <v>3540</v>
      </c>
      <c r="R59" s="6" t="s">
        <v>3541</v>
      </c>
    </row>
    <row r="60" spans="1:18" ht="135" x14ac:dyDescent="0.25">
      <c r="A60" s="1" t="s">
        <v>3542</v>
      </c>
      <c r="B60" s="1" t="s">
        <v>3543</v>
      </c>
      <c r="C60" s="1" t="s">
        <v>36</v>
      </c>
      <c r="D60" s="2" t="str">
        <f>"1543-2742"</f>
        <v>1543-2742</v>
      </c>
      <c r="F60" s="2" t="str">
        <f>"2016 Jun"</f>
        <v>2016 Jun</v>
      </c>
      <c r="G60" s="3">
        <v>26</v>
      </c>
      <c r="H60" s="3">
        <v>3</v>
      </c>
      <c r="I60" s="3">
        <v>249</v>
      </c>
      <c r="K60" s="2">
        <v>26630501</v>
      </c>
      <c r="L60" s="2" t="s">
        <v>3544</v>
      </c>
      <c r="M60" s="2" t="s">
        <v>40</v>
      </c>
      <c r="N60" s="2" t="s">
        <v>21</v>
      </c>
      <c r="O60" s="1" t="s">
        <v>3545</v>
      </c>
      <c r="Q60" s="2" t="s">
        <v>3546</v>
      </c>
      <c r="R60" s="6" t="s">
        <v>3547</v>
      </c>
    </row>
    <row r="61" spans="1:18" ht="60" x14ac:dyDescent="0.25">
      <c r="A61" s="1" t="s">
        <v>3548</v>
      </c>
      <c r="B61" s="1" t="s">
        <v>3549</v>
      </c>
      <c r="C61" s="1" t="s">
        <v>466</v>
      </c>
      <c r="D61" s="2" t="str">
        <f>"1533-4287"</f>
        <v>1533-4287</v>
      </c>
      <c r="F61" s="2" t="str">
        <f>"2016 May"</f>
        <v>2016 May</v>
      </c>
      <c r="G61" s="3">
        <v>30</v>
      </c>
      <c r="H61" s="3">
        <v>5</v>
      </c>
      <c r="I61" s="3">
        <v>1365</v>
      </c>
      <c r="K61" s="2">
        <v>26473520</v>
      </c>
      <c r="L61" s="2" t="s">
        <v>3550</v>
      </c>
      <c r="M61" s="2" t="s">
        <v>468</v>
      </c>
      <c r="N61" s="2" t="s">
        <v>21</v>
      </c>
      <c r="O61" s="1" t="s">
        <v>3551</v>
      </c>
      <c r="Q61" s="2" t="s">
        <v>3552</v>
      </c>
      <c r="R61" s="6" t="s">
        <v>3553</v>
      </c>
    </row>
    <row r="62" spans="1:18" ht="135" x14ac:dyDescent="0.25">
      <c r="A62" s="1" t="s">
        <v>3554</v>
      </c>
      <c r="B62" s="1" t="s">
        <v>3555</v>
      </c>
      <c r="C62" s="1" t="s">
        <v>102</v>
      </c>
      <c r="D62" s="2" t="str">
        <f>"1473-0480"</f>
        <v>1473-0480</v>
      </c>
      <c r="F62" s="2" t="str">
        <f>"2016 Feb"</f>
        <v>2016 Feb</v>
      </c>
      <c r="G62" s="3">
        <v>50</v>
      </c>
      <c r="H62" s="3">
        <v>4</v>
      </c>
      <c r="I62" s="3">
        <v>209</v>
      </c>
      <c r="K62" s="2">
        <v>26407586</v>
      </c>
      <c r="L62" s="2" t="s">
        <v>3556</v>
      </c>
      <c r="M62" s="2" t="s">
        <v>106</v>
      </c>
      <c r="N62" s="2" t="s">
        <v>21</v>
      </c>
      <c r="O62" s="1" t="s">
        <v>3557</v>
      </c>
      <c r="Q62" s="2" t="s">
        <v>3558</v>
      </c>
      <c r="R62" s="6" t="s">
        <v>3559</v>
      </c>
    </row>
    <row r="63" spans="1:18" ht="30" x14ac:dyDescent="0.25">
      <c r="A63" s="1" t="s">
        <v>3560</v>
      </c>
      <c r="B63" s="1" t="s">
        <v>3561</v>
      </c>
      <c r="C63" s="1" t="s">
        <v>1883</v>
      </c>
      <c r="D63" s="2" t="str">
        <f>"1640-5544"</f>
        <v>1640-5544</v>
      </c>
      <c r="F63" s="2" t="str">
        <f>"2016 Dec 15"</f>
        <v>2016 Dec 15</v>
      </c>
      <c r="G63" s="3">
        <v>54</v>
      </c>
      <c r="I63" s="3">
        <v>219</v>
      </c>
      <c r="K63" s="2">
        <v>28031772</v>
      </c>
      <c r="L63" s="2" t="s">
        <v>3562</v>
      </c>
      <c r="M63" s="2" t="s">
        <v>1885</v>
      </c>
      <c r="N63" s="2" t="s">
        <v>21</v>
      </c>
      <c r="Q63" s="2" t="s">
        <v>3563</v>
      </c>
      <c r="R63" s="6" t="s">
        <v>3564</v>
      </c>
    </row>
    <row r="64" spans="1:18" ht="60" x14ac:dyDescent="0.25">
      <c r="A64" s="1" t="s">
        <v>3565</v>
      </c>
      <c r="B64" s="1" t="s">
        <v>3566</v>
      </c>
      <c r="C64" s="1" t="s">
        <v>2544</v>
      </c>
      <c r="D64" s="2" t="str">
        <f>"0306-4565"</f>
        <v>0306-4565</v>
      </c>
      <c r="F64" s="2" t="str">
        <f>"2016 May"</f>
        <v>2016 May</v>
      </c>
      <c r="G64" s="3">
        <v>58</v>
      </c>
      <c r="I64" s="3">
        <v>50</v>
      </c>
      <c r="K64" s="2">
        <v>27157334</v>
      </c>
      <c r="L64" s="2" t="s">
        <v>3567</v>
      </c>
      <c r="M64" s="2" t="s">
        <v>1793</v>
      </c>
      <c r="N64" s="2" t="s">
        <v>21</v>
      </c>
      <c r="O64" s="1" t="s">
        <v>3568</v>
      </c>
      <c r="Q64" s="2" t="s">
        <v>3569</v>
      </c>
      <c r="R64" s="6" t="s">
        <v>3570</v>
      </c>
    </row>
    <row r="65" spans="1:18" ht="60" x14ac:dyDescent="0.25">
      <c r="A65" s="1" t="s">
        <v>3571</v>
      </c>
      <c r="B65" s="1" t="s">
        <v>3572</v>
      </c>
      <c r="C65" s="1" t="s">
        <v>1141</v>
      </c>
      <c r="D65" s="2" t="str">
        <f>"1366-5847"</f>
        <v>1366-5847</v>
      </c>
      <c r="F65" s="2" t="str">
        <f>"2016 Dec"</f>
        <v>2016 Dec</v>
      </c>
      <c r="G65" s="3">
        <v>59</v>
      </c>
      <c r="H65" s="3">
        <v>12</v>
      </c>
      <c r="I65" s="3">
        <v>1673</v>
      </c>
      <c r="K65" s="2">
        <v>27004589</v>
      </c>
      <c r="L65" s="2" t="s">
        <v>3573</v>
      </c>
      <c r="M65" s="2" t="s">
        <v>1143</v>
      </c>
      <c r="N65" s="2" t="s">
        <v>21</v>
      </c>
      <c r="O65" s="1" t="s">
        <v>3574</v>
      </c>
      <c r="Q65" s="2" t="s">
        <v>3575</v>
      </c>
      <c r="R65" s="6" t="s">
        <v>3576</v>
      </c>
    </row>
    <row r="66" spans="1:18" ht="60" x14ac:dyDescent="0.25">
      <c r="A66" s="1" t="s">
        <v>3577</v>
      </c>
      <c r="B66" s="1" t="s">
        <v>3578</v>
      </c>
      <c r="C66" s="1" t="s">
        <v>466</v>
      </c>
      <c r="D66" s="2" t="str">
        <f>"1533-4287"</f>
        <v>1533-4287</v>
      </c>
      <c r="F66" s="2" t="str">
        <f>"2016 Apr"</f>
        <v>2016 Apr</v>
      </c>
      <c r="G66" s="3">
        <v>30</v>
      </c>
      <c r="H66" s="3">
        <v>4</v>
      </c>
      <c r="I66" s="3">
        <v>919</v>
      </c>
      <c r="K66" s="2">
        <v>27003451</v>
      </c>
      <c r="L66" s="2" t="s">
        <v>3579</v>
      </c>
      <c r="M66" s="2" t="s">
        <v>468</v>
      </c>
      <c r="N66" s="2" t="s">
        <v>21</v>
      </c>
      <c r="O66" s="1" t="s">
        <v>3580</v>
      </c>
      <c r="Q66" s="2" t="s">
        <v>3581</v>
      </c>
      <c r="R66" s="6" t="s">
        <v>3582</v>
      </c>
    </row>
    <row r="67" spans="1:18" ht="45" x14ac:dyDescent="0.25">
      <c r="A67" s="1" t="s">
        <v>3583</v>
      </c>
      <c r="B67" s="1" t="s">
        <v>3584</v>
      </c>
      <c r="C67" s="1" t="s">
        <v>676</v>
      </c>
      <c r="D67" s="2" t="str">
        <f>"1932-6203"</f>
        <v>1932-6203</v>
      </c>
      <c r="F67" s="2" t="str">
        <f>"2016 Nov 29"</f>
        <v>2016 Nov 29</v>
      </c>
      <c r="G67" s="3">
        <v>11</v>
      </c>
      <c r="H67" s="3">
        <v>11</v>
      </c>
      <c r="I67" s="3" t="s">
        <v>3585</v>
      </c>
      <c r="K67" s="2">
        <v>27898743</v>
      </c>
      <c r="L67" s="2" t="s">
        <v>3586</v>
      </c>
      <c r="M67" s="2" t="s">
        <v>679</v>
      </c>
      <c r="N67" s="2" t="s">
        <v>21</v>
      </c>
      <c r="O67" s="1" t="s">
        <v>3587</v>
      </c>
      <c r="Q67" s="2" t="s">
        <v>3588</v>
      </c>
      <c r="R67" s="6" t="s">
        <v>3589</v>
      </c>
    </row>
    <row r="68" spans="1:18" ht="60" x14ac:dyDescent="0.25">
      <c r="A68" s="1" t="s">
        <v>3590</v>
      </c>
      <c r="B68" s="1" t="s">
        <v>3591</v>
      </c>
      <c r="C68" s="1" t="s">
        <v>318</v>
      </c>
      <c r="D68" s="2" t="str">
        <f>"1555-0273"</f>
        <v>1555-0273</v>
      </c>
      <c r="F68" s="2" t="str">
        <f>"2016 Mar"</f>
        <v>2016 Mar</v>
      </c>
      <c r="G68" s="3">
        <v>11</v>
      </c>
      <c r="H68" s="3">
        <v>2</v>
      </c>
      <c r="I68" s="3">
        <v>235</v>
      </c>
      <c r="K68" s="2">
        <v>26181005</v>
      </c>
      <c r="L68" s="2" t="s">
        <v>3592</v>
      </c>
      <c r="M68" s="2" t="s">
        <v>322</v>
      </c>
      <c r="N68" s="2" t="s">
        <v>21</v>
      </c>
      <c r="O68" s="1" t="s">
        <v>3593</v>
      </c>
      <c r="Q68" s="2" t="s">
        <v>3594</v>
      </c>
      <c r="R68" s="6" t="s">
        <v>3595</v>
      </c>
    </row>
    <row r="69" spans="1:18" ht="45" x14ac:dyDescent="0.25">
      <c r="A69" s="1" t="s">
        <v>3596</v>
      </c>
      <c r="B69" s="1" t="s">
        <v>3597</v>
      </c>
      <c r="C69" s="1" t="s">
        <v>46</v>
      </c>
      <c r="D69" s="2" t="str">
        <f>"1439-6327"</f>
        <v>1439-6327</v>
      </c>
      <c r="F69" s="2" t="str">
        <f>"2016 Apr"</f>
        <v>2016 Apr</v>
      </c>
      <c r="G69" s="3">
        <v>116</v>
      </c>
      <c r="H69" s="3">
        <v>4</v>
      </c>
      <c r="I69" s="3">
        <v>863</v>
      </c>
      <c r="K69" s="2">
        <v>26896956</v>
      </c>
      <c r="L69" s="2" t="s">
        <v>3598</v>
      </c>
      <c r="M69" s="2" t="s">
        <v>50</v>
      </c>
      <c r="N69" s="2" t="s">
        <v>3006</v>
      </c>
      <c r="O69" s="1" t="s">
        <v>3599</v>
      </c>
      <c r="Q69" s="2" t="s">
        <v>3600</v>
      </c>
      <c r="R69" s="6" t="s">
        <v>3601</v>
      </c>
    </row>
    <row r="70" spans="1:18" ht="105" x14ac:dyDescent="0.25">
      <c r="A70" s="1" t="s">
        <v>3602</v>
      </c>
      <c r="B70" s="1" t="s">
        <v>3603</v>
      </c>
      <c r="C70" s="1" t="s">
        <v>444</v>
      </c>
      <c r="D70" s="2" t="str">
        <f>"1179-2035"</f>
        <v>1179-2035</v>
      </c>
      <c r="F70" s="2" t="str">
        <f>"2016 Jun"</f>
        <v>2016 Jun</v>
      </c>
      <c r="G70" s="3">
        <v>46</v>
      </c>
      <c r="H70" s="3">
        <v>6</v>
      </c>
      <c r="I70" s="3">
        <v>861</v>
      </c>
      <c r="K70" s="2">
        <v>26822969</v>
      </c>
      <c r="L70" s="2" t="s">
        <v>3604</v>
      </c>
      <c r="M70" s="2" t="s">
        <v>446</v>
      </c>
      <c r="N70" s="2" t="s">
        <v>21</v>
      </c>
      <c r="O70" s="1" t="s">
        <v>3605</v>
      </c>
      <c r="Q70" s="2" t="s">
        <v>3606</v>
      </c>
      <c r="R70" s="6" t="s">
        <v>3607</v>
      </c>
    </row>
    <row r="71" spans="1:18" ht="45" x14ac:dyDescent="0.25">
      <c r="A71" s="1" t="s">
        <v>3608</v>
      </c>
      <c r="B71" s="1" t="s">
        <v>3609</v>
      </c>
      <c r="C71" s="1" t="s">
        <v>133</v>
      </c>
      <c r="D71" s="2" t="str">
        <f>"1536-7290"</f>
        <v>1536-7290</v>
      </c>
      <c r="F71" s="2" t="str">
        <f>"2016 Oct"</f>
        <v>2016 Oct</v>
      </c>
      <c r="G71" s="3">
        <v>16</v>
      </c>
      <c r="H71" s="3">
        <v>7</v>
      </c>
      <c r="I71" s="3">
        <v>794</v>
      </c>
      <c r="K71" s="2">
        <v>26902778</v>
      </c>
      <c r="L71" s="2" t="s">
        <v>3610</v>
      </c>
      <c r="M71" s="2" t="s">
        <v>500</v>
      </c>
      <c r="N71" s="2" t="s">
        <v>21</v>
      </c>
      <c r="O71" s="1" t="s">
        <v>3611</v>
      </c>
      <c r="Q71" s="2" t="s">
        <v>3612</v>
      </c>
      <c r="R71" s="6" t="s">
        <v>3613</v>
      </c>
    </row>
    <row r="72" spans="1:18" ht="105" x14ac:dyDescent="0.25">
      <c r="A72" s="1" t="s">
        <v>3614</v>
      </c>
      <c r="B72" s="1" t="s">
        <v>3251</v>
      </c>
      <c r="C72" s="1" t="s">
        <v>3615</v>
      </c>
      <c r="D72" s="2" t="str">
        <f>"1477-9145"</f>
        <v>1477-9145</v>
      </c>
      <c r="F72" s="2" t="str">
        <f>"2016 Feb"</f>
        <v>2016 Feb</v>
      </c>
      <c r="G72" s="3">
        <v>219</v>
      </c>
      <c r="H72" s="3" t="s">
        <v>3616</v>
      </c>
      <c r="I72" s="3">
        <v>528</v>
      </c>
      <c r="K72" s="2">
        <v>26685172</v>
      </c>
      <c r="L72" s="2" t="s">
        <v>3617</v>
      </c>
      <c r="M72" s="2" t="s">
        <v>3618</v>
      </c>
      <c r="N72" s="2" t="s">
        <v>21</v>
      </c>
      <c r="O72" s="1" t="s">
        <v>3619</v>
      </c>
      <c r="Q72" s="2" t="s">
        <v>3620</v>
      </c>
      <c r="R72" s="6" t="s">
        <v>3621</v>
      </c>
    </row>
    <row r="73" spans="1:18" ht="75" x14ac:dyDescent="0.25">
      <c r="A73" s="1" t="s">
        <v>3622</v>
      </c>
      <c r="B73" s="1" t="s">
        <v>3623</v>
      </c>
      <c r="C73" s="1" t="s">
        <v>55</v>
      </c>
      <c r="D73" s="2" t="str">
        <f>"1878-1861"</f>
        <v>1878-1861</v>
      </c>
      <c r="F73" s="2" t="str">
        <f>"2016 Oct"</f>
        <v>2016 Oct</v>
      </c>
      <c r="G73" s="3">
        <v>19</v>
      </c>
      <c r="H73" s="3">
        <v>10</v>
      </c>
      <c r="I73" s="3">
        <v>848</v>
      </c>
      <c r="K73" s="2">
        <v>26794719</v>
      </c>
      <c r="L73" s="2" t="s">
        <v>3624</v>
      </c>
      <c r="M73" s="2" t="s">
        <v>59</v>
      </c>
      <c r="N73" s="2" t="s">
        <v>21</v>
      </c>
      <c r="O73" s="1" t="s">
        <v>3625</v>
      </c>
      <c r="Q73" s="2" t="s">
        <v>3626</v>
      </c>
      <c r="R73" s="6" t="s">
        <v>3627</v>
      </c>
    </row>
    <row r="74" spans="1:18" ht="45" x14ac:dyDescent="0.25">
      <c r="A74" s="1" t="s">
        <v>3628</v>
      </c>
      <c r="B74" s="1" t="s">
        <v>3629</v>
      </c>
      <c r="C74" s="1" t="s">
        <v>466</v>
      </c>
      <c r="D74" s="2" t="str">
        <f>"1533-4287"</f>
        <v>1533-4287</v>
      </c>
      <c r="F74" s="2" t="str">
        <f>"2016 May"</f>
        <v>2016 May</v>
      </c>
      <c r="G74" s="3">
        <v>30</v>
      </c>
      <c r="H74" s="3">
        <v>5</v>
      </c>
      <c r="I74" s="3">
        <v>1308</v>
      </c>
      <c r="K74" s="2">
        <v>26439781</v>
      </c>
      <c r="L74" s="2" t="s">
        <v>3630</v>
      </c>
      <c r="M74" s="2" t="s">
        <v>468</v>
      </c>
      <c r="N74" s="2" t="s">
        <v>21</v>
      </c>
      <c r="O74" s="1" t="s">
        <v>3631</v>
      </c>
      <c r="Q74" s="2" t="s">
        <v>3632</v>
      </c>
      <c r="R74" s="6" t="s">
        <v>3633</v>
      </c>
    </row>
    <row r="75" spans="1:18" ht="30" x14ac:dyDescent="0.25">
      <c r="A75" s="1" t="s">
        <v>3634</v>
      </c>
      <c r="B75" s="1" t="s">
        <v>3367</v>
      </c>
      <c r="C75" s="1" t="s">
        <v>545</v>
      </c>
      <c r="D75" s="2" t="str">
        <f>"1522-1601"</f>
        <v>1522-1601</v>
      </c>
      <c r="F75" s="2" t="str">
        <f>"2016 Jul 01"</f>
        <v>2016 Jul 01</v>
      </c>
      <c r="G75" s="3">
        <v>121</v>
      </c>
      <c r="H75" s="3">
        <v>1</v>
      </c>
      <c r="I75" s="3">
        <v>352</v>
      </c>
      <c r="K75" s="2">
        <v>26917695</v>
      </c>
      <c r="L75" s="2" t="s">
        <v>3635</v>
      </c>
      <c r="M75" s="2" t="s">
        <v>547</v>
      </c>
      <c r="N75" s="2" t="s">
        <v>21</v>
      </c>
      <c r="O75" s="1" t="s">
        <v>3636</v>
      </c>
      <c r="R75" s="6" t="s">
        <v>3637</v>
      </c>
    </row>
    <row r="76" spans="1:18" ht="30" x14ac:dyDescent="0.25">
      <c r="A76" s="1" t="s">
        <v>3638</v>
      </c>
      <c r="B76" s="1" t="s">
        <v>3639</v>
      </c>
      <c r="C76" s="1" t="s">
        <v>102</v>
      </c>
      <c r="D76" s="2" t="str">
        <f>"1473-0480"</f>
        <v>1473-0480</v>
      </c>
      <c r="F76" s="2" t="str">
        <f>"2016 Nov"</f>
        <v>2016 Nov</v>
      </c>
      <c r="G76" s="3">
        <v>50</v>
      </c>
      <c r="H76" s="3">
        <v>22</v>
      </c>
      <c r="I76" s="3">
        <v>1423</v>
      </c>
      <c r="K76" s="2">
        <v>26843537</v>
      </c>
      <c r="L76" s="2" t="s">
        <v>3640</v>
      </c>
      <c r="M76" s="2" t="s">
        <v>106</v>
      </c>
      <c r="N76" s="2" t="s">
        <v>3006</v>
      </c>
      <c r="R76" s="6" t="s">
        <v>3641</v>
      </c>
    </row>
    <row r="77" spans="1:18" ht="60" x14ac:dyDescent="0.25">
      <c r="A77" s="1" t="s">
        <v>3642</v>
      </c>
      <c r="B77" s="1" t="s">
        <v>3643</v>
      </c>
      <c r="C77" s="1" t="s">
        <v>862</v>
      </c>
      <c r="D77" s="2" t="str">
        <f>"2168-3824"</f>
        <v>2168-3824</v>
      </c>
      <c r="F77" s="2" t="str">
        <f>"2016 Aug 09"</f>
        <v>2016 Aug 09</v>
      </c>
      <c r="G77" s="3" t="s">
        <v>3644</v>
      </c>
      <c r="I77" s="3" t="s">
        <v>3645</v>
      </c>
      <c r="K77" s="2">
        <v>27435555</v>
      </c>
      <c r="L77" s="2" t="s">
        <v>3646</v>
      </c>
      <c r="M77" s="2" t="s">
        <v>864</v>
      </c>
      <c r="N77" s="2" t="s">
        <v>21</v>
      </c>
      <c r="O77" s="1" t="s">
        <v>3647</v>
      </c>
      <c r="R77" s="6" t="s">
        <v>3648</v>
      </c>
    </row>
    <row r="78" spans="1:18" ht="45" x14ac:dyDescent="0.25">
      <c r="A78" s="1" t="s">
        <v>3649</v>
      </c>
      <c r="B78" s="1" t="s">
        <v>2034</v>
      </c>
      <c r="C78" s="1" t="s">
        <v>696</v>
      </c>
      <c r="D78" s="2" t="str">
        <f>"1439-3964"</f>
        <v>1439-3964</v>
      </c>
      <c r="F78" s="2" t="str">
        <f>"2016 Dec"</f>
        <v>2016 Dec</v>
      </c>
      <c r="G78" s="3">
        <v>37</v>
      </c>
      <c r="H78" s="3">
        <v>14</v>
      </c>
      <c r="I78" s="3">
        <v>1117</v>
      </c>
      <c r="K78" s="2">
        <v>27676147</v>
      </c>
      <c r="L78" s="2" t="s">
        <v>3650</v>
      </c>
      <c r="M78" s="2" t="s">
        <v>698</v>
      </c>
      <c r="N78" s="2" t="s">
        <v>21</v>
      </c>
      <c r="O78" s="1" t="s">
        <v>3651</v>
      </c>
      <c r="Q78" s="2" t="s">
        <v>3652</v>
      </c>
      <c r="R78" s="6" t="s">
        <v>3653</v>
      </c>
    </row>
    <row r="79" spans="1:18" ht="120" x14ac:dyDescent="0.25">
      <c r="A79" s="1" t="s">
        <v>3654</v>
      </c>
      <c r="B79" s="1" t="s">
        <v>3655</v>
      </c>
      <c r="C79" s="1" t="s">
        <v>466</v>
      </c>
      <c r="D79" s="2" t="str">
        <f>"1533-4287"</f>
        <v>1533-4287</v>
      </c>
      <c r="F79" s="2" t="str">
        <f>"2016 Feb"</f>
        <v>2016 Feb</v>
      </c>
      <c r="G79" s="3">
        <v>30</v>
      </c>
      <c r="H79" s="3">
        <v>2</v>
      </c>
      <c r="I79" s="3">
        <v>533</v>
      </c>
      <c r="K79" s="2">
        <v>26154154</v>
      </c>
      <c r="L79" s="2" t="s">
        <v>3656</v>
      </c>
      <c r="M79" s="2" t="s">
        <v>468</v>
      </c>
      <c r="N79" s="2" t="s">
        <v>21</v>
      </c>
      <c r="O79" s="1" t="s">
        <v>3657</v>
      </c>
      <c r="Q79" s="2" t="s">
        <v>3658</v>
      </c>
      <c r="R79" s="6" t="s">
        <v>3659</v>
      </c>
    </row>
    <row r="80" spans="1:18" ht="75" x14ac:dyDescent="0.25">
      <c r="A80" s="1" t="s">
        <v>3660</v>
      </c>
      <c r="B80" s="1" t="s">
        <v>3661</v>
      </c>
      <c r="C80" s="1" t="s">
        <v>133</v>
      </c>
      <c r="D80" s="2" t="str">
        <f>"1536-7290"</f>
        <v>1536-7290</v>
      </c>
      <c r="F80" s="2" t="str">
        <f>"2016 Nov"</f>
        <v>2016 Nov</v>
      </c>
      <c r="G80" s="3">
        <v>16</v>
      </c>
      <c r="H80" s="3">
        <v>8</v>
      </c>
      <c r="I80" s="3">
        <v>895</v>
      </c>
      <c r="K80" s="2">
        <v>26894371</v>
      </c>
      <c r="L80" s="2" t="s">
        <v>3662</v>
      </c>
      <c r="M80" s="2" t="s">
        <v>500</v>
      </c>
      <c r="N80" s="2" t="s">
        <v>21</v>
      </c>
      <c r="O80" s="1" t="s">
        <v>3663</v>
      </c>
      <c r="Q80" s="2" t="s">
        <v>3664</v>
      </c>
      <c r="R80" s="6" t="s">
        <v>3665</v>
      </c>
    </row>
    <row r="81" spans="1:18" ht="75" x14ac:dyDescent="0.25">
      <c r="A81" s="1" t="s">
        <v>3666</v>
      </c>
      <c r="B81" s="1" t="s">
        <v>3667</v>
      </c>
      <c r="C81" s="1" t="s">
        <v>2271</v>
      </c>
      <c r="D81" s="2" t="str">
        <f>"1942-7611"</f>
        <v>1942-7611</v>
      </c>
      <c r="F81" s="2" t="str">
        <f>"2016 Feb"</f>
        <v>2016 Feb</v>
      </c>
      <c r="G81" s="3">
        <v>8</v>
      </c>
      <c r="H81" s="3">
        <v>2</v>
      </c>
      <c r="I81" s="3">
        <v>228</v>
      </c>
      <c r="K81" s="2">
        <v>25990883</v>
      </c>
      <c r="L81" s="2" t="s">
        <v>3668</v>
      </c>
      <c r="M81" s="2" t="s">
        <v>2273</v>
      </c>
      <c r="N81" s="2" t="s">
        <v>21</v>
      </c>
      <c r="O81" s="1" t="s">
        <v>3669</v>
      </c>
      <c r="Q81" s="2" t="s">
        <v>3670</v>
      </c>
      <c r="R81" s="6" t="s">
        <v>3671</v>
      </c>
    </row>
    <row r="82" spans="1:18" ht="30" x14ac:dyDescent="0.25">
      <c r="A82" s="1" t="s">
        <v>3672</v>
      </c>
      <c r="B82" s="1" t="s">
        <v>3673</v>
      </c>
      <c r="C82" s="1" t="s">
        <v>318</v>
      </c>
      <c r="D82" s="2" t="str">
        <f>"1555-0273"</f>
        <v>1555-0273</v>
      </c>
      <c r="F82" s="2" t="str">
        <f>"2016 Mar"</f>
        <v>2016 Mar</v>
      </c>
      <c r="G82" s="3">
        <v>11</v>
      </c>
      <c r="H82" s="3">
        <v>2</v>
      </c>
      <c r="I82" s="3">
        <v>153</v>
      </c>
      <c r="K82" s="2">
        <v>26950948</v>
      </c>
      <c r="L82" s="2" t="s">
        <v>3674</v>
      </c>
      <c r="M82" s="2" t="s">
        <v>322</v>
      </c>
      <c r="N82" s="2" t="s">
        <v>633</v>
      </c>
      <c r="O82" s="1" t="s">
        <v>3675</v>
      </c>
      <c r="R82" s="6" t="s">
        <v>3676</v>
      </c>
    </row>
  </sheetData>
  <hyperlinks>
    <hyperlink ref="R2" r:id="rId1" xr:uid="{00000000-0004-0000-0300-000000000000}"/>
    <hyperlink ref="R3" r:id="rId2" xr:uid="{00000000-0004-0000-0300-000001000000}"/>
    <hyperlink ref="R4" r:id="rId3" xr:uid="{00000000-0004-0000-0300-000002000000}"/>
    <hyperlink ref="R5" r:id="rId4" xr:uid="{00000000-0004-0000-0300-000003000000}"/>
    <hyperlink ref="R6" r:id="rId5" xr:uid="{00000000-0004-0000-0300-000004000000}"/>
    <hyperlink ref="R7" r:id="rId6" xr:uid="{00000000-0004-0000-0300-000005000000}"/>
    <hyperlink ref="R8" r:id="rId7" xr:uid="{00000000-0004-0000-0300-000006000000}"/>
    <hyperlink ref="R9" r:id="rId8" xr:uid="{00000000-0004-0000-0300-000007000000}"/>
    <hyperlink ref="R10" r:id="rId9" xr:uid="{00000000-0004-0000-0300-000008000000}"/>
    <hyperlink ref="R11" r:id="rId10" xr:uid="{00000000-0004-0000-0300-000009000000}"/>
    <hyperlink ref="R12" r:id="rId11" xr:uid="{00000000-0004-0000-0300-00000A000000}"/>
    <hyperlink ref="R13" r:id="rId12" xr:uid="{00000000-0004-0000-0300-00000B000000}"/>
    <hyperlink ref="R14" r:id="rId13" xr:uid="{00000000-0004-0000-0300-00000C000000}"/>
    <hyperlink ref="R15" r:id="rId14" xr:uid="{00000000-0004-0000-0300-00000D000000}"/>
    <hyperlink ref="R16" r:id="rId15" xr:uid="{00000000-0004-0000-0300-00000E000000}"/>
    <hyperlink ref="R17" r:id="rId16" xr:uid="{00000000-0004-0000-0300-00000F000000}"/>
    <hyperlink ref="R18" r:id="rId17" xr:uid="{00000000-0004-0000-0300-000010000000}"/>
    <hyperlink ref="R19" r:id="rId18" xr:uid="{00000000-0004-0000-0300-000011000000}"/>
    <hyperlink ref="R20" r:id="rId19" xr:uid="{00000000-0004-0000-0300-000012000000}"/>
    <hyperlink ref="R21" r:id="rId20" xr:uid="{00000000-0004-0000-0300-000013000000}"/>
    <hyperlink ref="R22" r:id="rId21" xr:uid="{00000000-0004-0000-0300-000014000000}"/>
    <hyperlink ref="R23" r:id="rId22" xr:uid="{00000000-0004-0000-0300-000015000000}"/>
    <hyperlink ref="R24" r:id="rId23" xr:uid="{00000000-0004-0000-0300-000016000000}"/>
    <hyperlink ref="R25" r:id="rId24" xr:uid="{00000000-0004-0000-0300-000017000000}"/>
    <hyperlink ref="R26" r:id="rId25" xr:uid="{00000000-0004-0000-0300-000018000000}"/>
    <hyperlink ref="R27" r:id="rId26" xr:uid="{00000000-0004-0000-0300-000019000000}"/>
    <hyperlink ref="R28" r:id="rId27" xr:uid="{00000000-0004-0000-0300-00001A000000}"/>
    <hyperlink ref="R29" r:id="rId28" xr:uid="{00000000-0004-0000-0300-00001B000000}"/>
    <hyperlink ref="R30" r:id="rId29" xr:uid="{00000000-0004-0000-0300-00001C000000}"/>
    <hyperlink ref="R31" r:id="rId30" xr:uid="{00000000-0004-0000-0300-00001D000000}"/>
    <hyperlink ref="R32" r:id="rId31" xr:uid="{00000000-0004-0000-0300-00001E000000}"/>
    <hyperlink ref="R33" r:id="rId32" xr:uid="{00000000-0004-0000-0300-00001F000000}"/>
    <hyperlink ref="R34" r:id="rId33" xr:uid="{00000000-0004-0000-0300-000020000000}"/>
    <hyperlink ref="R35" r:id="rId34" xr:uid="{00000000-0004-0000-0300-000021000000}"/>
    <hyperlink ref="R36" r:id="rId35" xr:uid="{00000000-0004-0000-0300-000022000000}"/>
    <hyperlink ref="R37" r:id="rId36" xr:uid="{00000000-0004-0000-0300-000023000000}"/>
    <hyperlink ref="R38" r:id="rId37" xr:uid="{00000000-0004-0000-0300-000024000000}"/>
    <hyperlink ref="R39" r:id="rId38" xr:uid="{00000000-0004-0000-0300-000025000000}"/>
    <hyperlink ref="R40" r:id="rId39" xr:uid="{00000000-0004-0000-0300-000026000000}"/>
    <hyperlink ref="R41" r:id="rId40" xr:uid="{00000000-0004-0000-0300-000027000000}"/>
    <hyperlink ref="R42" r:id="rId41" xr:uid="{00000000-0004-0000-0300-000028000000}"/>
    <hyperlink ref="R43" r:id="rId42" xr:uid="{00000000-0004-0000-0300-000029000000}"/>
    <hyperlink ref="R44" r:id="rId43" xr:uid="{00000000-0004-0000-0300-00002A000000}"/>
    <hyperlink ref="R45" r:id="rId44" xr:uid="{00000000-0004-0000-0300-00002B000000}"/>
    <hyperlink ref="R46" r:id="rId45" xr:uid="{00000000-0004-0000-0300-00002C000000}"/>
    <hyperlink ref="R47" r:id="rId46" xr:uid="{00000000-0004-0000-0300-00002D000000}"/>
    <hyperlink ref="R48" r:id="rId47" xr:uid="{00000000-0004-0000-0300-00002E000000}"/>
    <hyperlink ref="R49" r:id="rId48" xr:uid="{00000000-0004-0000-0300-00002F000000}"/>
    <hyperlink ref="R50" r:id="rId49" xr:uid="{00000000-0004-0000-0300-000030000000}"/>
    <hyperlink ref="R51" r:id="rId50" xr:uid="{00000000-0004-0000-0300-000031000000}"/>
    <hyperlink ref="R52" r:id="rId51" xr:uid="{00000000-0004-0000-0300-000032000000}"/>
    <hyperlink ref="R53" r:id="rId52" xr:uid="{00000000-0004-0000-0300-000033000000}"/>
    <hyperlink ref="R54" r:id="rId53" xr:uid="{00000000-0004-0000-0300-000034000000}"/>
    <hyperlink ref="R55" r:id="rId54" xr:uid="{00000000-0004-0000-0300-000035000000}"/>
    <hyperlink ref="R56" r:id="rId55" xr:uid="{00000000-0004-0000-0300-000036000000}"/>
    <hyperlink ref="R57" r:id="rId56" xr:uid="{00000000-0004-0000-0300-000037000000}"/>
    <hyperlink ref="R58" r:id="rId57" xr:uid="{00000000-0004-0000-0300-000038000000}"/>
    <hyperlink ref="R59" r:id="rId58" xr:uid="{00000000-0004-0000-0300-000039000000}"/>
    <hyperlink ref="R60" r:id="rId59" xr:uid="{00000000-0004-0000-0300-00003A000000}"/>
    <hyperlink ref="R61" r:id="rId60" xr:uid="{00000000-0004-0000-0300-00003B000000}"/>
    <hyperlink ref="R62" r:id="rId61" xr:uid="{00000000-0004-0000-0300-00003C000000}"/>
    <hyperlink ref="R63" r:id="rId62" xr:uid="{00000000-0004-0000-0300-00003D000000}"/>
    <hyperlink ref="R64" r:id="rId63" xr:uid="{00000000-0004-0000-0300-00003E000000}"/>
    <hyperlink ref="R65" r:id="rId64" xr:uid="{00000000-0004-0000-0300-00003F000000}"/>
    <hyperlink ref="R66" r:id="rId65" xr:uid="{00000000-0004-0000-0300-000040000000}"/>
    <hyperlink ref="R67" r:id="rId66" xr:uid="{00000000-0004-0000-0300-000041000000}"/>
    <hyperlink ref="R68" r:id="rId67" xr:uid="{00000000-0004-0000-0300-000042000000}"/>
    <hyperlink ref="R69" r:id="rId68" xr:uid="{00000000-0004-0000-0300-000043000000}"/>
    <hyperlink ref="R70" r:id="rId69" xr:uid="{00000000-0004-0000-0300-000044000000}"/>
    <hyperlink ref="R71" r:id="rId70" xr:uid="{00000000-0004-0000-0300-000045000000}"/>
    <hyperlink ref="R72" r:id="rId71" xr:uid="{00000000-0004-0000-0300-000046000000}"/>
    <hyperlink ref="R73" r:id="rId72" xr:uid="{00000000-0004-0000-0300-000047000000}"/>
    <hyperlink ref="R74" r:id="rId73" xr:uid="{00000000-0004-0000-0300-000048000000}"/>
    <hyperlink ref="R75" r:id="rId74" xr:uid="{00000000-0004-0000-0300-000049000000}"/>
    <hyperlink ref="R76" r:id="rId75" xr:uid="{00000000-0004-0000-0300-00004A000000}"/>
    <hyperlink ref="R77" r:id="rId76" xr:uid="{00000000-0004-0000-0300-00004B000000}"/>
    <hyperlink ref="R78" r:id="rId77" xr:uid="{00000000-0004-0000-0300-00004C000000}"/>
    <hyperlink ref="R79" r:id="rId78" xr:uid="{00000000-0004-0000-0300-00004D000000}"/>
    <hyperlink ref="R80" r:id="rId79" xr:uid="{00000000-0004-0000-0300-00004E000000}"/>
    <hyperlink ref="R81" r:id="rId80" xr:uid="{00000000-0004-0000-0300-00004F000000}"/>
    <hyperlink ref="R82" r:id="rId81" xr:uid="{00000000-0004-0000-0300-000050000000}"/>
  </hyperlinks>
  <pageMargins left="0.7" right="0.7" top="0.75" bottom="0.75" header="0.3" footer="0.3"/>
  <headerFooter>
    <oddHeader>&amp;C&amp;"Calibri"&amp;12&amp;KFF0000 OFFICIAL&amp;1#_x000D_</oddHeader>
  </headerFooter>
  <tableParts count="1">
    <tablePart r:id="rId8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67"/>
  <sheetViews>
    <sheetView workbookViewId="0">
      <selection activeCell="R68" sqref="R68"/>
    </sheetView>
  </sheetViews>
  <sheetFormatPr defaultColWidth="8.7109375" defaultRowHeight="15" x14ac:dyDescent="0.25"/>
  <cols>
    <col min="1" max="1" width="27.7109375" style="1" customWidth="1"/>
    <col min="2" max="2" width="25.28515625" style="1" customWidth="1"/>
    <col min="3" max="3" width="25.7109375" style="1" customWidth="1"/>
    <col min="4" max="4" width="9.42578125" style="2" bestFit="1" customWidth="1"/>
    <col min="5" max="5" width="0" style="2" hidden="1" customWidth="1"/>
    <col min="6" max="6" width="16.85546875" style="2" customWidth="1"/>
    <col min="7" max="7" width="9.42578125" style="3" customWidth="1"/>
    <col min="8" max="8" width="8.7109375" style="3"/>
    <col min="9" max="9" width="11.140625" style="3" customWidth="1"/>
    <col min="10" max="10" width="12.42578125" style="2" hidden="1" customWidth="1"/>
    <col min="11" max="11" width="18.42578125" style="2" hidden="1" customWidth="1"/>
    <col min="12" max="12" width="28.7109375" style="2" bestFit="1" customWidth="1"/>
    <col min="13" max="13" width="33.85546875" style="1" customWidth="1"/>
    <col min="14" max="14" width="23.42578125" style="1" customWidth="1"/>
    <col min="15" max="15" width="44.140625" style="1" customWidth="1"/>
    <col min="16" max="16" width="11.140625" style="2" hidden="1" customWidth="1"/>
    <col min="17" max="17" width="41.85546875" style="2" customWidth="1"/>
    <col min="18" max="18" width="83" style="2" bestFit="1"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1" t="s">
        <v>9</v>
      </c>
      <c r="N1" s="1" t="s">
        <v>10</v>
      </c>
      <c r="O1" s="1" t="s">
        <v>11</v>
      </c>
      <c r="P1" s="2" t="s">
        <v>779</v>
      </c>
      <c r="Q1" s="2" t="s">
        <v>12</v>
      </c>
      <c r="R1" s="2" t="s">
        <v>13</v>
      </c>
    </row>
    <row r="2" spans="1:18" ht="90" x14ac:dyDescent="0.25">
      <c r="A2" s="1" t="s">
        <v>3677</v>
      </c>
      <c r="B2" s="1" t="s">
        <v>3678</v>
      </c>
      <c r="C2" s="1" t="s">
        <v>318</v>
      </c>
      <c r="D2" s="2" t="str">
        <f>"1555-0265"</f>
        <v>1555-0265</v>
      </c>
      <c r="F2" s="2" t="str">
        <f>"2015 May"</f>
        <v>2015 May</v>
      </c>
      <c r="G2" s="3">
        <v>10</v>
      </c>
      <c r="H2" s="3">
        <v>4</v>
      </c>
      <c r="I2" s="3">
        <v>446</v>
      </c>
      <c r="K2" s="2">
        <v>25364940</v>
      </c>
      <c r="L2" s="2" t="s">
        <v>3679</v>
      </c>
      <c r="M2" s="1" t="s">
        <v>322</v>
      </c>
      <c r="N2" s="1" t="s">
        <v>924</v>
      </c>
      <c r="O2" s="1" t="s">
        <v>3680</v>
      </c>
      <c r="Q2" s="2" t="s">
        <v>3681</v>
      </c>
      <c r="R2" s="6" t="s">
        <v>3682</v>
      </c>
    </row>
    <row r="3" spans="1:18" ht="105" x14ac:dyDescent="0.25">
      <c r="A3" s="1" t="s">
        <v>3683</v>
      </c>
      <c r="B3" s="1" t="s">
        <v>3684</v>
      </c>
      <c r="C3" s="1" t="s">
        <v>102</v>
      </c>
      <c r="D3" s="2" t="str">
        <f>"1473-0480"</f>
        <v>1473-0480</v>
      </c>
      <c r="F3" s="2" t="str">
        <f>"2015 Apr"</f>
        <v>2015 Apr</v>
      </c>
      <c r="G3" s="3">
        <v>49</v>
      </c>
      <c r="H3" s="3">
        <v>8</v>
      </c>
      <c r="I3" s="3">
        <v>495</v>
      </c>
      <c r="K3" s="2">
        <v>24723636</v>
      </c>
      <c r="L3" s="2" t="s">
        <v>3685</v>
      </c>
      <c r="M3" s="1" t="s">
        <v>106</v>
      </c>
      <c r="N3" s="1" t="s">
        <v>21</v>
      </c>
      <c r="O3" s="1" t="s">
        <v>3686</v>
      </c>
      <c r="Q3" s="2" t="s">
        <v>3687</v>
      </c>
      <c r="R3" s="6" t="s">
        <v>3688</v>
      </c>
    </row>
    <row r="4" spans="1:18" ht="75" x14ac:dyDescent="0.25">
      <c r="A4" s="1" t="s">
        <v>3689</v>
      </c>
      <c r="B4" s="1" t="s">
        <v>3690</v>
      </c>
      <c r="C4" s="1" t="s">
        <v>466</v>
      </c>
      <c r="D4" s="2" t="str">
        <f>"1533-4287"</f>
        <v>1533-4287</v>
      </c>
      <c r="F4" s="2" t="str">
        <f>"2015 Jan"</f>
        <v>2015 Jan</v>
      </c>
      <c r="G4" s="3">
        <v>29</v>
      </c>
      <c r="H4" s="3">
        <v>1</v>
      </c>
      <c r="I4" s="3">
        <v>126</v>
      </c>
      <c r="K4" s="2">
        <v>25264672</v>
      </c>
      <c r="L4" s="2" t="s">
        <v>3691</v>
      </c>
      <c r="M4" s="1" t="s">
        <v>468</v>
      </c>
      <c r="N4" s="1" t="s">
        <v>21</v>
      </c>
      <c r="O4" s="1" t="s">
        <v>3692</v>
      </c>
      <c r="Q4" s="2" t="s">
        <v>3693</v>
      </c>
      <c r="R4" s="6" t="s">
        <v>3694</v>
      </c>
    </row>
    <row r="5" spans="1:18" ht="75" x14ac:dyDescent="0.25">
      <c r="A5" s="1" t="s">
        <v>3695</v>
      </c>
      <c r="B5" s="1" t="s">
        <v>3696</v>
      </c>
      <c r="C5" s="1" t="s">
        <v>46</v>
      </c>
      <c r="D5" s="2" t="str">
        <f>"1439-6327"</f>
        <v>1439-6327</v>
      </c>
      <c r="F5" s="2" t="str">
        <f>"2015 Dec"</f>
        <v>2015 Dec</v>
      </c>
      <c r="G5" s="3">
        <v>115</v>
      </c>
      <c r="H5" s="3">
        <v>12</v>
      </c>
      <c r="I5" s="3">
        <v>2521</v>
      </c>
      <c r="K5" s="2">
        <v>26335627</v>
      </c>
      <c r="L5" s="2" t="s">
        <v>3697</v>
      </c>
      <c r="M5" s="1" t="s">
        <v>50</v>
      </c>
      <c r="N5" s="1" t="s">
        <v>21</v>
      </c>
      <c r="O5" s="1" t="s">
        <v>3698</v>
      </c>
      <c r="Q5" s="2" t="s">
        <v>3699</v>
      </c>
      <c r="R5" s="6" t="s">
        <v>3700</v>
      </c>
    </row>
    <row r="6" spans="1:18" ht="45" x14ac:dyDescent="0.25">
      <c r="A6" s="1" t="s">
        <v>3701</v>
      </c>
      <c r="B6" s="1" t="s">
        <v>3702</v>
      </c>
      <c r="C6" s="1" t="s">
        <v>1953</v>
      </c>
      <c r="D6" s="2" t="str">
        <f>"1303-2968"</f>
        <v>1303-2968</v>
      </c>
      <c r="F6" s="2" t="str">
        <f>"2015 May 08"</f>
        <v>2015 May 08</v>
      </c>
      <c r="G6" s="3">
        <v>14</v>
      </c>
      <c r="H6" s="3">
        <v>2</v>
      </c>
      <c r="I6" s="3">
        <v>413</v>
      </c>
      <c r="K6" s="2">
        <v>25983592</v>
      </c>
      <c r="M6" s="1" t="s">
        <v>1954</v>
      </c>
      <c r="N6" s="1" t="s">
        <v>21</v>
      </c>
      <c r="Q6" s="2" t="s">
        <v>3703</v>
      </c>
      <c r="R6" s="6" t="s">
        <v>3704</v>
      </c>
    </row>
    <row r="7" spans="1:18" ht="210" x14ac:dyDescent="0.25">
      <c r="A7" s="1" t="s">
        <v>3705</v>
      </c>
      <c r="B7" s="1" t="s">
        <v>3706</v>
      </c>
      <c r="C7" s="1" t="s">
        <v>102</v>
      </c>
      <c r="D7" s="2" t="str">
        <f>"1473-0480"</f>
        <v>1473-0480</v>
      </c>
      <c r="F7" s="2" t="str">
        <f>"2015 Oct"</f>
        <v>2015 Oct</v>
      </c>
      <c r="G7" s="3">
        <v>49</v>
      </c>
      <c r="H7" s="3">
        <v>19</v>
      </c>
      <c r="I7" s="3">
        <v>1236</v>
      </c>
      <c r="K7" s="2">
        <v>25869093</v>
      </c>
      <c r="L7" s="2" t="s">
        <v>3707</v>
      </c>
      <c r="M7" s="1" t="s">
        <v>106</v>
      </c>
      <c r="N7" s="1" t="s">
        <v>21</v>
      </c>
      <c r="O7" s="1" t="s">
        <v>3708</v>
      </c>
      <c r="Q7" s="2" t="s">
        <v>3709</v>
      </c>
      <c r="R7" s="6" t="s">
        <v>3710</v>
      </c>
    </row>
    <row r="8" spans="1:18" ht="105" x14ac:dyDescent="0.25">
      <c r="A8" s="1" t="s">
        <v>3711</v>
      </c>
      <c r="B8" s="1" t="s">
        <v>3712</v>
      </c>
      <c r="C8" s="1" t="s">
        <v>466</v>
      </c>
      <c r="D8" s="2" t="str">
        <f>"1533-4287"</f>
        <v>1533-4287</v>
      </c>
      <c r="F8" s="2" t="str">
        <f>"2015 Nov"</f>
        <v>2015 Nov</v>
      </c>
      <c r="G8" s="3">
        <v>29</v>
      </c>
      <c r="H8" s="3">
        <v>11</v>
      </c>
      <c r="I8" s="3">
        <v>3206</v>
      </c>
      <c r="K8" s="2">
        <v>25944456</v>
      </c>
      <c r="L8" s="2" t="s">
        <v>3713</v>
      </c>
      <c r="M8" s="1" t="s">
        <v>468</v>
      </c>
      <c r="N8" s="1" t="s">
        <v>646</v>
      </c>
      <c r="O8" s="1" t="s">
        <v>3714</v>
      </c>
      <c r="Q8" s="2" t="s">
        <v>3715</v>
      </c>
      <c r="R8" s="6" t="s">
        <v>3716</v>
      </c>
    </row>
    <row r="9" spans="1:18" ht="300" x14ac:dyDescent="0.25">
      <c r="A9" s="1" t="s">
        <v>3717</v>
      </c>
      <c r="B9" s="1" t="s">
        <v>3718</v>
      </c>
      <c r="C9" s="1" t="s">
        <v>545</v>
      </c>
      <c r="D9" s="2" t="str">
        <f>"1522-1601"</f>
        <v>1522-1601</v>
      </c>
      <c r="F9" s="2" t="str">
        <f>"2015 Sep 15"</f>
        <v>2015 Sep 15</v>
      </c>
      <c r="G9" s="3">
        <v>119</v>
      </c>
      <c r="H9" s="3">
        <v>6</v>
      </c>
      <c r="I9" s="3">
        <v>762</v>
      </c>
      <c r="K9" s="2">
        <v>26374877</v>
      </c>
      <c r="L9" s="2" t="s">
        <v>3719</v>
      </c>
      <c r="M9" s="1" t="s">
        <v>547</v>
      </c>
      <c r="N9" s="1" t="s">
        <v>3006</v>
      </c>
      <c r="O9" s="1" t="s">
        <v>3720</v>
      </c>
      <c r="R9" s="6" t="s">
        <v>3721</v>
      </c>
    </row>
    <row r="10" spans="1:18" ht="90" x14ac:dyDescent="0.25">
      <c r="A10" s="1" t="s">
        <v>3722</v>
      </c>
      <c r="B10" s="1" t="s">
        <v>3723</v>
      </c>
      <c r="C10" s="1" t="s">
        <v>55</v>
      </c>
      <c r="D10" s="2" t="str">
        <f>"1878-1861"</f>
        <v>1878-1861</v>
      </c>
      <c r="F10" s="2" t="str">
        <f>"2015 Nov"</f>
        <v>2015 Nov</v>
      </c>
      <c r="G10" s="3">
        <v>18</v>
      </c>
      <c r="H10" s="3">
        <v>6</v>
      </c>
      <c r="I10" s="3">
        <v>725</v>
      </c>
      <c r="K10" s="2">
        <v>25455956</v>
      </c>
      <c r="L10" s="2" t="s">
        <v>3724</v>
      </c>
      <c r="M10" s="1" t="s">
        <v>59</v>
      </c>
      <c r="N10" s="1" t="s">
        <v>21</v>
      </c>
      <c r="O10" s="1" t="s">
        <v>3725</v>
      </c>
      <c r="Q10" s="2" t="s">
        <v>3726</v>
      </c>
      <c r="R10" s="6" t="s">
        <v>3727</v>
      </c>
    </row>
    <row r="11" spans="1:18" ht="90" x14ac:dyDescent="0.25">
      <c r="A11" s="1" t="s">
        <v>3728</v>
      </c>
      <c r="B11" s="1" t="s">
        <v>3729</v>
      </c>
      <c r="C11" s="1" t="s">
        <v>921</v>
      </c>
      <c r="D11" s="2" t="str">
        <f>"1466-447X"</f>
        <v>1466-447X</v>
      </c>
      <c r="F11" s="2" t="str">
        <f>"2015"</f>
        <v>2015</v>
      </c>
      <c r="G11" s="3">
        <v>33</v>
      </c>
      <c r="H11" s="3">
        <v>13</v>
      </c>
      <c r="I11" s="3">
        <v>1403</v>
      </c>
      <c r="K11" s="2">
        <v>25530213</v>
      </c>
      <c r="L11" s="2" t="s">
        <v>3730</v>
      </c>
      <c r="M11" s="1" t="s">
        <v>923</v>
      </c>
      <c r="N11" s="1" t="s">
        <v>21</v>
      </c>
      <c r="O11" s="1" t="s">
        <v>3731</v>
      </c>
      <c r="Q11" s="2" t="s">
        <v>3732</v>
      </c>
      <c r="R11" s="6" t="s">
        <v>3733</v>
      </c>
    </row>
    <row r="12" spans="1:18" ht="90" x14ac:dyDescent="0.25">
      <c r="A12" s="1" t="s">
        <v>3734</v>
      </c>
      <c r="B12" s="1" t="s">
        <v>3735</v>
      </c>
      <c r="C12" s="1" t="s">
        <v>824</v>
      </c>
      <c r="D12" s="2" t="str">
        <f>"1715-5320"</f>
        <v>1715-5320</v>
      </c>
      <c r="F12" s="2" t="str">
        <f>"2015 Nov"</f>
        <v>2015 Nov</v>
      </c>
      <c r="G12" s="3">
        <v>40</v>
      </c>
      <c r="H12" s="3">
        <v>11</v>
      </c>
      <c r="I12" s="3">
        <v>1163</v>
      </c>
      <c r="K12" s="2">
        <v>26466081</v>
      </c>
      <c r="L12" s="2" t="s">
        <v>3736</v>
      </c>
      <c r="M12" s="1" t="s">
        <v>826</v>
      </c>
      <c r="N12" s="1" t="s">
        <v>21</v>
      </c>
      <c r="O12" s="1" t="s">
        <v>3737</v>
      </c>
      <c r="Q12" s="2" t="s">
        <v>3738</v>
      </c>
      <c r="R12" s="6" t="s">
        <v>3739</v>
      </c>
    </row>
    <row r="13" spans="1:18" ht="135" x14ac:dyDescent="0.25">
      <c r="A13" s="1" t="s">
        <v>3740</v>
      </c>
      <c r="B13" s="1" t="s">
        <v>3741</v>
      </c>
      <c r="C13" s="1" t="s">
        <v>82</v>
      </c>
      <c r="D13" s="2" t="str">
        <f>"1600-0838"</f>
        <v>1600-0838</v>
      </c>
      <c r="F13" s="2" t="str">
        <f>"2015 Oct"</f>
        <v>2015 Oct</v>
      </c>
      <c r="G13" s="3">
        <v>25</v>
      </c>
      <c r="H13" s="3">
        <v>5</v>
      </c>
      <c r="I13" s="3" t="s">
        <v>3742</v>
      </c>
      <c r="K13" s="2">
        <v>25556533</v>
      </c>
      <c r="L13" s="2" t="s">
        <v>3743</v>
      </c>
      <c r="M13" s="1" t="s">
        <v>86</v>
      </c>
      <c r="N13" s="1" t="s">
        <v>924</v>
      </c>
      <c r="O13" s="1" t="s">
        <v>3744</v>
      </c>
      <c r="Q13" s="2" t="s">
        <v>3745</v>
      </c>
      <c r="R13" s="6" t="s">
        <v>3746</v>
      </c>
    </row>
    <row r="14" spans="1:18" ht="180" x14ac:dyDescent="0.25">
      <c r="A14" s="1" t="s">
        <v>3747</v>
      </c>
      <c r="B14" s="1" t="s">
        <v>3748</v>
      </c>
      <c r="C14" s="1" t="s">
        <v>102</v>
      </c>
      <c r="D14" s="2" t="str">
        <f>"1473-0480"</f>
        <v>1473-0480</v>
      </c>
      <c r="F14" s="2" t="str">
        <f>"2015 Jun"</f>
        <v>2015 Jun</v>
      </c>
      <c r="G14" s="3">
        <v>49</v>
      </c>
      <c r="H14" s="3">
        <v>12</v>
      </c>
      <c r="I14" s="3">
        <v>768</v>
      </c>
      <c r="K14" s="2">
        <v>26031643</v>
      </c>
      <c r="L14" s="2" t="s">
        <v>3749</v>
      </c>
      <c r="M14" s="1" t="s">
        <v>106</v>
      </c>
      <c r="N14" s="1" t="s">
        <v>1173</v>
      </c>
      <c r="O14" s="1" t="s">
        <v>3750</v>
      </c>
      <c r="Q14" s="2" t="s">
        <v>3751</v>
      </c>
      <c r="R14" s="6" t="s">
        <v>3752</v>
      </c>
    </row>
    <row r="15" spans="1:18" ht="75" x14ac:dyDescent="0.25">
      <c r="A15" s="1" t="s">
        <v>3753</v>
      </c>
      <c r="B15" s="1" t="s">
        <v>3754</v>
      </c>
      <c r="C15" s="1" t="s">
        <v>466</v>
      </c>
      <c r="D15" s="2" t="str">
        <f>"1533-4287"</f>
        <v>1533-4287</v>
      </c>
      <c r="F15" s="2" t="str">
        <f>"2015 Mar"</f>
        <v>2015 Mar</v>
      </c>
      <c r="G15" s="3">
        <v>29</v>
      </c>
      <c r="H15" s="3">
        <v>3</v>
      </c>
      <c r="I15" s="3">
        <v>619</v>
      </c>
      <c r="K15" s="2">
        <v>25226306</v>
      </c>
      <c r="L15" s="2" t="s">
        <v>3755</v>
      </c>
      <c r="M15" s="1" t="s">
        <v>468</v>
      </c>
      <c r="N15" s="1" t="s">
        <v>21</v>
      </c>
      <c r="O15" s="1" t="s">
        <v>3756</v>
      </c>
      <c r="Q15" s="2" t="s">
        <v>3757</v>
      </c>
      <c r="R15" s="6" t="s">
        <v>3758</v>
      </c>
    </row>
    <row r="16" spans="1:18" ht="135" x14ac:dyDescent="0.25">
      <c r="A16" s="1" t="s">
        <v>3759</v>
      </c>
      <c r="B16" s="1" t="s">
        <v>3760</v>
      </c>
      <c r="C16" s="1" t="s">
        <v>82</v>
      </c>
      <c r="D16" s="2" t="str">
        <f>"1600-0838"</f>
        <v>1600-0838</v>
      </c>
      <c r="F16" s="2" t="str">
        <f>"2015 Jun"</f>
        <v>2015 Jun</v>
      </c>
      <c r="G16" s="3">
        <v>25</v>
      </c>
      <c r="H16" s="3">
        <v>3</v>
      </c>
      <c r="I16" s="3">
        <v>441</v>
      </c>
      <c r="K16" s="2">
        <v>24750359</v>
      </c>
      <c r="L16" s="2" t="s">
        <v>3761</v>
      </c>
      <c r="M16" s="1" t="s">
        <v>86</v>
      </c>
      <c r="N16" s="1" t="s">
        <v>21</v>
      </c>
      <c r="O16" s="1" t="s">
        <v>3762</v>
      </c>
      <c r="Q16" s="2" t="s">
        <v>3763</v>
      </c>
      <c r="R16" s="6" t="s">
        <v>3764</v>
      </c>
    </row>
    <row r="17" spans="1:18" ht="165" x14ac:dyDescent="0.25">
      <c r="A17" s="1" t="s">
        <v>3765</v>
      </c>
      <c r="B17" s="1" t="s">
        <v>3766</v>
      </c>
      <c r="C17" s="1" t="s">
        <v>545</v>
      </c>
      <c r="D17" s="2" t="str">
        <f>"1522-1601"</f>
        <v>1522-1601</v>
      </c>
      <c r="F17" s="2" t="str">
        <f>"2015 Sep 15"</f>
        <v>2015 Sep 15</v>
      </c>
      <c r="G17" s="3">
        <v>119</v>
      </c>
      <c r="H17" s="3">
        <v>6</v>
      </c>
      <c r="I17" s="3">
        <v>643</v>
      </c>
      <c r="K17" s="2">
        <v>26112242</v>
      </c>
      <c r="L17" s="2" t="s">
        <v>3767</v>
      </c>
      <c r="M17" s="1" t="s">
        <v>547</v>
      </c>
      <c r="N17" s="1" t="s">
        <v>21</v>
      </c>
      <c r="O17" s="1" t="s">
        <v>3768</v>
      </c>
      <c r="Q17" s="2" t="s">
        <v>3769</v>
      </c>
      <c r="R17" s="6" t="s">
        <v>3770</v>
      </c>
    </row>
    <row r="18" spans="1:18" ht="135" x14ac:dyDescent="0.25">
      <c r="A18" s="1" t="s">
        <v>3771</v>
      </c>
      <c r="B18" s="1" t="s">
        <v>2508</v>
      </c>
      <c r="C18" s="1" t="s">
        <v>3772</v>
      </c>
      <c r="D18" s="2" t="str">
        <f>"1747-0226"</f>
        <v>1747-0226</v>
      </c>
      <c r="F18" s="2" t="str">
        <f>"2015"</f>
        <v>2015</v>
      </c>
      <c r="G18" s="3">
        <v>68</v>
      </c>
      <c r="H18" s="3">
        <v>9</v>
      </c>
      <c r="I18" s="3">
        <v>1813</v>
      </c>
      <c r="K18" s="2">
        <v>25662705</v>
      </c>
      <c r="L18" s="2" t="s">
        <v>3773</v>
      </c>
      <c r="M18" s="1" t="s">
        <v>3774</v>
      </c>
      <c r="N18" s="1" t="s">
        <v>21</v>
      </c>
      <c r="O18" s="1" t="s">
        <v>3775</v>
      </c>
      <c r="Q18" s="2" t="s">
        <v>3776</v>
      </c>
      <c r="R18" s="6" t="s">
        <v>3777</v>
      </c>
    </row>
    <row r="19" spans="1:18" ht="60" x14ac:dyDescent="0.25">
      <c r="A19" s="1" t="s">
        <v>3778</v>
      </c>
      <c r="B19" s="1" t="s">
        <v>3779</v>
      </c>
      <c r="C19" s="1" t="s">
        <v>797</v>
      </c>
      <c r="D19" s="2" t="str">
        <f>"1530-0315"</f>
        <v>1530-0315</v>
      </c>
      <c r="F19" s="2" t="str">
        <f>"2015 Aug"</f>
        <v>2015 Aug</v>
      </c>
      <c r="G19" s="3">
        <v>47</v>
      </c>
      <c r="H19" s="3">
        <v>8</v>
      </c>
      <c r="I19" s="3">
        <v>1705</v>
      </c>
      <c r="K19" s="2">
        <v>25412298</v>
      </c>
      <c r="L19" s="2" t="s">
        <v>3780</v>
      </c>
      <c r="M19" s="1" t="s">
        <v>156</v>
      </c>
      <c r="N19" s="1" t="s">
        <v>21</v>
      </c>
      <c r="O19" s="1" t="s">
        <v>3781</v>
      </c>
      <c r="Q19" s="2" t="s">
        <v>3782</v>
      </c>
      <c r="R19" s="6" t="s">
        <v>3783</v>
      </c>
    </row>
    <row r="20" spans="1:18" ht="60" x14ac:dyDescent="0.25">
      <c r="A20" s="1" t="s">
        <v>3784</v>
      </c>
      <c r="B20" s="1" t="s">
        <v>3785</v>
      </c>
      <c r="C20" s="1" t="s">
        <v>2501</v>
      </c>
      <c r="D20" s="2" t="str">
        <f>"1929-0748"</f>
        <v>1929-0748</v>
      </c>
      <c r="F20" s="2" t="str">
        <f>"2015 Oct 07"</f>
        <v>2015 Oct 07</v>
      </c>
      <c r="G20" s="3">
        <v>4</v>
      </c>
      <c r="H20" s="3">
        <v>4</v>
      </c>
      <c r="I20" s="3" t="s">
        <v>3786</v>
      </c>
      <c r="K20" s="2">
        <v>36262008</v>
      </c>
      <c r="L20" s="2" t="s">
        <v>3787</v>
      </c>
      <c r="M20" s="1" t="s">
        <v>2504</v>
      </c>
      <c r="N20" s="1" t="s">
        <v>21</v>
      </c>
      <c r="Q20" s="2" t="s">
        <v>3788</v>
      </c>
      <c r="R20" s="6" t="s">
        <v>3789</v>
      </c>
    </row>
    <row r="21" spans="1:18" ht="75" x14ac:dyDescent="0.25">
      <c r="A21" s="1" t="s">
        <v>3790</v>
      </c>
      <c r="B21" s="1" t="s">
        <v>3268</v>
      </c>
      <c r="C21" s="1" t="s">
        <v>1022</v>
      </c>
      <c r="D21" s="2" t="str">
        <f>"1872-7646"</f>
        <v>1872-7646</v>
      </c>
      <c r="F21" s="2" t="str">
        <f>"2015 Jun"</f>
        <v>2015 Jun</v>
      </c>
      <c r="G21" s="3">
        <v>41</v>
      </c>
      <c r="I21" s="3">
        <v>76</v>
      </c>
      <c r="K21" s="2">
        <v>25746370</v>
      </c>
      <c r="L21" s="2" t="s">
        <v>3791</v>
      </c>
      <c r="M21" s="1" t="s">
        <v>1024</v>
      </c>
      <c r="N21" s="1" t="s">
        <v>21</v>
      </c>
      <c r="O21" s="1" t="s">
        <v>3792</v>
      </c>
      <c r="Q21" s="2" t="s">
        <v>3793</v>
      </c>
      <c r="R21" s="6" t="s">
        <v>3794</v>
      </c>
    </row>
    <row r="22" spans="1:18" ht="60" x14ac:dyDescent="0.25">
      <c r="A22" s="1" t="s">
        <v>3795</v>
      </c>
      <c r="B22" s="1" t="s">
        <v>3796</v>
      </c>
      <c r="C22" s="1" t="s">
        <v>676</v>
      </c>
      <c r="D22" s="2" t="str">
        <f>"1932-6203"</f>
        <v>1932-6203</v>
      </c>
      <c r="F22" s="2" t="str">
        <f>"2015 Oct 15"</f>
        <v>2015 Oct 15</v>
      </c>
      <c r="G22" s="3">
        <v>10</v>
      </c>
      <c r="H22" s="3">
        <v>10</v>
      </c>
      <c r="I22" s="3" t="s">
        <v>3797</v>
      </c>
      <c r="K22" s="2">
        <v>26468644</v>
      </c>
      <c r="L22" s="2" t="s">
        <v>3798</v>
      </c>
      <c r="M22" s="1" t="s">
        <v>679</v>
      </c>
      <c r="N22" s="1" t="s">
        <v>21</v>
      </c>
      <c r="O22" s="1" t="s">
        <v>3799</v>
      </c>
      <c r="Q22" s="2" t="s">
        <v>3800</v>
      </c>
      <c r="R22" s="6" t="s">
        <v>3801</v>
      </c>
    </row>
    <row r="23" spans="1:18" ht="75" x14ac:dyDescent="0.25">
      <c r="A23" s="1" t="s">
        <v>3802</v>
      </c>
      <c r="B23" s="1" t="s">
        <v>3723</v>
      </c>
      <c r="C23" s="1" t="s">
        <v>1687</v>
      </c>
      <c r="D23" s="2" t="str">
        <f>"1543-2688"</f>
        <v>1543-2688</v>
      </c>
      <c r="F23" s="2" t="str">
        <f>"2015 Feb"</f>
        <v>2015 Feb</v>
      </c>
      <c r="G23" s="3">
        <v>31</v>
      </c>
      <c r="H23" s="3">
        <v>1</v>
      </c>
      <c r="I23" s="3">
        <v>8</v>
      </c>
      <c r="K23" s="2">
        <v>25134424</v>
      </c>
      <c r="L23" s="2" t="s">
        <v>3803</v>
      </c>
      <c r="M23" s="1" t="s">
        <v>40</v>
      </c>
      <c r="N23" s="1" t="s">
        <v>21</v>
      </c>
      <c r="O23" s="1" t="s">
        <v>3804</v>
      </c>
      <c r="Q23" s="2" t="s">
        <v>3805</v>
      </c>
      <c r="R23" s="6" t="s">
        <v>3806</v>
      </c>
    </row>
    <row r="24" spans="1:18" ht="150" x14ac:dyDescent="0.25">
      <c r="A24" s="1" t="s">
        <v>3807</v>
      </c>
      <c r="B24" s="1" t="s">
        <v>3808</v>
      </c>
      <c r="C24" s="1" t="s">
        <v>2470</v>
      </c>
      <c r="D24" s="2" t="str">
        <f>"1522-1555"</f>
        <v>1522-1555</v>
      </c>
      <c r="F24" s="2" t="str">
        <f>"2015 May 01"</f>
        <v>2015 May 01</v>
      </c>
      <c r="G24" s="3">
        <v>308</v>
      </c>
      <c r="H24" s="3">
        <v>9</v>
      </c>
      <c r="I24" s="3" t="s">
        <v>3809</v>
      </c>
      <c r="K24" s="2">
        <v>25738784</v>
      </c>
      <c r="L24" s="2" t="s">
        <v>3810</v>
      </c>
      <c r="M24" s="1" t="s">
        <v>547</v>
      </c>
      <c r="N24" s="1" t="s">
        <v>21</v>
      </c>
      <c r="O24" s="1" t="s">
        <v>3811</v>
      </c>
      <c r="Q24" s="2" t="s">
        <v>3812</v>
      </c>
      <c r="R24" s="6" t="s">
        <v>3813</v>
      </c>
    </row>
    <row r="25" spans="1:18" ht="75" x14ac:dyDescent="0.25">
      <c r="A25" s="1" t="s">
        <v>3814</v>
      </c>
      <c r="B25" s="1" t="s">
        <v>3815</v>
      </c>
      <c r="C25" s="1" t="s">
        <v>676</v>
      </c>
      <c r="D25" s="2" t="str">
        <f>"1932-6203"</f>
        <v>1932-6203</v>
      </c>
      <c r="F25" s="2" t="str">
        <f>"2015 Dec 02"</f>
        <v>2015 Dec 02</v>
      </c>
      <c r="G25" s="3">
        <v>10</v>
      </c>
      <c r="H25" s="3">
        <v>12</v>
      </c>
      <c r="I25" s="3" t="s">
        <v>3816</v>
      </c>
      <c r="K25" s="2">
        <v>26629912</v>
      </c>
      <c r="L25" s="2" t="s">
        <v>3817</v>
      </c>
      <c r="M25" s="1" t="s">
        <v>679</v>
      </c>
      <c r="N25" s="1" t="s">
        <v>21</v>
      </c>
      <c r="O25" s="1" t="s">
        <v>3818</v>
      </c>
      <c r="Q25" s="2" t="s">
        <v>3819</v>
      </c>
      <c r="R25" s="6" t="s">
        <v>3820</v>
      </c>
    </row>
    <row r="26" spans="1:18" ht="135" x14ac:dyDescent="0.25">
      <c r="A26" s="1" t="s">
        <v>3821</v>
      </c>
      <c r="B26" s="1" t="s">
        <v>3822</v>
      </c>
      <c r="C26" s="1" t="s">
        <v>545</v>
      </c>
      <c r="D26" s="2" t="str">
        <f>"1522-1601"</f>
        <v>1522-1601</v>
      </c>
      <c r="F26" s="2" t="str">
        <f>"2015 May 15"</f>
        <v>2015 May 15</v>
      </c>
      <c r="G26" s="3">
        <v>118</v>
      </c>
      <c r="H26" s="3">
        <v>10</v>
      </c>
      <c r="I26" s="3">
        <v>1266</v>
      </c>
      <c r="K26" s="2">
        <v>25814636</v>
      </c>
      <c r="L26" s="2" t="s">
        <v>3823</v>
      </c>
      <c r="M26" s="1" t="s">
        <v>547</v>
      </c>
      <c r="N26" s="1" t="s">
        <v>21</v>
      </c>
      <c r="O26" s="1" t="s">
        <v>3824</v>
      </c>
      <c r="Q26" s="2" t="s">
        <v>3825</v>
      </c>
      <c r="R26" s="6" t="s">
        <v>3826</v>
      </c>
    </row>
    <row r="27" spans="1:18" ht="60" x14ac:dyDescent="0.25">
      <c r="A27" s="1" t="s">
        <v>3827</v>
      </c>
      <c r="B27" s="1" t="s">
        <v>3828</v>
      </c>
      <c r="C27" s="1" t="s">
        <v>1953</v>
      </c>
      <c r="D27" s="2" t="str">
        <f>"1303-2968"</f>
        <v>1303-2968</v>
      </c>
      <c r="F27" s="2" t="str">
        <f>"2015 Nov 24"</f>
        <v>2015 Nov 24</v>
      </c>
      <c r="G27" s="3">
        <v>14</v>
      </c>
      <c r="H27" s="3">
        <v>4</v>
      </c>
      <c r="I27" s="3">
        <v>776</v>
      </c>
      <c r="K27" s="2">
        <v>26664274</v>
      </c>
      <c r="M27" s="1" t="s">
        <v>1954</v>
      </c>
      <c r="N27" s="1" t="s">
        <v>21</v>
      </c>
      <c r="Q27" s="2" t="s">
        <v>3829</v>
      </c>
      <c r="R27" s="6" t="s">
        <v>3830</v>
      </c>
    </row>
    <row r="28" spans="1:18" ht="270" x14ac:dyDescent="0.25">
      <c r="A28" s="1" t="s">
        <v>3831</v>
      </c>
      <c r="B28" s="1" t="s">
        <v>3832</v>
      </c>
      <c r="C28" s="1" t="s">
        <v>102</v>
      </c>
      <c r="D28" s="2" t="str">
        <f>"1473-0480"</f>
        <v>1473-0480</v>
      </c>
      <c r="F28" s="2" t="str">
        <f>"2015 Jul"</f>
        <v>2015 Jul</v>
      </c>
      <c r="G28" s="3">
        <v>49</v>
      </c>
      <c r="H28" s="3">
        <v>13</v>
      </c>
      <c r="I28" s="3">
        <v>843</v>
      </c>
      <c r="K28" s="2">
        <v>26084524</v>
      </c>
      <c r="L28" s="2" t="s">
        <v>3833</v>
      </c>
      <c r="M28" s="1" t="s">
        <v>106</v>
      </c>
      <c r="N28" s="1" t="s">
        <v>3834</v>
      </c>
      <c r="O28" s="1" t="s">
        <v>3835</v>
      </c>
      <c r="Q28" s="2" t="s">
        <v>3836</v>
      </c>
      <c r="R28" s="6" t="s">
        <v>3837</v>
      </c>
    </row>
    <row r="29" spans="1:18" ht="105" x14ac:dyDescent="0.25">
      <c r="A29" s="1" t="s">
        <v>3838</v>
      </c>
      <c r="B29" s="1" t="s">
        <v>3839</v>
      </c>
      <c r="C29" s="1" t="s">
        <v>102</v>
      </c>
      <c r="D29" s="2" t="str">
        <f>"1473-0480"</f>
        <v>1473-0480</v>
      </c>
      <c r="F29" s="2" t="str">
        <f>"2015 Oct"</f>
        <v>2015 Oct</v>
      </c>
      <c r="G29" s="3">
        <v>49</v>
      </c>
      <c r="H29" s="3">
        <v>19</v>
      </c>
      <c r="I29" s="3">
        <v>1277</v>
      </c>
      <c r="K29" s="2">
        <v>25979840</v>
      </c>
      <c r="L29" s="2" t="s">
        <v>3840</v>
      </c>
      <c r="M29" s="1" t="s">
        <v>106</v>
      </c>
      <c r="N29" s="1" t="s">
        <v>21</v>
      </c>
      <c r="O29" s="1" t="s">
        <v>3841</v>
      </c>
      <c r="Q29" s="2" t="s">
        <v>3842</v>
      </c>
      <c r="R29" s="6" t="s">
        <v>3843</v>
      </c>
    </row>
    <row r="30" spans="1:18" ht="75" x14ac:dyDescent="0.25">
      <c r="A30" s="1" t="s">
        <v>3844</v>
      </c>
      <c r="B30" s="1" t="s">
        <v>3723</v>
      </c>
      <c r="C30" s="1" t="s">
        <v>921</v>
      </c>
      <c r="D30" s="2" t="str">
        <f>"1466-447X"</f>
        <v>1466-447X</v>
      </c>
      <c r="F30" s="2" t="str">
        <f>"2015"</f>
        <v>2015</v>
      </c>
      <c r="G30" s="3">
        <v>33</v>
      </c>
      <c r="H30" s="3">
        <v>13</v>
      </c>
      <c r="I30" s="3">
        <v>1313</v>
      </c>
      <c r="K30" s="2">
        <v>25555171</v>
      </c>
      <c r="L30" s="2" t="s">
        <v>3845</v>
      </c>
      <c r="M30" s="1" t="s">
        <v>923</v>
      </c>
      <c r="N30" s="1" t="s">
        <v>21</v>
      </c>
      <c r="O30" s="1" t="s">
        <v>3846</v>
      </c>
      <c r="Q30" s="2" t="s">
        <v>3847</v>
      </c>
      <c r="R30" s="6" t="s">
        <v>3848</v>
      </c>
    </row>
    <row r="31" spans="1:18" ht="75" x14ac:dyDescent="0.25">
      <c r="A31" s="1" t="s">
        <v>3849</v>
      </c>
      <c r="B31" s="1" t="s">
        <v>3850</v>
      </c>
      <c r="C31" s="1" t="s">
        <v>466</v>
      </c>
      <c r="D31" s="2" t="str">
        <f>"1533-4287"</f>
        <v>1533-4287</v>
      </c>
      <c r="F31" s="2" t="str">
        <f>"2015 Jul"</f>
        <v>2015 Jul</v>
      </c>
      <c r="G31" s="3">
        <v>29</v>
      </c>
      <c r="H31" s="3">
        <v>7</v>
      </c>
      <c r="I31" s="3">
        <v>1766</v>
      </c>
      <c r="K31" s="2">
        <v>25559908</v>
      </c>
      <c r="L31" s="2" t="s">
        <v>3851</v>
      </c>
      <c r="M31" s="1" t="s">
        <v>468</v>
      </c>
      <c r="N31" s="1" t="s">
        <v>21</v>
      </c>
      <c r="O31" s="1" t="s">
        <v>3852</v>
      </c>
      <c r="Q31" s="2" t="s">
        <v>3853</v>
      </c>
      <c r="R31" s="6" t="s">
        <v>3854</v>
      </c>
    </row>
    <row r="32" spans="1:18" ht="45" x14ac:dyDescent="0.25">
      <c r="A32" s="1" t="s">
        <v>3855</v>
      </c>
      <c r="B32" s="1" t="s">
        <v>3856</v>
      </c>
      <c r="C32" s="1" t="s">
        <v>797</v>
      </c>
      <c r="D32" s="2" t="str">
        <f>"1530-0315"</f>
        <v>1530-0315</v>
      </c>
      <c r="F32" s="2" t="str">
        <f>"2015 Apr"</f>
        <v>2015 Apr</v>
      </c>
      <c r="G32" s="3">
        <v>47</v>
      </c>
      <c r="H32" s="3">
        <v>4</v>
      </c>
      <c r="I32" s="3">
        <v>874</v>
      </c>
      <c r="K32" s="2">
        <v>25051387</v>
      </c>
      <c r="L32" s="2" t="s">
        <v>3857</v>
      </c>
      <c r="M32" s="1" t="s">
        <v>156</v>
      </c>
      <c r="N32" s="1" t="s">
        <v>21</v>
      </c>
      <c r="O32" s="1" t="s">
        <v>3858</v>
      </c>
      <c r="Q32" s="2" t="s">
        <v>3859</v>
      </c>
      <c r="R32" s="6" t="s">
        <v>3860</v>
      </c>
    </row>
    <row r="33" spans="1:18" ht="60" x14ac:dyDescent="0.25">
      <c r="A33" s="1" t="s">
        <v>3861</v>
      </c>
      <c r="B33" s="1" t="s">
        <v>3862</v>
      </c>
      <c r="C33" s="1" t="s">
        <v>466</v>
      </c>
      <c r="D33" s="2" t="str">
        <f>"1533-4287"</f>
        <v>1533-4287</v>
      </c>
      <c r="F33" s="2" t="str">
        <f>"2015 Nov"</f>
        <v>2015 Nov</v>
      </c>
      <c r="G33" s="3">
        <v>29</v>
      </c>
      <c r="H33" s="3">
        <v>11</v>
      </c>
      <c r="I33" s="3">
        <v>3156</v>
      </c>
      <c r="K33" s="2">
        <v>25932988</v>
      </c>
      <c r="L33" s="2" t="s">
        <v>3863</v>
      </c>
      <c r="M33" s="1" t="s">
        <v>468</v>
      </c>
      <c r="N33" s="1" t="s">
        <v>924</v>
      </c>
      <c r="O33" s="1" t="s">
        <v>3864</v>
      </c>
      <c r="Q33" s="2" t="s">
        <v>3865</v>
      </c>
      <c r="R33" s="6" t="s">
        <v>3866</v>
      </c>
    </row>
    <row r="34" spans="1:18" ht="90" x14ac:dyDescent="0.25">
      <c r="A34" s="1" t="s">
        <v>3867</v>
      </c>
      <c r="B34" s="1" t="s">
        <v>3868</v>
      </c>
      <c r="C34" s="1" t="s">
        <v>36</v>
      </c>
      <c r="D34" s="2" t="str">
        <f>"1543-2742"</f>
        <v>1543-2742</v>
      </c>
      <c r="F34" s="2" t="str">
        <f>"2015 Apr"</f>
        <v>2015 Apr</v>
      </c>
      <c r="G34" s="3">
        <v>25</v>
      </c>
      <c r="H34" s="3">
        <v>2</v>
      </c>
      <c r="I34" s="3">
        <v>198</v>
      </c>
      <c r="K34" s="2">
        <v>25029265</v>
      </c>
      <c r="L34" s="2" t="s">
        <v>3869</v>
      </c>
      <c r="M34" s="1" t="s">
        <v>40</v>
      </c>
      <c r="N34" s="1" t="s">
        <v>21</v>
      </c>
      <c r="O34" s="1" t="s">
        <v>3870</v>
      </c>
      <c r="Q34" s="2" t="s">
        <v>3871</v>
      </c>
      <c r="R34" s="6" t="s">
        <v>3872</v>
      </c>
    </row>
    <row r="35" spans="1:18" ht="210" x14ac:dyDescent="0.25">
      <c r="A35" s="1" t="s">
        <v>3873</v>
      </c>
      <c r="B35" s="1" t="s">
        <v>3874</v>
      </c>
      <c r="C35" s="1" t="s">
        <v>3875</v>
      </c>
      <c r="D35" s="2" t="str">
        <f>"1522-1490"</f>
        <v>1522-1490</v>
      </c>
      <c r="F35" s="2" t="str">
        <f>"2015 Sep"</f>
        <v>2015 Sep</v>
      </c>
      <c r="G35" s="3">
        <v>309</v>
      </c>
      <c r="H35" s="3">
        <v>5</v>
      </c>
      <c r="I35" s="3" t="s">
        <v>3876</v>
      </c>
      <c r="K35" s="2">
        <v>26136534</v>
      </c>
      <c r="L35" s="2" t="s">
        <v>3877</v>
      </c>
      <c r="M35" s="1" t="s">
        <v>547</v>
      </c>
      <c r="N35" s="1" t="s">
        <v>21</v>
      </c>
      <c r="O35" s="1" t="s">
        <v>3878</v>
      </c>
      <c r="Q35" s="2" t="s">
        <v>3879</v>
      </c>
      <c r="R35" s="6" t="s">
        <v>3880</v>
      </c>
    </row>
    <row r="36" spans="1:18" ht="75" x14ac:dyDescent="0.25">
      <c r="A36" s="1" t="s">
        <v>3881</v>
      </c>
      <c r="B36" s="1" t="s">
        <v>3882</v>
      </c>
      <c r="C36" s="1" t="s">
        <v>3615</v>
      </c>
      <c r="D36" s="2" t="str">
        <f>"1477-9145"</f>
        <v>1477-9145</v>
      </c>
      <c r="F36" s="2" t="str">
        <f>"2015 Aug"</f>
        <v>2015 Aug</v>
      </c>
      <c r="G36" s="3">
        <v>218</v>
      </c>
      <c r="H36" s="3" t="s">
        <v>3883</v>
      </c>
      <c r="I36" s="3">
        <v>2472</v>
      </c>
      <c r="K36" s="2">
        <v>26056240</v>
      </c>
      <c r="L36" s="2" t="s">
        <v>3884</v>
      </c>
      <c r="M36" s="1" t="s">
        <v>3618</v>
      </c>
      <c r="N36" s="1" t="s">
        <v>21</v>
      </c>
      <c r="O36" s="1" t="s">
        <v>3885</v>
      </c>
      <c r="Q36" s="2" t="s">
        <v>3886</v>
      </c>
      <c r="R36" s="6" t="s">
        <v>3887</v>
      </c>
    </row>
    <row r="37" spans="1:18" ht="195" x14ac:dyDescent="0.25">
      <c r="A37" s="1" t="s">
        <v>3888</v>
      </c>
      <c r="B37" s="1" t="s">
        <v>2837</v>
      </c>
      <c r="C37" s="1" t="s">
        <v>318</v>
      </c>
      <c r="D37" s="2" t="str">
        <f>"1555-0265"</f>
        <v>1555-0265</v>
      </c>
      <c r="F37" s="2" t="str">
        <f>"2015 Sep"</f>
        <v>2015 Sep</v>
      </c>
      <c r="G37" s="3">
        <v>10</v>
      </c>
      <c r="H37" s="3">
        <v>6</v>
      </c>
      <c r="I37" s="3">
        <v>808</v>
      </c>
      <c r="K37" s="2">
        <v>25848893</v>
      </c>
      <c r="L37" s="2" t="s">
        <v>3889</v>
      </c>
      <c r="M37" s="1" t="s">
        <v>322</v>
      </c>
      <c r="N37" s="1" t="s">
        <v>924</v>
      </c>
      <c r="O37" s="1" t="s">
        <v>3890</v>
      </c>
      <c r="Q37" s="2" t="s">
        <v>3891</v>
      </c>
      <c r="R37" s="6" t="s">
        <v>3892</v>
      </c>
    </row>
    <row r="38" spans="1:18" ht="75" x14ac:dyDescent="0.25">
      <c r="A38" s="1" t="s">
        <v>3893</v>
      </c>
      <c r="B38" s="1" t="s">
        <v>3894</v>
      </c>
      <c r="C38" s="1" t="s">
        <v>1953</v>
      </c>
      <c r="D38" s="2" t="str">
        <f>"1303-2968"</f>
        <v>1303-2968</v>
      </c>
      <c r="F38" s="2" t="str">
        <f>"2015 Aug 11"</f>
        <v>2015 Aug 11</v>
      </c>
      <c r="G38" s="3">
        <v>14</v>
      </c>
      <c r="H38" s="3">
        <v>3</v>
      </c>
      <c r="I38" s="3">
        <v>681</v>
      </c>
      <c r="K38" s="2">
        <v>26336357</v>
      </c>
      <c r="M38" s="1" t="s">
        <v>1954</v>
      </c>
      <c r="N38" s="1" t="s">
        <v>21</v>
      </c>
      <c r="Q38" s="2" t="s">
        <v>3895</v>
      </c>
      <c r="R38" s="6" t="s">
        <v>3896</v>
      </c>
    </row>
    <row r="39" spans="1:18" ht="60" x14ac:dyDescent="0.25">
      <c r="A39" s="1" t="s">
        <v>3897</v>
      </c>
      <c r="B39" s="1" t="s">
        <v>3898</v>
      </c>
      <c r="C39" s="1" t="s">
        <v>46</v>
      </c>
      <c r="D39" s="2" t="str">
        <f>"1439-6327"</f>
        <v>1439-6327</v>
      </c>
      <c r="F39" s="2" t="str">
        <f>"2015 Oct"</f>
        <v>2015 Oct</v>
      </c>
      <c r="G39" s="3">
        <v>115</v>
      </c>
      <c r="H39" s="3">
        <v>10</v>
      </c>
      <c r="I39" s="3">
        <v>2031</v>
      </c>
      <c r="K39" s="2">
        <v>26330274</v>
      </c>
      <c r="L39" s="2" t="s">
        <v>3899</v>
      </c>
      <c r="M39" s="1" t="s">
        <v>50</v>
      </c>
      <c r="N39" s="1" t="s">
        <v>21</v>
      </c>
      <c r="O39" s="1" t="s">
        <v>3900</v>
      </c>
      <c r="Q39" s="2" t="s">
        <v>3901</v>
      </c>
      <c r="R39" s="6" t="s">
        <v>3902</v>
      </c>
    </row>
    <row r="40" spans="1:18" ht="75" x14ac:dyDescent="0.25">
      <c r="A40" s="1" t="s">
        <v>3903</v>
      </c>
      <c r="B40" s="1" t="s">
        <v>3904</v>
      </c>
      <c r="C40" s="1" t="s">
        <v>921</v>
      </c>
      <c r="D40" s="2" t="str">
        <f>"1466-447X"</f>
        <v>1466-447X</v>
      </c>
      <c r="F40" s="2" t="str">
        <f>"2015"</f>
        <v>2015</v>
      </c>
      <c r="G40" s="3">
        <v>33</v>
      </c>
      <c r="H40" s="3">
        <v>7</v>
      </c>
      <c r="I40" s="3">
        <v>754</v>
      </c>
      <c r="K40" s="2">
        <v>25412692</v>
      </c>
      <c r="L40" s="2" t="s">
        <v>3905</v>
      </c>
      <c r="M40" s="1" t="s">
        <v>923</v>
      </c>
      <c r="N40" s="1" t="s">
        <v>21</v>
      </c>
      <c r="O40" s="1" t="s">
        <v>3906</v>
      </c>
      <c r="Q40" s="2" t="s">
        <v>3907</v>
      </c>
      <c r="R40" s="6" t="s">
        <v>3908</v>
      </c>
    </row>
    <row r="41" spans="1:18" ht="45" x14ac:dyDescent="0.25">
      <c r="A41" s="1" t="s">
        <v>3909</v>
      </c>
      <c r="B41" s="1" t="s">
        <v>3910</v>
      </c>
      <c r="C41" s="1" t="s">
        <v>696</v>
      </c>
      <c r="D41" s="2" t="str">
        <f>"1439-3964"</f>
        <v>1439-3964</v>
      </c>
      <c r="F41" s="2" t="str">
        <f>"2015 Nov"</f>
        <v>2015 Nov</v>
      </c>
      <c r="G41" s="3">
        <v>36</v>
      </c>
      <c r="H41" s="3">
        <v>13</v>
      </c>
      <c r="I41" s="3">
        <v>1058</v>
      </c>
      <c r="K41" s="2">
        <v>26252551</v>
      </c>
      <c r="L41" s="2" t="s">
        <v>3911</v>
      </c>
      <c r="M41" s="1" t="s">
        <v>698</v>
      </c>
      <c r="N41" s="1" t="s">
        <v>21</v>
      </c>
      <c r="O41" s="1" t="s">
        <v>3912</v>
      </c>
      <c r="Q41" s="2" t="s">
        <v>3913</v>
      </c>
      <c r="R41" s="6" t="s">
        <v>3914</v>
      </c>
    </row>
    <row r="42" spans="1:18" ht="90" x14ac:dyDescent="0.25">
      <c r="A42" s="1" t="s">
        <v>3915</v>
      </c>
      <c r="B42" s="1" t="s">
        <v>3916</v>
      </c>
      <c r="C42" s="1" t="s">
        <v>921</v>
      </c>
      <c r="D42" s="2" t="str">
        <f>"1466-447X"</f>
        <v>1466-447X</v>
      </c>
      <c r="F42" s="2" t="str">
        <f>"2015"</f>
        <v>2015</v>
      </c>
      <c r="G42" s="3">
        <v>33</v>
      </c>
      <c r="H42" s="3">
        <v>11</v>
      </c>
      <c r="I42" s="3">
        <v>1101</v>
      </c>
      <c r="K42" s="2">
        <v>25510337</v>
      </c>
      <c r="L42" s="2" t="s">
        <v>3917</v>
      </c>
      <c r="M42" s="1" t="s">
        <v>923</v>
      </c>
      <c r="N42" s="1" t="s">
        <v>21</v>
      </c>
      <c r="O42" s="1" t="s">
        <v>3918</v>
      </c>
      <c r="Q42" s="2" t="s">
        <v>3919</v>
      </c>
      <c r="R42" s="6" t="s">
        <v>3920</v>
      </c>
    </row>
    <row r="43" spans="1:18" ht="90" x14ac:dyDescent="0.25">
      <c r="A43" s="1" t="s">
        <v>3921</v>
      </c>
      <c r="B43" s="1" t="s">
        <v>3922</v>
      </c>
      <c r="C43" s="1" t="s">
        <v>676</v>
      </c>
      <c r="D43" s="2" t="str">
        <f>"1932-6203"</f>
        <v>1932-6203</v>
      </c>
      <c r="F43" s="2" t="str">
        <f>"2015 Aug 11"</f>
        <v>2015 Aug 11</v>
      </c>
      <c r="G43" s="3">
        <v>10</v>
      </c>
      <c r="H43" s="3">
        <v>8</v>
      </c>
      <c r="I43" s="3" t="s">
        <v>3923</v>
      </c>
      <c r="K43" s="2">
        <v>26263553</v>
      </c>
      <c r="L43" s="2" t="s">
        <v>3924</v>
      </c>
      <c r="M43" s="1" t="s">
        <v>679</v>
      </c>
      <c r="N43" s="1" t="s">
        <v>21</v>
      </c>
      <c r="O43" s="1" t="s">
        <v>3925</v>
      </c>
      <c r="Q43" s="2" t="s">
        <v>3926</v>
      </c>
      <c r="R43" s="6" t="s">
        <v>3927</v>
      </c>
    </row>
    <row r="44" spans="1:18" ht="165" x14ac:dyDescent="0.25">
      <c r="A44" s="1" t="s">
        <v>3928</v>
      </c>
      <c r="B44" s="1" t="s">
        <v>3929</v>
      </c>
      <c r="C44" s="1" t="s">
        <v>82</v>
      </c>
      <c r="D44" s="2" t="str">
        <f>"1600-0838"</f>
        <v>1600-0838</v>
      </c>
      <c r="F44" s="2" t="str">
        <f>"2015 Jun"</f>
        <v>2015 Jun</v>
      </c>
      <c r="G44" s="3">
        <v>25</v>
      </c>
      <c r="H44" s="3">
        <v>3</v>
      </c>
      <c r="I44" s="3">
        <v>308</v>
      </c>
      <c r="K44" s="2">
        <v>25983242</v>
      </c>
      <c r="L44" s="2" t="s">
        <v>3930</v>
      </c>
      <c r="M44" s="1" t="s">
        <v>86</v>
      </c>
      <c r="N44" s="1" t="s">
        <v>924</v>
      </c>
      <c r="O44" s="1" t="s">
        <v>3931</v>
      </c>
      <c r="Q44" s="2" t="s">
        <v>3932</v>
      </c>
      <c r="R44" s="6" t="s">
        <v>3933</v>
      </c>
    </row>
    <row r="45" spans="1:18" ht="60" x14ac:dyDescent="0.25">
      <c r="A45" s="1" t="s">
        <v>3934</v>
      </c>
      <c r="B45" s="1" t="s">
        <v>3935</v>
      </c>
      <c r="C45" s="1" t="s">
        <v>133</v>
      </c>
      <c r="D45" s="2" t="str">
        <f>"1536-7290"</f>
        <v>1536-7290</v>
      </c>
      <c r="F45" s="2" t="str">
        <f>"2015"</f>
        <v>2015</v>
      </c>
      <c r="G45" s="3">
        <v>15</v>
      </c>
      <c r="H45" s="3">
        <v>1</v>
      </c>
      <c r="I45" s="3">
        <v>63</v>
      </c>
      <c r="K45" s="2">
        <v>25339255</v>
      </c>
      <c r="L45" s="2" t="s">
        <v>3936</v>
      </c>
      <c r="M45" s="1" t="s">
        <v>500</v>
      </c>
      <c r="N45" s="1" t="s">
        <v>21</v>
      </c>
      <c r="O45" s="1" t="s">
        <v>3937</v>
      </c>
      <c r="Q45" s="2" t="s">
        <v>3938</v>
      </c>
      <c r="R45" s="6" t="s">
        <v>3939</v>
      </c>
    </row>
    <row r="46" spans="1:18" ht="45" x14ac:dyDescent="0.25">
      <c r="A46" s="1" t="s">
        <v>3940</v>
      </c>
      <c r="B46" s="1" t="s">
        <v>3941</v>
      </c>
      <c r="C46" s="1" t="s">
        <v>3942</v>
      </c>
      <c r="D46" s="2" t="str">
        <f>"1532-1983"</f>
        <v>1532-1983</v>
      </c>
      <c r="F46" s="2" t="str">
        <f>"2015 Dec"</f>
        <v>2015 Dec</v>
      </c>
      <c r="G46" s="3">
        <v>34</v>
      </c>
      <c r="H46" s="3">
        <v>6</v>
      </c>
      <c r="I46" s="3">
        <v>1283</v>
      </c>
      <c r="K46" s="2">
        <v>26324015</v>
      </c>
      <c r="L46" s="2" t="s">
        <v>3943</v>
      </c>
      <c r="M46" s="1" t="s">
        <v>1835</v>
      </c>
      <c r="N46" s="1" t="s">
        <v>3006</v>
      </c>
      <c r="O46" s="1" t="s">
        <v>3944</v>
      </c>
      <c r="R46" s="6" t="s">
        <v>3945</v>
      </c>
    </row>
    <row r="47" spans="1:18" ht="120" x14ac:dyDescent="0.25">
      <c r="A47" s="1" t="s">
        <v>3946</v>
      </c>
      <c r="B47" s="1" t="s">
        <v>3947</v>
      </c>
      <c r="C47" s="1" t="s">
        <v>318</v>
      </c>
      <c r="D47" s="2" t="str">
        <f>"1555-0265"</f>
        <v>1555-0265</v>
      </c>
      <c r="F47" s="2" t="str">
        <f>"2015 Apr"</f>
        <v>2015 Apr</v>
      </c>
      <c r="G47" s="3">
        <v>10</v>
      </c>
      <c r="H47" s="3">
        <v>3</v>
      </c>
      <c r="I47" s="3">
        <v>311</v>
      </c>
      <c r="K47" s="2">
        <v>25203649</v>
      </c>
      <c r="L47" s="2" t="s">
        <v>3948</v>
      </c>
      <c r="M47" s="1" t="s">
        <v>322</v>
      </c>
      <c r="N47" s="1" t="s">
        <v>21</v>
      </c>
      <c r="O47" s="1" t="s">
        <v>3949</v>
      </c>
      <c r="Q47" s="2" t="s">
        <v>3950</v>
      </c>
      <c r="R47" s="6" t="s">
        <v>3951</v>
      </c>
    </row>
    <row r="48" spans="1:18" ht="150" x14ac:dyDescent="0.25">
      <c r="A48" s="1" t="s">
        <v>3952</v>
      </c>
      <c r="B48" s="1" t="s">
        <v>952</v>
      </c>
      <c r="C48" s="1" t="s">
        <v>444</v>
      </c>
      <c r="D48" s="2" t="str">
        <f>"1179-2035"</f>
        <v>1179-2035</v>
      </c>
      <c r="F48" s="2" t="str">
        <f>"2015 Nov"</f>
        <v>2015 Nov</v>
      </c>
      <c r="G48" s="3" t="s">
        <v>3953</v>
      </c>
      <c r="I48" s="3" t="s">
        <v>3954</v>
      </c>
      <c r="K48" s="2">
        <v>26553488</v>
      </c>
      <c r="L48" s="2" t="s">
        <v>3955</v>
      </c>
      <c r="M48" s="1" t="s">
        <v>446</v>
      </c>
      <c r="N48" s="1" t="s">
        <v>21</v>
      </c>
      <c r="O48" s="1" t="s">
        <v>3956</v>
      </c>
      <c r="Q48" s="2" t="s">
        <v>3957</v>
      </c>
      <c r="R48" s="6" t="s">
        <v>3958</v>
      </c>
    </row>
    <row r="49" spans="1:18" ht="75" x14ac:dyDescent="0.25">
      <c r="A49" s="1" t="s">
        <v>3959</v>
      </c>
      <c r="B49" s="1" t="s">
        <v>3960</v>
      </c>
      <c r="C49" s="1" t="s">
        <v>1953</v>
      </c>
      <c r="D49" s="2" t="str">
        <f>"1303-2968"</f>
        <v>1303-2968</v>
      </c>
      <c r="F49" s="2" t="str">
        <f>"2015 Mar 01"</f>
        <v>2015 Mar 01</v>
      </c>
      <c r="G49" s="3">
        <v>14</v>
      </c>
      <c r="H49" s="3">
        <v>1</v>
      </c>
      <c r="I49" s="3">
        <v>98</v>
      </c>
      <c r="K49" s="2">
        <v>25729296</v>
      </c>
      <c r="M49" s="1" t="s">
        <v>1954</v>
      </c>
      <c r="N49" s="1" t="s">
        <v>21</v>
      </c>
      <c r="Q49" s="2" t="s">
        <v>3961</v>
      </c>
      <c r="R49" s="6" t="s">
        <v>3962</v>
      </c>
    </row>
    <row r="50" spans="1:18" ht="45" x14ac:dyDescent="0.25">
      <c r="A50" s="1" t="s">
        <v>3963</v>
      </c>
      <c r="B50" s="1" t="s">
        <v>3964</v>
      </c>
      <c r="C50" s="1" t="s">
        <v>1953</v>
      </c>
      <c r="D50" s="2" t="str">
        <f>"1303-2968"</f>
        <v>1303-2968</v>
      </c>
      <c r="F50" s="2" t="str">
        <f>"2015 Mar 01"</f>
        <v>2015 Mar 01</v>
      </c>
      <c r="G50" s="3">
        <v>14</v>
      </c>
      <c r="H50" s="3">
        <v>1</v>
      </c>
      <c r="I50" s="3">
        <v>203</v>
      </c>
      <c r="K50" s="2">
        <v>25729309</v>
      </c>
      <c r="M50" s="1" t="s">
        <v>1954</v>
      </c>
      <c r="N50" s="1" t="s">
        <v>21</v>
      </c>
      <c r="Q50" s="2" t="s">
        <v>3965</v>
      </c>
      <c r="R50" s="6" t="s">
        <v>3966</v>
      </c>
    </row>
    <row r="51" spans="1:18" ht="45" x14ac:dyDescent="0.25">
      <c r="A51" s="1" t="s">
        <v>1873</v>
      </c>
      <c r="B51" s="1" t="s">
        <v>3856</v>
      </c>
      <c r="C51" s="1" t="s">
        <v>797</v>
      </c>
      <c r="D51" s="2" t="str">
        <f>"1530-0315"</f>
        <v>1530-0315</v>
      </c>
      <c r="F51" s="2" t="str">
        <f>"2015 Apr"</f>
        <v>2015 Apr</v>
      </c>
      <c r="G51" s="3">
        <v>47</v>
      </c>
      <c r="H51" s="3">
        <v>4</v>
      </c>
      <c r="I51" s="3">
        <v>886</v>
      </c>
      <c r="K51" s="2">
        <v>25783667</v>
      </c>
      <c r="L51" s="2" t="s">
        <v>3967</v>
      </c>
      <c r="M51" s="1" t="s">
        <v>156</v>
      </c>
      <c r="N51" s="1" t="s">
        <v>3006</v>
      </c>
      <c r="O51" s="1" t="s">
        <v>3858</v>
      </c>
      <c r="R51" s="6" t="s">
        <v>3968</v>
      </c>
    </row>
    <row r="52" spans="1:18" ht="60" x14ac:dyDescent="0.25">
      <c r="A52" s="1" t="s">
        <v>3969</v>
      </c>
      <c r="B52" s="1" t="s">
        <v>3970</v>
      </c>
      <c r="C52" s="1" t="s">
        <v>46</v>
      </c>
      <c r="D52" s="2" t="str">
        <f>"1439-6327"</f>
        <v>1439-6327</v>
      </c>
      <c r="F52" s="2" t="str">
        <f>"2015 Feb"</f>
        <v>2015 Feb</v>
      </c>
      <c r="G52" s="3">
        <v>115</v>
      </c>
      <c r="H52" s="3">
        <v>2</v>
      </c>
      <c r="I52" s="3">
        <v>407</v>
      </c>
      <c r="K52" s="2">
        <v>25344053</v>
      </c>
      <c r="L52" s="2" t="s">
        <v>3971</v>
      </c>
      <c r="M52" s="1" t="s">
        <v>50</v>
      </c>
      <c r="N52" s="1" t="s">
        <v>21</v>
      </c>
      <c r="O52" s="1" t="s">
        <v>3972</v>
      </c>
      <c r="Q52" s="2" t="s">
        <v>3973</v>
      </c>
      <c r="R52" s="6" t="s">
        <v>3974</v>
      </c>
    </row>
    <row r="53" spans="1:18" ht="120" x14ac:dyDescent="0.25">
      <c r="A53" s="1" t="s">
        <v>3975</v>
      </c>
      <c r="B53" s="1" t="s">
        <v>3976</v>
      </c>
      <c r="C53" s="1" t="s">
        <v>444</v>
      </c>
      <c r="D53" s="2" t="str">
        <f>"1179-2035"</f>
        <v>1179-2035</v>
      </c>
      <c r="F53" s="2" t="str">
        <f>"2015 Nov"</f>
        <v>2015 Nov</v>
      </c>
      <c r="G53" s="3">
        <v>45</v>
      </c>
      <c r="H53" s="3">
        <v>11</v>
      </c>
      <c r="I53" s="3">
        <v>1547</v>
      </c>
      <c r="K53" s="2">
        <v>26275673</v>
      </c>
      <c r="L53" s="2" t="s">
        <v>3977</v>
      </c>
      <c r="M53" s="1" t="s">
        <v>446</v>
      </c>
      <c r="N53" s="1" t="s">
        <v>21</v>
      </c>
      <c r="O53" s="1" t="s">
        <v>3978</v>
      </c>
      <c r="Q53" s="2" t="s">
        <v>3979</v>
      </c>
      <c r="R53" s="6" t="s">
        <v>3980</v>
      </c>
    </row>
    <row r="54" spans="1:18" ht="60" x14ac:dyDescent="0.25">
      <c r="A54" s="1" t="s">
        <v>3981</v>
      </c>
      <c r="B54" s="1" t="s">
        <v>3982</v>
      </c>
      <c r="C54" s="1" t="s">
        <v>102</v>
      </c>
      <c r="D54" s="2" t="str">
        <f>"1473-0480"</f>
        <v>1473-0480</v>
      </c>
      <c r="F54" s="2" t="str">
        <f>"2015 Jun"</f>
        <v>2015 Jun</v>
      </c>
      <c r="G54" s="3">
        <v>49</v>
      </c>
      <c r="H54" s="3">
        <v>12</v>
      </c>
      <c r="I54" s="3">
        <v>766</v>
      </c>
      <c r="K54" s="2">
        <v>26031641</v>
      </c>
      <c r="L54" s="2" t="s">
        <v>3983</v>
      </c>
      <c r="M54" s="1" t="s">
        <v>106</v>
      </c>
      <c r="N54" s="1" t="s">
        <v>633</v>
      </c>
      <c r="O54" s="1" t="s">
        <v>3984</v>
      </c>
      <c r="R54" s="6" t="s">
        <v>3985</v>
      </c>
    </row>
    <row r="55" spans="1:18" ht="135" x14ac:dyDescent="0.25">
      <c r="A55" s="1" t="s">
        <v>3986</v>
      </c>
      <c r="B55" s="1" t="s">
        <v>3987</v>
      </c>
      <c r="C55" s="1" t="s">
        <v>444</v>
      </c>
      <c r="D55" s="2" t="str">
        <f>"1179-2035"</f>
        <v>1179-2035</v>
      </c>
      <c r="F55" s="2" t="str">
        <f>"2015 Oct"</f>
        <v>2015 Oct</v>
      </c>
      <c r="G55" s="3">
        <v>45</v>
      </c>
      <c r="H55" s="3">
        <v>10</v>
      </c>
      <c r="I55" s="3">
        <v>1387</v>
      </c>
      <c r="K55" s="2">
        <v>26206724</v>
      </c>
      <c r="L55" s="2" t="s">
        <v>3988</v>
      </c>
      <c r="M55" s="1" t="s">
        <v>446</v>
      </c>
      <c r="N55" s="1" t="s">
        <v>21</v>
      </c>
      <c r="O55" s="1" t="s">
        <v>3989</v>
      </c>
      <c r="Q55" s="2" t="s">
        <v>3990</v>
      </c>
      <c r="R55" s="6" t="s">
        <v>3991</v>
      </c>
    </row>
    <row r="56" spans="1:18" ht="165" x14ac:dyDescent="0.25">
      <c r="A56" s="1" t="s">
        <v>3992</v>
      </c>
      <c r="B56" s="1" t="s">
        <v>3993</v>
      </c>
      <c r="C56" s="1" t="s">
        <v>676</v>
      </c>
      <c r="D56" s="2" t="str">
        <f>"1932-6203"</f>
        <v>1932-6203</v>
      </c>
      <c r="F56" s="2" t="str">
        <f>"2015 May 13"</f>
        <v>2015 May 13</v>
      </c>
      <c r="G56" s="3">
        <v>10</v>
      </c>
      <c r="H56" s="3">
        <v>5</v>
      </c>
      <c r="I56" s="3" t="s">
        <v>3994</v>
      </c>
      <c r="K56" s="2">
        <v>25970439</v>
      </c>
      <c r="L56" s="2" t="s">
        <v>3995</v>
      </c>
      <c r="M56" s="1" t="s">
        <v>679</v>
      </c>
      <c r="N56" s="1" t="s">
        <v>21</v>
      </c>
      <c r="O56" s="1" t="s">
        <v>3996</v>
      </c>
      <c r="Q56" s="2" t="s">
        <v>3997</v>
      </c>
      <c r="R56" s="6" t="s">
        <v>3998</v>
      </c>
    </row>
    <row r="57" spans="1:18" ht="105" x14ac:dyDescent="0.25">
      <c r="A57" s="1" t="s">
        <v>3999</v>
      </c>
      <c r="B57" s="1" t="s">
        <v>4000</v>
      </c>
      <c r="C57" s="1" t="s">
        <v>133</v>
      </c>
      <c r="D57" s="2" t="str">
        <f>"1536-7290"</f>
        <v>1536-7290</v>
      </c>
      <c r="F57" s="2" t="str">
        <f>"2015"</f>
        <v>2015</v>
      </c>
      <c r="G57" s="3">
        <v>15</v>
      </c>
      <c r="H57" s="3">
        <v>1</v>
      </c>
      <c r="I57" s="3">
        <v>29</v>
      </c>
      <c r="K57" s="2">
        <v>25345670</v>
      </c>
      <c r="L57" s="2" t="s">
        <v>4001</v>
      </c>
      <c r="M57" s="1" t="s">
        <v>500</v>
      </c>
      <c r="N57" s="1" t="s">
        <v>21</v>
      </c>
      <c r="O57" s="1" t="s">
        <v>4002</v>
      </c>
      <c r="Q57" s="2" t="s">
        <v>4003</v>
      </c>
      <c r="R57" s="6" t="s">
        <v>4004</v>
      </c>
    </row>
    <row r="58" spans="1:18" ht="75" x14ac:dyDescent="0.25">
      <c r="A58" s="1" t="s">
        <v>4005</v>
      </c>
      <c r="B58" s="1" t="s">
        <v>3308</v>
      </c>
      <c r="C58" s="1" t="s">
        <v>907</v>
      </c>
      <c r="D58" s="2" t="str">
        <f>"2044-6055"</f>
        <v>2044-6055</v>
      </c>
      <c r="F58" s="2" t="str">
        <f>"2015 Aug 21"</f>
        <v>2015 Aug 21</v>
      </c>
      <c r="G58" s="3">
        <v>5</v>
      </c>
      <c r="H58" s="3">
        <v>8</v>
      </c>
      <c r="I58" s="3" t="s">
        <v>4006</v>
      </c>
      <c r="K58" s="2">
        <v>26297368</v>
      </c>
      <c r="L58" s="2" t="s">
        <v>4007</v>
      </c>
      <c r="M58" s="1" t="s">
        <v>70</v>
      </c>
      <c r="N58" s="1" t="s">
        <v>21</v>
      </c>
      <c r="O58" s="1" t="s">
        <v>4008</v>
      </c>
      <c r="Q58" s="2" t="s">
        <v>4009</v>
      </c>
      <c r="R58" s="6" t="s">
        <v>4010</v>
      </c>
    </row>
    <row r="59" spans="1:18" ht="60" x14ac:dyDescent="0.25">
      <c r="A59" s="1" t="s">
        <v>4011</v>
      </c>
      <c r="B59" s="1" t="s">
        <v>3723</v>
      </c>
      <c r="C59" s="1" t="s">
        <v>1687</v>
      </c>
      <c r="D59" s="2" t="str">
        <f>"1543-2688"</f>
        <v>1543-2688</v>
      </c>
      <c r="F59" s="2" t="str">
        <f>"2015 Feb"</f>
        <v>2015 Feb</v>
      </c>
      <c r="G59" s="3">
        <v>31</v>
      </c>
      <c r="H59" s="3">
        <v>1</v>
      </c>
      <c r="I59" s="3">
        <v>62</v>
      </c>
      <c r="K59" s="2">
        <v>25268512</v>
      </c>
      <c r="L59" s="2" t="s">
        <v>4012</v>
      </c>
      <c r="M59" s="1" t="s">
        <v>40</v>
      </c>
      <c r="N59" s="1" t="s">
        <v>21</v>
      </c>
      <c r="O59" s="1" t="s">
        <v>4013</v>
      </c>
      <c r="Q59" s="2" t="s">
        <v>4014</v>
      </c>
      <c r="R59" s="6" t="s">
        <v>4015</v>
      </c>
    </row>
    <row r="60" spans="1:18" ht="30" x14ac:dyDescent="0.25">
      <c r="A60" s="1" t="s">
        <v>4016</v>
      </c>
      <c r="B60" s="1" t="s">
        <v>1260</v>
      </c>
      <c r="C60" s="1" t="s">
        <v>3383</v>
      </c>
      <c r="D60" s="2" t="str">
        <f>"0312-8008"</f>
        <v>0312-8008</v>
      </c>
      <c r="F60" s="2" t="str">
        <f>"2015 Oct"</f>
        <v>2015 Oct</v>
      </c>
      <c r="G60" s="3">
        <v>38</v>
      </c>
      <c r="H60" s="3">
        <v>5</v>
      </c>
      <c r="I60" s="3">
        <v>167</v>
      </c>
      <c r="K60" s="2">
        <v>26648655</v>
      </c>
      <c r="L60" s="2" t="s">
        <v>4017</v>
      </c>
      <c r="M60" s="1" t="s">
        <v>3385</v>
      </c>
      <c r="N60" s="1" t="s">
        <v>21</v>
      </c>
      <c r="Q60" s="2" t="s">
        <v>4018</v>
      </c>
      <c r="R60" s="6" t="s">
        <v>4019</v>
      </c>
    </row>
    <row r="61" spans="1:18" ht="90" x14ac:dyDescent="0.25">
      <c r="A61" s="1" t="s">
        <v>4020</v>
      </c>
      <c r="B61" s="1" t="s">
        <v>3696</v>
      </c>
      <c r="C61" s="1" t="s">
        <v>46</v>
      </c>
      <c r="D61" s="2" t="str">
        <f>"1439-6327"</f>
        <v>1439-6327</v>
      </c>
      <c r="F61" s="2" t="str">
        <f>"2015 Oct"</f>
        <v>2015 Oct</v>
      </c>
      <c r="G61" s="3">
        <v>115</v>
      </c>
      <c r="H61" s="3">
        <v>10</v>
      </c>
      <c r="I61" s="3">
        <v>2215</v>
      </c>
      <c r="K61" s="2">
        <v>26084589</v>
      </c>
      <c r="L61" s="2" t="s">
        <v>4021</v>
      </c>
      <c r="M61" s="1" t="s">
        <v>50</v>
      </c>
      <c r="N61" s="1" t="s">
        <v>21</v>
      </c>
      <c r="O61" s="1" t="s">
        <v>4022</v>
      </c>
      <c r="Q61" s="2" t="s">
        <v>4023</v>
      </c>
      <c r="R61" s="6" t="s">
        <v>4024</v>
      </c>
    </row>
    <row r="62" spans="1:18" ht="150" x14ac:dyDescent="0.25">
      <c r="A62" s="1" t="s">
        <v>4025</v>
      </c>
      <c r="B62" s="1" t="s">
        <v>4026</v>
      </c>
      <c r="C62" s="1" t="s">
        <v>797</v>
      </c>
      <c r="D62" s="2" t="str">
        <f>"1530-0315"</f>
        <v>1530-0315</v>
      </c>
      <c r="F62" s="2" t="str">
        <f>"2015 Apr"</f>
        <v>2015 Apr</v>
      </c>
      <c r="G62" s="3">
        <v>47</v>
      </c>
      <c r="H62" s="3">
        <v>4</v>
      </c>
      <c r="I62" s="3">
        <v>698</v>
      </c>
      <c r="K62" s="2">
        <v>25100341</v>
      </c>
      <c r="L62" s="2" t="s">
        <v>4027</v>
      </c>
      <c r="M62" s="1" t="s">
        <v>156</v>
      </c>
      <c r="N62" s="1" t="s">
        <v>21</v>
      </c>
      <c r="O62" s="1" t="s">
        <v>4028</v>
      </c>
      <c r="Q62" s="2" t="s">
        <v>4029</v>
      </c>
      <c r="R62" s="6" t="s">
        <v>4030</v>
      </c>
    </row>
    <row r="63" spans="1:18" ht="90" x14ac:dyDescent="0.25">
      <c r="A63" s="1" t="s">
        <v>4031</v>
      </c>
      <c r="B63" s="1" t="s">
        <v>4032</v>
      </c>
      <c r="C63" s="1" t="s">
        <v>55</v>
      </c>
      <c r="D63" s="2" t="str">
        <f>"1878-1861"</f>
        <v>1878-1861</v>
      </c>
      <c r="F63" s="2" t="str">
        <f>"2015 Jan"</f>
        <v>2015 Jan</v>
      </c>
      <c r="G63" s="3">
        <v>18</v>
      </c>
      <c r="H63" s="3">
        <v>1</v>
      </c>
      <c r="I63" s="3">
        <v>13</v>
      </c>
      <c r="K63" s="2">
        <v>24629327</v>
      </c>
      <c r="L63" s="2" t="s">
        <v>4033</v>
      </c>
      <c r="M63" s="1" t="s">
        <v>59</v>
      </c>
      <c r="N63" s="1" t="s">
        <v>21</v>
      </c>
      <c r="O63" s="1" t="s">
        <v>4034</v>
      </c>
      <c r="Q63" s="2" t="s">
        <v>4035</v>
      </c>
      <c r="R63" s="6" t="s">
        <v>4036</v>
      </c>
    </row>
    <row r="64" spans="1:18" ht="90" x14ac:dyDescent="0.25">
      <c r="A64" s="1" t="s">
        <v>4037</v>
      </c>
      <c r="B64" s="1" t="s">
        <v>4038</v>
      </c>
      <c r="C64" s="1" t="s">
        <v>16</v>
      </c>
      <c r="D64" s="2" t="str">
        <f>"1752-6116"</f>
        <v>1752-6116</v>
      </c>
      <c r="F64" s="2" t="str">
        <f>"2015"</f>
        <v>2015</v>
      </c>
      <c r="G64" s="3">
        <v>14</v>
      </c>
      <c r="H64" s="3">
        <v>4</v>
      </c>
      <c r="I64" s="3">
        <v>435</v>
      </c>
      <c r="K64" s="2">
        <v>26573098</v>
      </c>
      <c r="L64" s="2" t="s">
        <v>4039</v>
      </c>
      <c r="M64" s="1" t="s">
        <v>20</v>
      </c>
      <c r="N64" s="1" t="s">
        <v>21</v>
      </c>
      <c r="O64" s="1" t="s">
        <v>4040</v>
      </c>
      <c r="Q64" s="2" t="s">
        <v>4041</v>
      </c>
      <c r="R64" s="6" t="s">
        <v>4042</v>
      </c>
    </row>
    <row r="65" spans="1:18" ht="75" x14ac:dyDescent="0.25">
      <c r="A65" s="1" t="s">
        <v>4043</v>
      </c>
      <c r="B65" s="1" t="s">
        <v>4044</v>
      </c>
      <c r="C65" s="1" t="s">
        <v>82</v>
      </c>
      <c r="D65" s="2" t="str">
        <f>"1600-0838"</f>
        <v>1600-0838</v>
      </c>
      <c r="F65" s="2" t="str">
        <f>"2015 Apr"</f>
        <v>2015 Apr</v>
      </c>
      <c r="G65" s="3">
        <v>25</v>
      </c>
      <c r="H65" s="3">
        <v>2</v>
      </c>
      <c r="I65" s="3">
        <v>265</v>
      </c>
      <c r="K65" s="2">
        <v>24422682</v>
      </c>
      <c r="L65" s="2" t="s">
        <v>4045</v>
      </c>
      <c r="M65" s="1" t="s">
        <v>86</v>
      </c>
      <c r="N65" s="1" t="s">
        <v>924</v>
      </c>
      <c r="O65" s="1" t="s">
        <v>4046</v>
      </c>
      <c r="Q65" s="2" t="s">
        <v>4047</v>
      </c>
      <c r="R65" s="6" t="s">
        <v>4048</v>
      </c>
    </row>
    <row r="66" spans="1:18" ht="135" x14ac:dyDescent="0.25">
      <c r="A66" s="1" t="s">
        <v>4049</v>
      </c>
      <c r="B66" s="1" t="s">
        <v>4050</v>
      </c>
      <c r="C66" s="1" t="s">
        <v>444</v>
      </c>
      <c r="D66" s="2" t="str">
        <f>"1179-2035"</f>
        <v>1179-2035</v>
      </c>
      <c r="F66" s="2" t="str">
        <f>"2015 Nov"</f>
        <v>2015 Nov</v>
      </c>
      <c r="G66" s="3">
        <v>45</v>
      </c>
      <c r="H66" s="3">
        <v>11</v>
      </c>
      <c r="I66" s="3">
        <v>1523</v>
      </c>
      <c r="K66" s="2">
        <v>26400696</v>
      </c>
      <c r="L66" s="2" t="s">
        <v>4051</v>
      </c>
      <c r="M66" s="1" t="s">
        <v>446</v>
      </c>
      <c r="N66" s="1" t="s">
        <v>21</v>
      </c>
      <c r="O66" s="1" t="s">
        <v>4052</v>
      </c>
      <c r="Q66" s="2" t="s">
        <v>4053</v>
      </c>
      <c r="R66" s="6" t="s">
        <v>4054</v>
      </c>
    </row>
    <row r="67" spans="1:18" ht="60" x14ac:dyDescent="0.25">
      <c r="A67" s="1" t="s">
        <v>4055</v>
      </c>
      <c r="B67" s="1" t="s">
        <v>4056</v>
      </c>
      <c r="C67" s="1" t="s">
        <v>318</v>
      </c>
      <c r="D67" s="2" t="str">
        <f>"1555-0265"</f>
        <v>1555-0265</v>
      </c>
      <c r="F67" s="2" t="str">
        <f>"2015 Mar"</f>
        <v>2015 Mar</v>
      </c>
      <c r="G67" s="3">
        <v>10</v>
      </c>
      <c r="H67" s="3">
        <v>2</v>
      </c>
      <c r="I67" s="3">
        <v>137</v>
      </c>
      <c r="K67" s="2">
        <v>25695553</v>
      </c>
      <c r="L67" s="2" t="s">
        <v>4057</v>
      </c>
      <c r="M67" s="1" t="s">
        <v>322</v>
      </c>
      <c r="N67" s="1" t="s">
        <v>633</v>
      </c>
      <c r="O67" s="1" t="s">
        <v>4058</v>
      </c>
      <c r="R67" s="6" t="s">
        <v>4059</v>
      </c>
    </row>
  </sheetData>
  <hyperlinks>
    <hyperlink ref="R2" r:id="rId1" xr:uid="{00000000-0004-0000-0400-000000000000}"/>
    <hyperlink ref="R3" r:id="rId2" xr:uid="{00000000-0004-0000-0400-000001000000}"/>
    <hyperlink ref="R4" r:id="rId3" xr:uid="{00000000-0004-0000-0400-000002000000}"/>
    <hyperlink ref="R5" r:id="rId4" xr:uid="{00000000-0004-0000-0400-000003000000}"/>
    <hyperlink ref="R6" r:id="rId5" xr:uid="{00000000-0004-0000-0400-000004000000}"/>
    <hyperlink ref="R7" r:id="rId6" xr:uid="{00000000-0004-0000-0400-000005000000}"/>
    <hyperlink ref="R8" r:id="rId7" xr:uid="{00000000-0004-0000-0400-000006000000}"/>
    <hyperlink ref="R9" r:id="rId8" xr:uid="{00000000-0004-0000-0400-000007000000}"/>
    <hyperlink ref="R10" r:id="rId9" xr:uid="{00000000-0004-0000-0400-000008000000}"/>
    <hyperlink ref="R11" r:id="rId10" xr:uid="{00000000-0004-0000-0400-000009000000}"/>
    <hyperlink ref="R12" r:id="rId11" xr:uid="{00000000-0004-0000-0400-00000A000000}"/>
    <hyperlink ref="R13" r:id="rId12" xr:uid="{00000000-0004-0000-0400-00000B000000}"/>
    <hyperlink ref="R14" r:id="rId13" xr:uid="{00000000-0004-0000-0400-00000C000000}"/>
    <hyperlink ref="R15" r:id="rId14" xr:uid="{00000000-0004-0000-0400-00000D000000}"/>
    <hyperlink ref="R16" r:id="rId15" xr:uid="{00000000-0004-0000-0400-00000E000000}"/>
    <hyperlink ref="R17" r:id="rId16" xr:uid="{00000000-0004-0000-0400-00000F000000}"/>
    <hyperlink ref="R18" r:id="rId17" xr:uid="{00000000-0004-0000-0400-000010000000}"/>
    <hyperlink ref="R19" r:id="rId18" xr:uid="{00000000-0004-0000-0400-000011000000}"/>
    <hyperlink ref="R20" r:id="rId19" xr:uid="{00000000-0004-0000-0400-000012000000}"/>
    <hyperlink ref="R21" r:id="rId20" xr:uid="{00000000-0004-0000-0400-000013000000}"/>
    <hyperlink ref="R22" r:id="rId21" xr:uid="{00000000-0004-0000-0400-000014000000}"/>
    <hyperlink ref="R23" r:id="rId22" xr:uid="{00000000-0004-0000-0400-000015000000}"/>
    <hyperlink ref="R24" r:id="rId23" xr:uid="{00000000-0004-0000-0400-000016000000}"/>
    <hyperlink ref="R25" r:id="rId24" xr:uid="{00000000-0004-0000-0400-000017000000}"/>
    <hyperlink ref="R26" r:id="rId25" xr:uid="{00000000-0004-0000-0400-000018000000}"/>
    <hyperlink ref="R27" r:id="rId26" xr:uid="{00000000-0004-0000-0400-000019000000}"/>
    <hyperlink ref="R28" r:id="rId27" xr:uid="{00000000-0004-0000-0400-00001A000000}"/>
    <hyperlink ref="R29" r:id="rId28" xr:uid="{00000000-0004-0000-0400-00001B000000}"/>
    <hyperlink ref="R30" r:id="rId29" xr:uid="{00000000-0004-0000-0400-00001C000000}"/>
    <hyperlink ref="R31" r:id="rId30" xr:uid="{00000000-0004-0000-0400-00001D000000}"/>
    <hyperlink ref="R32" r:id="rId31" xr:uid="{00000000-0004-0000-0400-00001E000000}"/>
    <hyperlink ref="R33" r:id="rId32" xr:uid="{00000000-0004-0000-0400-00001F000000}"/>
    <hyperlink ref="R34" r:id="rId33" xr:uid="{00000000-0004-0000-0400-000020000000}"/>
    <hyperlink ref="R35" r:id="rId34" xr:uid="{00000000-0004-0000-0400-000021000000}"/>
    <hyperlink ref="R36" r:id="rId35" xr:uid="{00000000-0004-0000-0400-000022000000}"/>
    <hyperlink ref="R37" r:id="rId36" xr:uid="{00000000-0004-0000-0400-000023000000}"/>
    <hyperlink ref="R38" r:id="rId37" xr:uid="{00000000-0004-0000-0400-000024000000}"/>
    <hyperlink ref="R39" r:id="rId38" xr:uid="{00000000-0004-0000-0400-000025000000}"/>
    <hyperlink ref="R40" r:id="rId39" xr:uid="{00000000-0004-0000-0400-000026000000}"/>
    <hyperlink ref="R41" r:id="rId40" xr:uid="{00000000-0004-0000-0400-000027000000}"/>
    <hyperlink ref="R42" r:id="rId41" xr:uid="{00000000-0004-0000-0400-000028000000}"/>
    <hyperlink ref="R43" r:id="rId42" xr:uid="{00000000-0004-0000-0400-000029000000}"/>
    <hyperlink ref="R44" r:id="rId43" xr:uid="{00000000-0004-0000-0400-00002A000000}"/>
    <hyperlink ref="R45" r:id="rId44" xr:uid="{00000000-0004-0000-0400-00002B000000}"/>
    <hyperlink ref="R46" r:id="rId45" xr:uid="{00000000-0004-0000-0400-00002C000000}"/>
    <hyperlink ref="R47" r:id="rId46" xr:uid="{00000000-0004-0000-0400-00002D000000}"/>
    <hyperlink ref="R48" r:id="rId47" xr:uid="{00000000-0004-0000-0400-00002E000000}"/>
    <hyperlink ref="R49" r:id="rId48" xr:uid="{00000000-0004-0000-0400-00002F000000}"/>
    <hyperlink ref="R50" r:id="rId49" xr:uid="{00000000-0004-0000-0400-000030000000}"/>
    <hyperlink ref="R51" r:id="rId50" xr:uid="{00000000-0004-0000-0400-000031000000}"/>
    <hyperlink ref="R52" r:id="rId51" xr:uid="{00000000-0004-0000-0400-000032000000}"/>
    <hyperlink ref="R53" r:id="rId52" xr:uid="{00000000-0004-0000-0400-000033000000}"/>
    <hyperlink ref="R54" r:id="rId53" xr:uid="{00000000-0004-0000-0400-000034000000}"/>
    <hyperlink ref="R55" r:id="rId54" xr:uid="{00000000-0004-0000-0400-000035000000}"/>
    <hyperlink ref="R56" r:id="rId55" xr:uid="{00000000-0004-0000-0400-000036000000}"/>
    <hyperlink ref="R57" r:id="rId56" xr:uid="{00000000-0004-0000-0400-000037000000}"/>
    <hyperlink ref="R58" r:id="rId57" xr:uid="{00000000-0004-0000-0400-000038000000}"/>
    <hyperlink ref="R59" r:id="rId58" xr:uid="{00000000-0004-0000-0400-000039000000}"/>
    <hyperlink ref="R60" r:id="rId59" xr:uid="{00000000-0004-0000-0400-00003A000000}"/>
    <hyperlink ref="R61" r:id="rId60" xr:uid="{00000000-0004-0000-0400-00003B000000}"/>
    <hyperlink ref="R62" r:id="rId61" xr:uid="{00000000-0004-0000-0400-00003C000000}"/>
    <hyperlink ref="R63" r:id="rId62" xr:uid="{00000000-0004-0000-0400-00003D000000}"/>
    <hyperlink ref="R64" r:id="rId63" xr:uid="{00000000-0004-0000-0400-00003E000000}"/>
    <hyperlink ref="R65" r:id="rId64" xr:uid="{00000000-0004-0000-0400-00003F000000}"/>
    <hyperlink ref="R66" r:id="rId65" xr:uid="{00000000-0004-0000-0400-000040000000}"/>
    <hyperlink ref="R67" r:id="rId66" xr:uid="{00000000-0004-0000-0400-000041000000}"/>
  </hyperlinks>
  <pageMargins left="0.7" right="0.7" top="0.75" bottom="0.75" header="0.3" footer="0.3"/>
  <headerFooter>
    <oddHeader>&amp;C&amp;"Calibri"&amp;12&amp;KFF0000 OFFICIAL&amp;1#_x000D_</oddHeader>
  </headerFooter>
  <tableParts count="1">
    <tablePart r:id="rId67"/>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50"/>
  <sheetViews>
    <sheetView workbookViewId="0">
      <selection activeCell="R51" sqref="R51"/>
    </sheetView>
  </sheetViews>
  <sheetFormatPr defaultColWidth="8.7109375" defaultRowHeight="15" x14ac:dyDescent="0.25"/>
  <cols>
    <col min="1" max="1" width="33.7109375" style="1" customWidth="1"/>
    <col min="2" max="2" width="28.42578125" style="1" customWidth="1"/>
    <col min="3" max="3" width="35.28515625" style="1" customWidth="1"/>
    <col min="4" max="4" width="9.42578125" style="2" bestFit="1" customWidth="1"/>
    <col min="5" max="5" width="0" style="2" hidden="1" customWidth="1"/>
    <col min="6" max="6" width="16.85546875" style="2" customWidth="1"/>
    <col min="7" max="7" width="9.42578125" style="3" customWidth="1"/>
    <col min="8" max="8" width="8.7109375" style="3"/>
    <col min="9" max="9" width="11.140625" style="3" customWidth="1"/>
    <col min="10" max="10" width="12.42578125" style="2" hidden="1" customWidth="1"/>
    <col min="11" max="11" width="18.42578125" style="2" hidden="1" customWidth="1"/>
    <col min="12" max="12" width="28.7109375" style="2" bestFit="1" customWidth="1"/>
    <col min="13" max="13" width="31.85546875" style="2" customWidth="1"/>
    <col min="14" max="14" width="17.140625" style="2" bestFit="1" customWidth="1"/>
    <col min="15" max="15" width="35.42578125" style="1" customWidth="1"/>
    <col min="16" max="16" width="11.140625" style="2" hidden="1" customWidth="1"/>
    <col min="17" max="17" width="37.85546875" style="2" customWidth="1"/>
    <col min="18" max="18" width="21.710937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105" x14ac:dyDescent="0.25">
      <c r="A2" s="1" t="s">
        <v>4060</v>
      </c>
      <c r="B2" s="1" t="s">
        <v>4061</v>
      </c>
      <c r="C2" s="1" t="s">
        <v>1687</v>
      </c>
      <c r="D2" s="2" t="str">
        <f>"1543-2688"</f>
        <v>1543-2688</v>
      </c>
      <c r="F2" s="2" t="str">
        <f>"2014 Feb"</f>
        <v>2014 Feb</v>
      </c>
      <c r="G2" s="3">
        <v>30</v>
      </c>
      <c r="H2" s="3">
        <v>1</v>
      </c>
      <c r="I2" s="3">
        <v>119</v>
      </c>
      <c r="K2" s="2">
        <v>24676518</v>
      </c>
      <c r="L2" s="2" t="s">
        <v>4062</v>
      </c>
      <c r="M2" s="2" t="s">
        <v>40</v>
      </c>
      <c r="N2" s="2" t="s">
        <v>21</v>
      </c>
      <c r="O2" s="1" t="s">
        <v>4063</v>
      </c>
      <c r="Q2" s="2" t="s">
        <v>4064</v>
      </c>
      <c r="R2" s="6" t="s">
        <v>4065</v>
      </c>
    </row>
    <row r="3" spans="1:18" x14ac:dyDescent="0.25">
      <c r="A3" s="1" t="s">
        <v>4066</v>
      </c>
      <c r="B3" s="1" t="s">
        <v>1260</v>
      </c>
      <c r="C3" s="1" t="s">
        <v>2009</v>
      </c>
      <c r="D3" s="2" t="str">
        <f>"1326-5377"</f>
        <v>1326-5377</v>
      </c>
      <c r="F3" s="2" t="str">
        <f>"2014 May 05"</f>
        <v>2014 May 05</v>
      </c>
      <c r="G3" s="3">
        <v>200</v>
      </c>
      <c r="H3" s="3">
        <v>8</v>
      </c>
      <c r="I3" s="3">
        <v>460</v>
      </c>
      <c r="K3" s="2">
        <v>24794606</v>
      </c>
      <c r="L3" s="2" t="s">
        <v>4067</v>
      </c>
      <c r="M3" s="2" t="s">
        <v>2011</v>
      </c>
      <c r="N3" s="2" t="s">
        <v>3006</v>
      </c>
      <c r="O3" s="1" t="s">
        <v>4068</v>
      </c>
      <c r="R3" s="6" t="s">
        <v>4069</v>
      </c>
    </row>
    <row r="4" spans="1:18" ht="75" x14ac:dyDescent="0.25">
      <c r="A4" s="1" t="s">
        <v>4070</v>
      </c>
      <c r="B4" s="1" t="s">
        <v>4071</v>
      </c>
      <c r="C4" s="1" t="s">
        <v>466</v>
      </c>
      <c r="D4" s="2" t="str">
        <f>"1533-4287"</f>
        <v>1533-4287</v>
      </c>
      <c r="F4" s="2" t="str">
        <f>"2014 Jun"</f>
        <v>2014 Jun</v>
      </c>
      <c r="G4" s="3">
        <v>28</v>
      </c>
      <c r="H4" s="3">
        <v>6</v>
      </c>
      <c r="I4" s="3">
        <v>1697</v>
      </c>
      <c r="K4" s="2">
        <v>24149747</v>
      </c>
      <c r="L4" s="2" t="s">
        <v>4072</v>
      </c>
      <c r="M4" s="2" t="s">
        <v>468</v>
      </c>
      <c r="N4" s="2" t="s">
        <v>21</v>
      </c>
      <c r="O4" s="1" t="s">
        <v>4073</v>
      </c>
      <c r="Q4" s="2" t="s">
        <v>4074</v>
      </c>
      <c r="R4" s="6" t="s">
        <v>4075</v>
      </c>
    </row>
    <row r="5" spans="1:18" ht="60" x14ac:dyDescent="0.25">
      <c r="A5" s="1" t="s">
        <v>4076</v>
      </c>
      <c r="B5" s="1" t="s">
        <v>4077</v>
      </c>
      <c r="C5" s="1" t="s">
        <v>55</v>
      </c>
      <c r="D5" s="2" t="str">
        <f>"1878-1861"</f>
        <v>1878-1861</v>
      </c>
      <c r="F5" s="2" t="str">
        <f>"2014 Jan"</f>
        <v>2014 Jan</v>
      </c>
      <c r="G5" s="3">
        <v>17</v>
      </c>
      <c r="H5" s="3">
        <v>1</v>
      </c>
      <c r="I5" s="3">
        <v>85</v>
      </c>
      <c r="K5" s="2">
        <v>23619161</v>
      </c>
      <c r="L5" s="2" t="s">
        <v>4078</v>
      </c>
      <c r="M5" s="2" t="s">
        <v>59</v>
      </c>
      <c r="N5" s="2" t="s">
        <v>21</v>
      </c>
      <c r="O5" s="1" t="s">
        <v>4079</v>
      </c>
      <c r="Q5" s="2" t="s">
        <v>4080</v>
      </c>
      <c r="R5" s="6" t="s">
        <v>4081</v>
      </c>
    </row>
    <row r="6" spans="1:18" ht="135" x14ac:dyDescent="0.25">
      <c r="A6" s="1" t="s">
        <v>4082</v>
      </c>
      <c r="B6" s="1" t="s">
        <v>4083</v>
      </c>
      <c r="C6" s="1" t="s">
        <v>676</v>
      </c>
      <c r="D6" s="2" t="str">
        <f>"1932-6203"</f>
        <v>1932-6203</v>
      </c>
      <c r="F6" s="2" t="str">
        <f>"2014 Feb 12"</f>
        <v>2014 Feb 12</v>
      </c>
      <c r="G6" s="3">
        <v>9</v>
      </c>
      <c r="H6" s="3">
        <v>2</v>
      </c>
      <c r="I6" s="3" t="s">
        <v>4084</v>
      </c>
      <c r="K6" s="2">
        <v>24533082</v>
      </c>
      <c r="L6" s="2" t="s">
        <v>4085</v>
      </c>
      <c r="M6" s="2" t="s">
        <v>679</v>
      </c>
      <c r="N6" s="2" t="s">
        <v>21</v>
      </c>
      <c r="O6" s="1" t="s">
        <v>4086</v>
      </c>
      <c r="Q6" s="2" t="s">
        <v>4087</v>
      </c>
      <c r="R6" s="6" t="s">
        <v>4088</v>
      </c>
    </row>
    <row r="7" spans="1:18" ht="135" x14ac:dyDescent="0.25">
      <c r="A7" s="1" t="s">
        <v>4089</v>
      </c>
      <c r="B7" s="1" t="s">
        <v>4090</v>
      </c>
      <c r="C7" s="1" t="s">
        <v>797</v>
      </c>
      <c r="D7" s="2" t="str">
        <f>"1530-0315"</f>
        <v>1530-0315</v>
      </c>
      <c r="F7" s="2" t="str">
        <f>"2014 Feb"</f>
        <v>2014 Feb</v>
      </c>
      <c r="G7" s="3">
        <v>46</v>
      </c>
      <c r="H7" s="3">
        <v>2</v>
      </c>
      <c r="I7" s="3">
        <v>330</v>
      </c>
      <c r="K7" s="2">
        <v>23852266</v>
      </c>
      <c r="L7" s="2" t="s">
        <v>4091</v>
      </c>
      <c r="M7" s="2" t="s">
        <v>156</v>
      </c>
      <c r="N7" s="2" t="s">
        <v>21</v>
      </c>
      <c r="O7" s="1" t="s">
        <v>4092</v>
      </c>
      <c r="Q7" s="2" t="s">
        <v>4093</v>
      </c>
      <c r="R7" s="6" t="s">
        <v>4094</v>
      </c>
    </row>
    <row r="8" spans="1:18" ht="120" x14ac:dyDescent="0.25">
      <c r="A8" s="1" t="s">
        <v>4095</v>
      </c>
      <c r="B8" s="1" t="s">
        <v>4096</v>
      </c>
      <c r="C8" s="1" t="s">
        <v>466</v>
      </c>
      <c r="D8" s="2" t="str">
        <f>"1533-4287"</f>
        <v>1533-4287</v>
      </c>
      <c r="F8" s="2" t="str">
        <f>"2014 Jan"</f>
        <v>2014 Jan</v>
      </c>
      <c r="G8" s="3">
        <v>28</v>
      </c>
      <c r="H8" s="3">
        <v>1</v>
      </c>
      <c r="I8" s="3">
        <v>240</v>
      </c>
      <c r="K8" s="2">
        <v>23591943</v>
      </c>
      <c r="L8" s="2" t="s">
        <v>4097</v>
      </c>
      <c r="M8" s="2" t="s">
        <v>468</v>
      </c>
      <c r="N8" s="2" t="s">
        <v>21</v>
      </c>
      <c r="O8" s="1" t="s">
        <v>4098</v>
      </c>
      <c r="Q8" s="2" t="s">
        <v>4099</v>
      </c>
      <c r="R8" s="6" t="s">
        <v>4100</v>
      </c>
    </row>
    <row r="9" spans="1:18" ht="150" x14ac:dyDescent="0.25">
      <c r="A9" s="1" t="s">
        <v>4101</v>
      </c>
      <c r="B9" s="1" t="s">
        <v>4102</v>
      </c>
      <c r="C9" s="1" t="s">
        <v>102</v>
      </c>
      <c r="D9" s="2" t="str">
        <f>"1473-0480"</f>
        <v>1473-0480</v>
      </c>
      <c r="F9" s="2" t="str">
        <f>"2014 Nov"</f>
        <v>2014 Nov</v>
      </c>
      <c r="G9" s="3">
        <v>48</v>
      </c>
      <c r="H9" s="3">
        <v>21</v>
      </c>
      <c r="I9" s="3">
        <v>1529</v>
      </c>
      <c r="K9" s="2">
        <v>25185587</v>
      </c>
      <c r="L9" s="2" t="s">
        <v>4103</v>
      </c>
      <c r="M9" s="2" t="s">
        <v>106</v>
      </c>
      <c r="N9" s="2" t="s">
        <v>21</v>
      </c>
      <c r="O9" s="1" t="s">
        <v>4104</v>
      </c>
      <c r="Q9" s="2" t="s">
        <v>4105</v>
      </c>
      <c r="R9" s="6" t="s">
        <v>4106</v>
      </c>
    </row>
    <row r="10" spans="1:18" ht="75" x14ac:dyDescent="0.25">
      <c r="A10" s="1" t="s">
        <v>4107</v>
      </c>
      <c r="B10" s="1" t="s">
        <v>4108</v>
      </c>
      <c r="C10" s="1" t="s">
        <v>4109</v>
      </c>
      <c r="D10" s="2" t="str">
        <f>"1872-7972"</f>
        <v>1872-7972</v>
      </c>
      <c r="F10" s="2" t="str">
        <f>"2014 Jul 25"</f>
        <v>2014 Jul 25</v>
      </c>
      <c r="G10" s="3">
        <v>576</v>
      </c>
      <c r="I10" s="3">
        <v>11</v>
      </c>
      <c r="K10" s="2">
        <v>24861507</v>
      </c>
      <c r="L10" s="2" t="s">
        <v>4110</v>
      </c>
      <c r="M10" s="2" t="s">
        <v>4111</v>
      </c>
      <c r="N10" s="2" t="s">
        <v>21</v>
      </c>
      <c r="O10" s="1" t="s">
        <v>4112</v>
      </c>
      <c r="Q10" s="2" t="s">
        <v>4113</v>
      </c>
      <c r="R10" s="6" t="s">
        <v>4114</v>
      </c>
    </row>
    <row r="11" spans="1:18" ht="150" x14ac:dyDescent="0.25">
      <c r="A11" s="1" t="s">
        <v>4115</v>
      </c>
      <c r="B11" s="1" t="s">
        <v>4116</v>
      </c>
      <c r="C11" s="1" t="s">
        <v>533</v>
      </c>
      <c r="D11" s="2" t="str">
        <f>"1873-1600"</f>
        <v>1873-1600</v>
      </c>
      <c r="F11" s="2" t="str">
        <f>"2014 May"</f>
        <v>2014 May</v>
      </c>
      <c r="G11" s="3">
        <v>15</v>
      </c>
      <c r="H11" s="3">
        <v>2</v>
      </c>
      <c r="I11" s="3">
        <v>106</v>
      </c>
      <c r="K11" s="2">
        <v>23954386</v>
      </c>
      <c r="L11" s="2" t="s">
        <v>4117</v>
      </c>
      <c r="M11" s="2" t="s">
        <v>535</v>
      </c>
      <c r="N11" s="2" t="s">
        <v>924</v>
      </c>
      <c r="O11" s="1" t="s">
        <v>4118</v>
      </c>
      <c r="Q11" s="2" t="s">
        <v>4119</v>
      </c>
      <c r="R11" s="6" t="s">
        <v>4120</v>
      </c>
    </row>
    <row r="12" spans="1:18" ht="60" x14ac:dyDescent="0.25">
      <c r="A12" s="1" t="s">
        <v>4121</v>
      </c>
      <c r="B12" s="1" t="s">
        <v>4122</v>
      </c>
      <c r="C12" s="1" t="s">
        <v>4123</v>
      </c>
      <c r="D12" s="2" t="str">
        <f>"1879-1913"</f>
        <v>1879-1913</v>
      </c>
      <c r="F12" s="2" t="str">
        <f>"2014 May 01"</f>
        <v>2014 May 01</v>
      </c>
      <c r="G12" s="3">
        <v>113</v>
      </c>
      <c r="H12" s="3">
        <v>9</v>
      </c>
      <c r="I12" s="3">
        <v>1567</v>
      </c>
      <c r="K12" s="2">
        <v>24641963</v>
      </c>
      <c r="L12" s="2" t="s">
        <v>4124</v>
      </c>
      <c r="M12" s="2" t="s">
        <v>4125</v>
      </c>
      <c r="N12" s="2" t="s">
        <v>924</v>
      </c>
      <c r="O12" s="1" t="s">
        <v>4126</v>
      </c>
      <c r="Q12" s="2" t="s">
        <v>4127</v>
      </c>
      <c r="R12" s="6" t="s">
        <v>4128</v>
      </c>
    </row>
    <row r="13" spans="1:18" ht="75" x14ac:dyDescent="0.25">
      <c r="A13" s="1" t="s">
        <v>4129</v>
      </c>
      <c r="B13" s="1" t="s">
        <v>4130</v>
      </c>
      <c r="C13" s="1" t="s">
        <v>55</v>
      </c>
      <c r="D13" s="2" t="str">
        <f>"1878-1861"</f>
        <v>1878-1861</v>
      </c>
      <c r="F13" s="2" t="str">
        <f>"2014 Jan"</f>
        <v>2014 Jan</v>
      </c>
      <c r="G13" s="3">
        <v>17</v>
      </c>
      <c r="H13" s="3">
        <v>1</v>
      </c>
      <c r="I13" s="3">
        <v>144</v>
      </c>
      <c r="K13" s="2">
        <v>23608044</v>
      </c>
      <c r="L13" s="2" t="s">
        <v>4131</v>
      </c>
      <c r="M13" s="2" t="s">
        <v>59</v>
      </c>
      <c r="N13" s="2" t="s">
        <v>21</v>
      </c>
      <c r="O13" s="1" t="s">
        <v>4132</v>
      </c>
      <c r="Q13" s="2" t="s">
        <v>4133</v>
      </c>
      <c r="R13" s="6" t="s">
        <v>4134</v>
      </c>
    </row>
    <row r="14" spans="1:18" ht="90" x14ac:dyDescent="0.25">
      <c r="A14" s="1" t="s">
        <v>4135</v>
      </c>
      <c r="B14" s="1" t="s">
        <v>4136</v>
      </c>
      <c r="C14" s="1" t="s">
        <v>36</v>
      </c>
      <c r="D14" s="2" t="str">
        <f>"1543-2742"</f>
        <v>1543-2742</v>
      </c>
      <c r="F14" s="2" t="str">
        <f>"2014 Oct"</f>
        <v>2014 Oct</v>
      </c>
      <c r="G14" s="3">
        <v>24</v>
      </c>
      <c r="H14" s="3">
        <v>5</v>
      </c>
      <c r="I14" s="3">
        <v>553</v>
      </c>
      <c r="K14" s="2">
        <v>25029702</v>
      </c>
      <c r="L14" s="2" t="s">
        <v>4137</v>
      </c>
      <c r="M14" s="2" t="s">
        <v>40</v>
      </c>
      <c r="N14" s="2" t="s">
        <v>21</v>
      </c>
      <c r="O14" s="1" t="s">
        <v>4138</v>
      </c>
      <c r="Q14" s="2" t="s">
        <v>4139</v>
      </c>
      <c r="R14" s="6" t="s">
        <v>4140</v>
      </c>
    </row>
    <row r="15" spans="1:18" ht="135" x14ac:dyDescent="0.25">
      <c r="A15" s="1" t="s">
        <v>4141</v>
      </c>
      <c r="B15" s="1" t="s">
        <v>4142</v>
      </c>
      <c r="C15" s="1" t="s">
        <v>466</v>
      </c>
      <c r="D15" s="2" t="str">
        <f>"1533-4287"</f>
        <v>1533-4287</v>
      </c>
      <c r="F15" s="2" t="str">
        <f>"2014 Apr"</f>
        <v>2014 Apr</v>
      </c>
      <c r="G15" s="3">
        <v>28</v>
      </c>
      <c r="H15" s="3">
        <v>4</v>
      </c>
      <c r="I15" s="3">
        <v>1172</v>
      </c>
      <c r="K15" s="2">
        <v>24077376</v>
      </c>
      <c r="L15" s="2" t="s">
        <v>4143</v>
      </c>
      <c r="M15" s="2" t="s">
        <v>468</v>
      </c>
      <c r="N15" s="2" t="s">
        <v>21</v>
      </c>
      <c r="O15" s="1" t="s">
        <v>4144</v>
      </c>
      <c r="Q15" s="2" t="s">
        <v>4145</v>
      </c>
      <c r="R15" s="6" t="s">
        <v>4146</v>
      </c>
    </row>
    <row r="16" spans="1:18" ht="75" x14ac:dyDescent="0.25">
      <c r="A16" s="1" t="s">
        <v>4147</v>
      </c>
      <c r="B16" s="1" t="s">
        <v>4148</v>
      </c>
      <c r="C16" s="1" t="s">
        <v>696</v>
      </c>
      <c r="D16" s="2" t="str">
        <f>"1439-3964"</f>
        <v>1439-3964</v>
      </c>
      <c r="F16" s="2" t="str">
        <f>"2014 Jun"</f>
        <v>2014 Jun</v>
      </c>
      <c r="G16" s="3">
        <v>35</v>
      </c>
      <c r="H16" s="3">
        <v>7</v>
      </c>
      <c r="I16" s="3">
        <v>575</v>
      </c>
      <c r="K16" s="2">
        <v>24408768</v>
      </c>
      <c r="L16" s="2" t="s">
        <v>4149</v>
      </c>
      <c r="M16" s="2" t="s">
        <v>698</v>
      </c>
      <c r="N16" s="2" t="s">
        <v>21</v>
      </c>
      <c r="O16" s="1" t="s">
        <v>4150</v>
      </c>
      <c r="Q16" s="2" t="s">
        <v>4151</v>
      </c>
      <c r="R16" s="6" t="s">
        <v>4152</v>
      </c>
    </row>
    <row r="17" spans="1:18" ht="120" x14ac:dyDescent="0.25">
      <c r="A17" s="1" t="s">
        <v>4153</v>
      </c>
      <c r="B17" s="1" t="s">
        <v>4154</v>
      </c>
      <c r="C17" s="1" t="s">
        <v>797</v>
      </c>
      <c r="D17" s="2" t="str">
        <f>"1530-0315"</f>
        <v>1530-0315</v>
      </c>
      <c r="F17" s="2" t="str">
        <f>"2014 Aug"</f>
        <v>2014 Aug</v>
      </c>
      <c r="G17" s="3">
        <v>46</v>
      </c>
      <c r="H17" s="3">
        <v>8</v>
      </c>
      <c r="I17" s="3">
        <v>1631</v>
      </c>
      <c r="K17" s="2">
        <v>24504431</v>
      </c>
      <c r="L17" s="2" t="s">
        <v>4155</v>
      </c>
      <c r="M17" s="2" t="s">
        <v>156</v>
      </c>
      <c r="N17" s="2" t="s">
        <v>21</v>
      </c>
      <c r="O17" s="1" t="s">
        <v>4156</v>
      </c>
      <c r="Q17" s="2" t="s">
        <v>4157</v>
      </c>
      <c r="R17" s="6" t="s">
        <v>4158</v>
      </c>
    </row>
    <row r="18" spans="1:18" ht="60" x14ac:dyDescent="0.25">
      <c r="A18" s="1" t="s">
        <v>4159</v>
      </c>
      <c r="B18" s="1" t="s">
        <v>4160</v>
      </c>
      <c r="C18" s="1" t="s">
        <v>696</v>
      </c>
      <c r="D18" s="2" t="str">
        <f>"1439-3964"</f>
        <v>1439-3964</v>
      </c>
      <c r="F18" s="2" t="str">
        <f>"2014 Oct"</f>
        <v>2014 Oct</v>
      </c>
      <c r="G18" s="3">
        <v>35</v>
      </c>
      <c r="H18" s="3">
        <v>11</v>
      </c>
      <c r="I18" s="3" t="s">
        <v>4161</v>
      </c>
      <c r="K18" s="2">
        <v>25009964</v>
      </c>
      <c r="L18" s="2" t="s">
        <v>4162</v>
      </c>
      <c r="M18" s="2" t="s">
        <v>698</v>
      </c>
      <c r="N18" s="2" t="s">
        <v>21</v>
      </c>
      <c r="Q18" s="2" t="s">
        <v>4163</v>
      </c>
      <c r="R18" s="6" t="s">
        <v>4164</v>
      </c>
    </row>
    <row r="19" spans="1:18" ht="135" x14ac:dyDescent="0.25">
      <c r="A19" s="1" t="s">
        <v>4165</v>
      </c>
      <c r="B19" s="1" t="s">
        <v>4160</v>
      </c>
      <c r="C19" s="1" t="s">
        <v>696</v>
      </c>
      <c r="D19" s="2" t="str">
        <f>"1439-3964"</f>
        <v>1439-3964</v>
      </c>
      <c r="F19" s="2" t="str">
        <f>"2014 Oct"</f>
        <v>2014 Oct</v>
      </c>
      <c r="G19" s="3">
        <v>35</v>
      </c>
      <c r="H19" s="3">
        <v>11</v>
      </c>
      <c r="I19" s="3">
        <v>949</v>
      </c>
      <c r="K19" s="2">
        <v>24892653</v>
      </c>
      <c r="L19" s="2" t="s">
        <v>4166</v>
      </c>
      <c r="M19" s="2" t="s">
        <v>698</v>
      </c>
      <c r="N19" s="2" t="s">
        <v>21</v>
      </c>
      <c r="O19" s="1" t="s">
        <v>4167</v>
      </c>
      <c r="Q19" s="2" t="s">
        <v>4168</v>
      </c>
      <c r="R19" s="6" t="s">
        <v>4169</v>
      </c>
    </row>
    <row r="20" spans="1:18" ht="135" x14ac:dyDescent="0.25">
      <c r="A20" s="1" t="s">
        <v>4170</v>
      </c>
      <c r="B20" s="1" t="s">
        <v>4171</v>
      </c>
      <c r="C20" s="1" t="s">
        <v>4172</v>
      </c>
      <c r="D20" s="2" t="str">
        <f>"1476-5640"</f>
        <v>1476-5640</v>
      </c>
      <c r="F20" s="2" t="str">
        <f>"2014 Nov"</f>
        <v>2014 Nov</v>
      </c>
      <c r="G20" s="3">
        <v>68</v>
      </c>
      <c r="H20" s="3">
        <v>11</v>
      </c>
      <c r="I20" s="3">
        <v>1255</v>
      </c>
      <c r="K20" s="2">
        <v>25052229</v>
      </c>
      <c r="L20" s="2" t="s">
        <v>4173</v>
      </c>
      <c r="M20" s="2" t="s">
        <v>148</v>
      </c>
      <c r="N20" s="2" t="s">
        <v>21</v>
      </c>
      <c r="O20" s="1" t="s">
        <v>4174</v>
      </c>
      <c r="Q20" s="2" t="s">
        <v>4175</v>
      </c>
      <c r="R20" s="6" t="s">
        <v>4176</v>
      </c>
    </row>
    <row r="21" spans="1:18" ht="120" x14ac:dyDescent="0.25">
      <c r="A21" s="1" t="s">
        <v>4177</v>
      </c>
      <c r="B21" s="1" t="s">
        <v>4178</v>
      </c>
      <c r="C21" s="1" t="s">
        <v>318</v>
      </c>
      <c r="D21" s="2" t="str">
        <f>"1555-0265"</f>
        <v>1555-0265</v>
      </c>
      <c r="F21" s="2" t="str">
        <f>"2014 May"</f>
        <v>2014 May</v>
      </c>
      <c r="G21" s="3">
        <v>9</v>
      </c>
      <c r="H21" s="3">
        <v>3</v>
      </c>
      <c r="I21" s="3">
        <v>575</v>
      </c>
      <c r="K21" s="2">
        <v>24088320</v>
      </c>
      <c r="L21" s="2" t="s">
        <v>4179</v>
      </c>
      <c r="M21" s="2" t="s">
        <v>322</v>
      </c>
      <c r="N21" s="2" t="s">
        <v>21</v>
      </c>
      <c r="O21" s="1" t="s">
        <v>4180</v>
      </c>
      <c r="Q21" s="2" t="s">
        <v>4181</v>
      </c>
      <c r="R21" s="6" t="s">
        <v>4182</v>
      </c>
    </row>
    <row r="22" spans="1:18" ht="240" x14ac:dyDescent="0.25">
      <c r="A22" s="1" t="s">
        <v>4183</v>
      </c>
      <c r="B22" s="1" t="s">
        <v>4184</v>
      </c>
      <c r="C22" s="1" t="s">
        <v>676</v>
      </c>
      <c r="D22" s="2" t="str">
        <f>"1932-6203"</f>
        <v>1932-6203</v>
      </c>
      <c r="F22" s="2" t="str">
        <f>"2014 Sep 23"</f>
        <v>2014 Sep 23</v>
      </c>
      <c r="G22" s="3">
        <v>9</v>
      </c>
      <c r="H22" s="3">
        <v>9</v>
      </c>
      <c r="I22" s="3" t="s">
        <v>4185</v>
      </c>
      <c r="K22" s="2">
        <v>25247929</v>
      </c>
      <c r="L22" s="2" t="s">
        <v>4186</v>
      </c>
      <c r="M22" s="2" t="s">
        <v>679</v>
      </c>
      <c r="N22" s="2" t="s">
        <v>21</v>
      </c>
      <c r="O22" s="1" t="s">
        <v>4187</v>
      </c>
      <c r="Q22" s="2" t="s">
        <v>4188</v>
      </c>
      <c r="R22" s="6" t="s">
        <v>4189</v>
      </c>
    </row>
    <row r="23" spans="1:18" ht="105" x14ac:dyDescent="0.25">
      <c r="A23" s="1" t="s">
        <v>4190</v>
      </c>
      <c r="B23" s="1" t="s">
        <v>4191</v>
      </c>
      <c r="C23" s="1" t="s">
        <v>533</v>
      </c>
      <c r="D23" s="2" t="str">
        <f>"1873-1600"</f>
        <v>1873-1600</v>
      </c>
      <c r="F23" s="2" t="str">
        <f>"2014 May"</f>
        <v>2014 May</v>
      </c>
      <c r="G23" s="3">
        <v>15</v>
      </c>
      <c r="H23" s="3">
        <v>2</v>
      </c>
      <c r="I23" s="3">
        <v>124</v>
      </c>
      <c r="K23" s="2">
        <v>24529632</v>
      </c>
      <c r="L23" s="2" t="s">
        <v>4192</v>
      </c>
      <c r="M23" s="2" t="s">
        <v>535</v>
      </c>
      <c r="N23" s="2" t="s">
        <v>21</v>
      </c>
      <c r="O23" s="1" t="s">
        <v>4193</v>
      </c>
      <c r="Q23" s="2" t="s">
        <v>4194</v>
      </c>
      <c r="R23" s="6" t="s">
        <v>4195</v>
      </c>
    </row>
    <row r="24" spans="1:18" ht="105" x14ac:dyDescent="0.25">
      <c r="A24" s="1" t="s">
        <v>4196</v>
      </c>
      <c r="B24" s="1" t="s">
        <v>4197</v>
      </c>
      <c r="C24" s="1" t="s">
        <v>466</v>
      </c>
      <c r="D24" s="2" t="str">
        <f>"1533-4287"</f>
        <v>1533-4287</v>
      </c>
      <c r="F24" s="2" t="str">
        <f>"2014 Aug"</f>
        <v>2014 Aug</v>
      </c>
      <c r="G24" s="3">
        <v>28</v>
      </c>
      <c r="H24" s="3">
        <v>8</v>
      </c>
      <c r="I24" s="3">
        <v>2353</v>
      </c>
      <c r="K24" s="2">
        <v>24531433</v>
      </c>
      <c r="L24" s="2" t="s">
        <v>4198</v>
      </c>
      <c r="M24" s="2" t="s">
        <v>468</v>
      </c>
      <c r="N24" s="2" t="s">
        <v>21</v>
      </c>
      <c r="O24" s="1" t="s">
        <v>4199</v>
      </c>
      <c r="Q24" s="2" t="s">
        <v>4200</v>
      </c>
      <c r="R24" s="6" t="s">
        <v>4201</v>
      </c>
    </row>
    <row r="25" spans="1:18" ht="120" x14ac:dyDescent="0.25">
      <c r="A25" s="1" t="s">
        <v>4202</v>
      </c>
      <c r="B25" s="1" t="s">
        <v>4203</v>
      </c>
      <c r="C25" s="1" t="s">
        <v>318</v>
      </c>
      <c r="D25" s="2" t="str">
        <f>"1555-0265"</f>
        <v>1555-0265</v>
      </c>
      <c r="F25" s="2" t="str">
        <f>"2014 May"</f>
        <v>2014 May</v>
      </c>
      <c r="G25" s="3">
        <v>9</v>
      </c>
      <c r="H25" s="3">
        <v>3</v>
      </c>
      <c r="I25" s="3">
        <v>397</v>
      </c>
      <c r="K25" s="2">
        <v>23751901</v>
      </c>
      <c r="L25" s="2" t="s">
        <v>4204</v>
      </c>
      <c r="M25" s="2" t="s">
        <v>322</v>
      </c>
      <c r="N25" s="2" t="s">
        <v>21</v>
      </c>
      <c r="O25" s="1" t="s">
        <v>4205</v>
      </c>
      <c r="Q25" s="2" t="s">
        <v>4206</v>
      </c>
      <c r="R25" s="6" t="s">
        <v>4207</v>
      </c>
    </row>
    <row r="26" spans="1:18" ht="270" x14ac:dyDescent="0.25">
      <c r="A26" s="1" t="s">
        <v>4208</v>
      </c>
      <c r="B26" s="1" t="s">
        <v>4209</v>
      </c>
      <c r="C26" s="1" t="s">
        <v>318</v>
      </c>
      <c r="D26" s="2" t="str">
        <f>"1555-0265"</f>
        <v>1555-0265</v>
      </c>
      <c r="F26" s="2" t="str">
        <f>"2014 Sep"</f>
        <v>2014 Sep</v>
      </c>
      <c r="G26" s="3">
        <v>9</v>
      </c>
      <c r="H26" s="3">
        <v>5</v>
      </c>
      <c r="I26" s="3">
        <v>744</v>
      </c>
      <c r="K26" s="2">
        <v>24911928</v>
      </c>
      <c r="L26" s="2" t="s">
        <v>4210</v>
      </c>
      <c r="M26" s="2" t="s">
        <v>322</v>
      </c>
      <c r="N26" s="2" t="s">
        <v>21</v>
      </c>
      <c r="O26" s="1" t="s">
        <v>4211</v>
      </c>
      <c r="Q26" s="2" t="s">
        <v>4212</v>
      </c>
      <c r="R26" s="6" t="s">
        <v>4213</v>
      </c>
    </row>
    <row r="27" spans="1:18" ht="150" x14ac:dyDescent="0.25">
      <c r="A27" s="1" t="s">
        <v>4214</v>
      </c>
      <c r="B27" s="1" t="s">
        <v>4215</v>
      </c>
      <c r="C27" s="1" t="s">
        <v>466</v>
      </c>
      <c r="D27" s="2" t="str">
        <f>"1533-4287"</f>
        <v>1533-4287</v>
      </c>
      <c r="F27" s="2" t="str">
        <f>"2014 Feb"</f>
        <v>2014 Feb</v>
      </c>
      <c r="G27" s="3">
        <v>28</v>
      </c>
      <c r="H27" s="3">
        <v>2</v>
      </c>
      <c r="I27" s="3">
        <v>474</v>
      </c>
      <c r="K27" s="2">
        <v>24476743</v>
      </c>
      <c r="L27" s="2" t="s">
        <v>4216</v>
      </c>
      <c r="M27" s="2" t="s">
        <v>468</v>
      </c>
      <c r="N27" s="2" t="s">
        <v>21</v>
      </c>
      <c r="O27" s="1" t="s">
        <v>4217</v>
      </c>
      <c r="Q27" s="2" t="s">
        <v>4218</v>
      </c>
      <c r="R27" s="6" t="s">
        <v>4219</v>
      </c>
    </row>
    <row r="28" spans="1:18" ht="105" x14ac:dyDescent="0.25">
      <c r="A28" s="1" t="s">
        <v>4220</v>
      </c>
      <c r="B28" s="1" t="s">
        <v>4221</v>
      </c>
      <c r="C28" s="1" t="s">
        <v>318</v>
      </c>
      <c r="D28" s="2" t="str">
        <f>"1555-0265"</f>
        <v>1555-0265</v>
      </c>
      <c r="F28" s="2" t="str">
        <f>"2014 Jul"</f>
        <v>2014 Jul</v>
      </c>
      <c r="G28" s="3">
        <v>9</v>
      </c>
      <c r="H28" s="3">
        <v>4</v>
      </c>
      <c r="I28" s="3">
        <v>633</v>
      </c>
      <c r="K28" s="2">
        <v>24155134</v>
      </c>
      <c r="L28" s="2" t="s">
        <v>4222</v>
      </c>
      <c r="M28" s="2" t="s">
        <v>322</v>
      </c>
      <c r="N28" s="2" t="s">
        <v>21</v>
      </c>
      <c r="O28" s="1" t="s">
        <v>4223</v>
      </c>
      <c r="Q28" s="2" t="s">
        <v>4224</v>
      </c>
      <c r="R28" s="6" t="s">
        <v>4225</v>
      </c>
    </row>
    <row r="29" spans="1:18" ht="60" x14ac:dyDescent="0.25">
      <c r="A29" s="1" t="s">
        <v>4226</v>
      </c>
      <c r="B29" s="1" t="s">
        <v>4227</v>
      </c>
      <c r="C29" s="1" t="s">
        <v>444</v>
      </c>
      <c r="D29" s="2" t="str">
        <f>"1179-2035"</f>
        <v>1179-2035</v>
      </c>
      <c r="F29" s="2" t="str">
        <f>"2014 Nov"</f>
        <v>2014 Nov</v>
      </c>
      <c r="G29" s="3" t="s">
        <v>4228</v>
      </c>
      <c r="I29" s="3" t="s">
        <v>4229</v>
      </c>
      <c r="K29" s="2">
        <v>25200666</v>
      </c>
      <c r="L29" s="2" t="s">
        <v>4230</v>
      </c>
      <c r="M29" s="2" t="s">
        <v>446</v>
      </c>
      <c r="N29" s="2" t="s">
        <v>21</v>
      </c>
      <c r="O29" s="1" t="s">
        <v>4231</v>
      </c>
      <c r="Q29" s="2" t="s">
        <v>4232</v>
      </c>
      <c r="R29" s="6" t="s">
        <v>4233</v>
      </c>
    </row>
    <row r="30" spans="1:18" ht="105" x14ac:dyDescent="0.25">
      <c r="A30" s="1" t="s">
        <v>4234</v>
      </c>
      <c r="B30" s="1" t="s">
        <v>4235</v>
      </c>
      <c r="C30" s="1" t="s">
        <v>36</v>
      </c>
      <c r="D30" s="2" t="str">
        <f>"1543-2742"</f>
        <v>1543-2742</v>
      </c>
      <c r="F30" s="2" t="str">
        <f>"2014 Aug"</f>
        <v>2014 Aug</v>
      </c>
      <c r="G30" s="3">
        <v>24</v>
      </c>
      <c r="H30" s="3">
        <v>4</v>
      </c>
      <c r="I30" s="3">
        <v>373</v>
      </c>
      <c r="K30" s="2">
        <v>24667305</v>
      </c>
      <c r="L30" s="2" t="s">
        <v>4236</v>
      </c>
      <c r="M30" s="2" t="s">
        <v>40</v>
      </c>
      <c r="N30" s="2" t="s">
        <v>21</v>
      </c>
      <c r="O30" s="1" t="s">
        <v>4237</v>
      </c>
      <c r="Q30" s="2" t="s">
        <v>4238</v>
      </c>
      <c r="R30" s="6" t="s">
        <v>4239</v>
      </c>
    </row>
    <row r="31" spans="1:18" ht="105" x14ac:dyDescent="0.25">
      <c r="A31" s="1" t="s">
        <v>4240</v>
      </c>
      <c r="B31" s="1" t="s">
        <v>4241</v>
      </c>
      <c r="C31" s="1" t="s">
        <v>36</v>
      </c>
      <c r="D31" s="2" t="str">
        <f>"1543-2742"</f>
        <v>1543-2742</v>
      </c>
      <c r="F31" s="2" t="str">
        <f>"2014 Aug"</f>
        <v>2014 Aug</v>
      </c>
      <c r="G31" s="3">
        <v>24</v>
      </c>
      <c r="H31" s="3">
        <v>4</v>
      </c>
      <c r="I31" s="3">
        <v>425</v>
      </c>
      <c r="K31" s="2">
        <v>24901517</v>
      </c>
      <c r="L31" s="2" t="s">
        <v>4242</v>
      </c>
      <c r="M31" s="2" t="s">
        <v>40</v>
      </c>
      <c r="N31" s="2" t="s">
        <v>21</v>
      </c>
      <c r="O31" s="1" t="s">
        <v>4243</v>
      </c>
      <c r="Q31" s="2" t="s">
        <v>4244</v>
      </c>
      <c r="R31" s="6" t="s">
        <v>4245</v>
      </c>
    </row>
    <row r="32" spans="1:18" ht="105" x14ac:dyDescent="0.25">
      <c r="A32" s="1" t="s">
        <v>4246</v>
      </c>
      <c r="B32" s="1" t="s">
        <v>4247</v>
      </c>
      <c r="C32" s="1" t="s">
        <v>36</v>
      </c>
      <c r="D32" s="2" t="str">
        <f>"1543-2742"</f>
        <v>1543-2742</v>
      </c>
      <c r="F32" s="2" t="str">
        <f>"2014 Aug"</f>
        <v>2014 Aug</v>
      </c>
      <c r="G32" s="3">
        <v>24</v>
      </c>
      <c r="H32" s="3">
        <v>4</v>
      </c>
      <c r="I32" s="3">
        <v>360</v>
      </c>
      <c r="K32" s="2">
        <v>24903758</v>
      </c>
      <c r="L32" s="2" t="s">
        <v>4248</v>
      </c>
      <c r="M32" s="2" t="s">
        <v>40</v>
      </c>
      <c r="N32" s="2" t="s">
        <v>21</v>
      </c>
      <c r="O32" s="1" t="s">
        <v>4249</v>
      </c>
      <c r="Q32" s="2" t="s">
        <v>4250</v>
      </c>
      <c r="R32" s="6" t="s">
        <v>4251</v>
      </c>
    </row>
    <row r="33" spans="1:18" ht="90" x14ac:dyDescent="0.25">
      <c r="A33" s="1" t="s">
        <v>4252</v>
      </c>
      <c r="B33" s="1" t="s">
        <v>4253</v>
      </c>
      <c r="C33" s="1" t="s">
        <v>36</v>
      </c>
      <c r="D33" s="2" t="str">
        <f>"1543-2742"</f>
        <v>1543-2742</v>
      </c>
      <c r="F33" s="2" t="str">
        <f>"2014 Aug"</f>
        <v>2014 Aug</v>
      </c>
      <c r="G33" s="3">
        <v>24</v>
      </c>
      <c r="H33" s="3">
        <v>4</v>
      </c>
      <c r="I33" s="3">
        <v>460</v>
      </c>
      <c r="K33" s="2">
        <v>24937101</v>
      </c>
      <c r="L33" s="2" t="s">
        <v>4254</v>
      </c>
      <c r="M33" s="2" t="s">
        <v>40</v>
      </c>
      <c r="N33" s="2" t="s">
        <v>21</v>
      </c>
      <c r="O33" s="1" t="s">
        <v>4255</v>
      </c>
      <c r="Q33" s="2" t="s">
        <v>4256</v>
      </c>
      <c r="R33" s="6" t="s">
        <v>4257</v>
      </c>
    </row>
    <row r="34" spans="1:18" ht="90" x14ac:dyDescent="0.25">
      <c r="A34" s="1" t="s">
        <v>4258</v>
      </c>
      <c r="B34" s="1" t="s">
        <v>4259</v>
      </c>
      <c r="C34" s="1" t="s">
        <v>36</v>
      </c>
      <c r="D34" s="2" t="str">
        <f>"1543-2742"</f>
        <v>1543-2742</v>
      </c>
      <c r="F34" s="2" t="str">
        <f>"2014 Aug"</f>
        <v>2014 Aug</v>
      </c>
      <c r="G34" s="3">
        <v>24</v>
      </c>
      <c r="H34" s="3">
        <v>4</v>
      </c>
      <c r="I34" s="3">
        <v>382</v>
      </c>
      <c r="K34" s="2">
        <v>25159505</v>
      </c>
      <c r="L34" s="2" t="s">
        <v>4260</v>
      </c>
      <c r="M34" s="2" t="s">
        <v>40</v>
      </c>
      <c r="N34" s="2" t="s">
        <v>21</v>
      </c>
      <c r="O34" s="1" t="s">
        <v>4261</v>
      </c>
      <c r="Q34" s="2" t="s">
        <v>4262</v>
      </c>
      <c r="R34" s="6" t="s">
        <v>4263</v>
      </c>
    </row>
    <row r="35" spans="1:18" ht="45" x14ac:dyDescent="0.25">
      <c r="A35" s="1" t="s">
        <v>4264</v>
      </c>
      <c r="B35" s="1" t="s">
        <v>4265</v>
      </c>
      <c r="C35" s="1" t="s">
        <v>1953</v>
      </c>
      <c r="D35" s="2" t="str">
        <f>"1303-2968"</f>
        <v>1303-2968</v>
      </c>
      <c r="F35" s="2" t="str">
        <f>"2014 May 01"</f>
        <v>2014 May 01</v>
      </c>
      <c r="G35" s="3">
        <v>13</v>
      </c>
      <c r="H35" s="3">
        <v>2</v>
      </c>
      <c r="I35" s="3">
        <v>358</v>
      </c>
      <c r="K35" s="2">
        <v>24790490</v>
      </c>
      <c r="M35" s="2" t="s">
        <v>1954</v>
      </c>
      <c r="N35" s="2" t="s">
        <v>21</v>
      </c>
      <c r="Q35" s="2" t="s">
        <v>4266</v>
      </c>
      <c r="R35" s="6" t="s">
        <v>4267</v>
      </c>
    </row>
    <row r="36" spans="1:18" ht="90" x14ac:dyDescent="0.25">
      <c r="A36" s="1" t="s">
        <v>4268</v>
      </c>
      <c r="B36" s="1" t="s">
        <v>4269</v>
      </c>
      <c r="C36" s="1" t="s">
        <v>36</v>
      </c>
      <c r="D36" s="2" t="str">
        <f>"1543-2742"</f>
        <v>1543-2742</v>
      </c>
      <c r="F36" s="2" t="str">
        <f>"2014 Jun"</f>
        <v>2014 Jun</v>
      </c>
      <c r="G36" s="3">
        <v>24</v>
      </c>
      <c r="H36" s="3">
        <v>3</v>
      </c>
      <c r="I36" s="3">
        <v>305</v>
      </c>
      <c r="K36" s="2">
        <v>24464414</v>
      </c>
      <c r="L36" s="2" t="s">
        <v>4270</v>
      </c>
      <c r="M36" s="2" t="s">
        <v>40</v>
      </c>
      <c r="N36" s="2" t="s">
        <v>21</v>
      </c>
      <c r="O36" s="1" t="s">
        <v>4271</v>
      </c>
      <c r="Q36" s="2" t="s">
        <v>4272</v>
      </c>
      <c r="R36" s="6" t="s">
        <v>4273</v>
      </c>
    </row>
    <row r="37" spans="1:18" ht="105" x14ac:dyDescent="0.25">
      <c r="A37" s="1" t="s">
        <v>4274</v>
      </c>
      <c r="B37" s="1" t="s">
        <v>4275</v>
      </c>
      <c r="C37" s="1" t="s">
        <v>1687</v>
      </c>
      <c r="D37" s="2" t="str">
        <f>"1543-2688"</f>
        <v>1543-2688</v>
      </c>
      <c r="F37" s="2" t="str">
        <f>"2014 Oct"</f>
        <v>2014 Oct</v>
      </c>
      <c r="G37" s="3">
        <v>30</v>
      </c>
      <c r="H37" s="3">
        <v>5</v>
      </c>
      <c r="I37" s="3">
        <v>643</v>
      </c>
      <c r="K37" s="2">
        <v>25010477</v>
      </c>
      <c r="L37" s="2" t="s">
        <v>4276</v>
      </c>
      <c r="M37" s="2" t="s">
        <v>40</v>
      </c>
      <c r="N37" s="2" t="s">
        <v>21</v>
      </c>
      <c r="O37" s="1" t="s">
        <v>4277</v>
      </c>
      <c r="Q37" s="2" t="s">
        <v>4278</v>
      </c>
      <c r="R37" s="6" t="s">
        <v>4279</v>
      </c>
    </row>
    <row r="38" spans="1:18" ht="105" x14ac:dyDescent="0.25">
      <c r="A38" s="1" t="s">
        <v>4280</v>
      </c>
      <c r="B38" s="1" t="s">
        <v>4281</v>
      </c>
      <c r="C38" s="1" t="s">
        <v>36</v>
      </c>
      <c r="D38" s="2" t="str">
        <f>"1543-2742"</f>
        <v>1543-2742</v>
      </c>
      <c r="F38" s="2" t="str">
        <f>"2014 Aug"</f>
        <v>2014 Aug</v>
      </c>
      <c r="G38" s="3">
        <v>24</v>
      </c>
      <c r="H38" s="3">
        <v>4</v>
      </c>
      <c r="I38" s="3">
        <v>351</v>
      </c>
      <c r="K38" s="2">
        <v>25029351</v>
      </c>
      <c r="L38" s="2" t="s">
        <v>4282</v>
      </c>
      <c r="M38" s="2" t="s">
        <v>40</v>
      </c>
      <c r="N38" s="2" t="s">
        <v>21</v>
      </c>
      <c r="O38" s="1" t="s">
        <v>4283</v>
      </c>
      <c r="Q38" s="2" t="s">
        <v>4284</v>
      </c>
      <c r="R38" s="6" t="s">
        <v>4285</v>
      </c>
    </row>
    <row r="39" spans="1:18" ht="210" x14ac:dyDescent="0.25">
      <c r="A39" s="1" t="s">
        <v>4286</v>
      </c>
      <c r="B39" s="1" t="s">
        <v>4287</v>
      </c>
      <c r="C39" s="1" t="s">
        <v>545</v>
      </c>
      <c r="D39" s="2" t="str">
        <f>"1522-1601"</f>
        <v>1522-1601</v>
      </c>
      <c r="F39" s="2" t="str">
        <f>"2014 Jul 01"</f>
        <v>2014 Jul 01</v>
      </c>
      <c r="G39" s="3">
        <v>117</v>
      </c>
      <c r="H39" s="3">
        <v>1</v>
      </c>
      <c r="I39" s="3">
        <v>60</v>
      </c>
      <c r="K39" s="2">
        <v>24812644</v>
      </c>
      <c r="L39" s="2" t="s">
        <v>4288</v>
      </c>
      <c r="M39" s="2" t="s">
        <v>547</v>
      </c>
      <c r="N39" s="2" t="s">
        <v>21</v>
      </c>
      <c r="O39" s="1" t="s">
        <v>4289</v>
      </c>
      <c r="Q39" s="2" t="s">
        <v>4290</v>
      </c>
      <c r="R39" s="6" t="s">
        <v>4291</v>
      </c>
    </row>
    <row r="40" spans="1:18" ht="135" x14ac:dyDescent="0.25">
      <c r="A40" s="1" t="s">
        <v>4292</v>
      </c>
      <c r="B40" s="1" t="s">
        <v>4293</v>
      </c>
      <c r="C40" s="1" t="s">
        <v>3942</v>
      </c>
      <c r="D40" s="2" t="str">
        <f>"1532-1983"</f>
        <v>1532-1983</v>
      </c>
      <c r="F40" s="2" t="str">
        <f>"2014 Aug"</f>
        <v>2014 Aug</v>
      </c>
      <c r="G40" s="3">
        <v>33</v>
      </c>
      <c r="H40" s="3">
        <v>4</v>
      </c>
      <c r="I40" s="3">
        <v>581</v>
      </c>
      <c r="K40" s="2">
        <v>24268677</v>
      </c>
      <c r="L40" s="2" t="s">
        <v>4294</v>
      </c>
      <c r="M40" s="2" t="s">
        <v>1835</v>
      </c>
      <c r="N40" s="2" t="s">
        <v>21</v>
      </c>
      <c r="O40" s="1" t="s">
        <v>4295</v>
      </c>
      <c r="Q40" s="2" t="s">
        <v>4296</v>
      </c>
      <c r="R40" s="6" t="s">
        <v>4297</v>
      </c>
    </row>
    <row r="41" spans="1:18" ht="75" x14ac:dyDescent="0.25">
      <c r="A41" s="1" t="s">
        <v>4298</v>
      </c>
      <c r="B41" s="1" t="s">
        <v>4299</v>
      </c>
      <c r="C41" s="1" t="s">
        <v>4300</v>
      </c>
      <c r="D41" s="2" t="str">
        <f>"1090-2376"</f>
        <v>1090-2376</v>
      </c>
      <c r="F41" s="2" t="str">
        <f>"2014 Nov"</f>
        <v>2014 Nov</v>
      </c>
      <c r="G41" s="3">
        <v>30</v>
      </c>
      <c r="I41" s="3">
        <v>247</v>
      </c>
      <c r="K41" s="2">
        <v>25441975</v>
      </c>
      <c r="L41" s="2" t="s">
        <v>4301</v>
      </c>
      <c r="M41" s="2" t="s">
        <v>4302</v>
      </c>
      <c r="N41" s="2" t="s">
        <v>21</v>
      </c>
      <c r="O41" s="1" t="s">
        <v>4303</v>
      </c>
      <c r="Q41" s="2" t="s">
        <v>4304</v>
      </c>
      <c r="R41" s="6" t="s">
        <v>4305</v>
      </c>
    </row>
    <row r="42" spans="1:18" ht="165" x14ac:dyDescent="0.25">
      <c r="A42" s="1" t="s">
        <v>4306</v>
      </c>
      <c r="B42" s="1" t="s">
        <v>3929</v>
      </c>
      <c r="C42" s="1" t="s">
        <v>797</v>
      </c>
      <c r="D42" s="2" t="str">
        <f>"1530-0315"</f>
        <v>1530-0315</v>
      </c>
      <c r="F42" s="2" t="str">
        <f>"2014 Jul"</f>
        <v>2014 Jul</v>
      </c>
      <c r="G42" s="3">
        <v>46</v>
      </c>
      <c r="H42" s="3">
        <v>7</v>
      </c>
      <c r="I42" s="3">
        <v>1410</v>
      </c>
      <c r="K42" s="2">
        <v>24389515</v>
      </c>
      <c r="L42" s="2" t="s">
        <v>4307</v>
      </c>
      <c r="M42" s="2" t="s">
        <v>156</v>
      </c>
      <c r="N42" s="2" t="s">
        <v>21</v>
      </c>
      <c r="O42" s="1" t="s">
        <v>4308</v>
      </c>
      <c r="Q42" s="2" t="s">
        <v>4309</v>
      </c>
      <c r="R42" s="6" t="s">
        <v>4310</v>
      </c>
    </row>
    <row r="43" spans="1:18" ht="150" x14ac:dyDescent="0.25">
      <c r="A43" s="1" t="s">
        <v>4311</v>
      </c>
      <c r="B43" s="1" t="s">
        <v>4227</v>
      </c>
      <c r="C43" s="1" t="s">
        <v>444</v>
      </c>
      <c r="D43" s="2" t="str">
        <f>"1179-2035"</f>
        <v>1179-2035</v>
      </c>
      <c r="F43" s="2" t="str">
        <f>"2014 May"</f>
        <v>2014 May</v>
      </c>
      <c r="G43" s="3" t="s">
        <v>4312</v>
      </c>
      <c r="I43" s="3" t="s">
        <v>4313</v>
      </c>
      <c r="K43" s="2">
        <v>24791913</v>
      </c>
      <c r="L43" s="2" t="s">
        <v>4314</v>
      </c>
      <c r="M43" s="2" t="s">
        <v>446</v>
      </c>
      <c r="N43" s="2" t="s">
        <v>21</v>
      </c>
      <c r="O43" s="1" t="s">
        <v>4315</v>
      </c>
      <c r="Q43" s="2" t="s">
        <v>4316</v>
      </c>
      <c r="R43" s="6" t="s">
        <v>4317</v>
      </c>
    </row>
    <row r="44" spans="1:18" ht="90" x14ac:dyDescent="0.25">
      <c r="A44" s="1" t="s">
        <v>4318</v>
      </c>
      <c r="B44" s="1" t="s">
        <v>4319</v>
      </c>
      <c r="C44" s="1" t="s">
        <v>545</v>
      </c>
      <c r="D44" s="2" t="str">
        <f>"1522-1601"</f>
        <v>1522-1601</v>
      </c>
      <c r="F44" s="2" t="str">
        <f>"2014 Sep 01"</f>
        <v>2014 Sep 01</v>
      </c>
      <c r="G44" s="3">
        <v>117</v>
      </c>
      <c r="H44" s="3">
        <v>5</v>
      </c>
      <c r="I44" s="3">
        <v>463</v>
      </c>
      <c r="K44" s="2">
        <v>24994887</v>
      </c>
      <c r="L44" s="2" t="s">
        <v>4320</v>
      </c>
      <c r="M44" s="2" t="s">
        <v>547</v>
      </c>
      <c r="N44" s="2" t="s">
        <v>21</v>
      </c>
      <c r="O44" s="1" t="s">
        <v>4321</v>
      </c>
      <c r="Q44" s="2" t="s">
        <v>4322</v>
      </c>
      <c r="R44" s="6" t="s">
        <v>4323</v>
      </c>
    </row>
    <row r="45" spans="1:18" ht="75" x14ac:dyDescent="0.25">
      <c r="A45" s="1" t="s">
        <v>4324</v>
      </c>
      <c r="B45" s="1" t="s">
        <v>4325</v>
      </c>
      <c r="C45" s="1" t="s">
        <v>545</v>
      </c>
      <c r="D45" s="2" t="str">
        <f>"1522-1601"</f>
        <v>1522-1601</v>
      </c>
      <c r="F45" s="2" t="str">
        <f>"2014 Mar 15"</f>
        <v>2014 Mar 15</v>
      </c>
      <c r="G45" s="3">
        <v>116</v>
      </c>
      <c r="H45" s="3">
        <v>6</v>
      </c>
      <c r="I45" s="3">
        <v>593</v>
      </c>
      <c r="K45" s="2">
        <v>24436300</v>
      </c>
      <c r="L45" s="2" t="s">
        <v>4326</v>
      </c>
      <c r="M45" s="2" t="s">
        <v>547</v>
      </c>
      <c r="N45" s="2" t="s">
        <v>21</v>
      </c>
      <c r="O45" s="1" t="s">
        <v>4327</v>
      </c>
      <c r="R45" s="6" t="s">
        <v>4328</v>
      </c>
    </row>
    <row r="46" spans="1:18" ht="45" x14ac:dyDescent="0.25">
      <c r="A46" s="1" t="s">
        <v>4329</v>
      </c>
      <c r="B46" s="1" t="s">
        <v>4330</v>
      </c>
      <c r="C46" s="1" t="s">
        <v>1953</v>
      </c>
      <c r="D46" s="2" t="str">
        <f>"1303-2968"</f>
        <v>1303-2968</v>
      </c>
      <c r="F46" s="2" t="str">
        <f>"2014 Sep 01"</f>
        <v>2014 Sep 01</v>
      </c>
      <c r="G46" s="3">
        <v>13</v>
      </c>
      <c r="H46" s="3">
        <v>3</v>
      </c>
      <c r="I46" s="3">
        <v>718</v>
      </c>
      <c r="K46" s="2">
        <v>25177205</v>
      </c>
      <c r="M46" s="2" t="s">
        <v>1954</v>
      </c>
      <c r="N46" s="2" t="s">
        <v>21</v>
      </c>
      <c r="R46" s="6" t="s">
        <v>4331</v>
      </c>
    </row>
    <row r="47" spans="1:18" ht="210" x14ac:dyDescent="0.25">
      <c r="A47" s="1" t="s">
        <v>4332</v>
      </c>
      <c r="B47" s="1" t="s">
        <v>4333</v>
      </c>
      <c r="C47" s="1" t="s">
        <v>102</v>
      </c>
      <c r="D47" s="2" t="str">
        <f>"1473-0480"</f>
        <v>1473-0480</v>
      </c>
      <c r="F47" s="2" t="str">
        <f>"2014 Aug"</f>
        <v>2014 Aug</v>
      </c>
      <c r="G47" s="3">
        <v>48</v>
      </c>
      <c r="H47" s="3">
        <v>15</v>
      </c>
      <c r="I47" s="3">
        <v>1144</v>
      </c>
      <c r="K47" s="2">
        <v>23813487</v>
      </c>
      <c r="L47" s="2" t="s">
        <v>4334</v>
      </c>
      <c r="M47" s="2" t="s">
        <v>106</v>
      </c>
      <c r="N47" s="2" t="s">
        <v>21</v>
      </c>
      <c r="O47" s="1" t="s">
        <v>4335</v>
      </c>
      <c r="Q47" s="2" t="s">
        <v>4336</v>
      </c>
      <c r="R47" s="6" t="s">
        <v>4337</v>
      </c>
    </row>
    <row r="48" spans="1:18" ht="135" x14ac:dyDescent="0.25">
      <c r="A48" s="1" t="s">
        <v>4338</v>
      </c>
      <c r="B48" s="1" t="s">
        <v>4339</v>
      </c>
      <c r="C48" s="1" t="s">
        <v>102</v>
      </c>
      <c r="D48" s="2" t="str">
        <f>"1473-0480"</f>
        <v>1473-0480</v>
      </c>
      <c r="F48" s="2" t="str">
        <f>"2014 Jul"</f>
        <v>2014 Jul</v>
      </c>
      <c r="G48" s="3">
        <v>48</v>
      </c>
      <c r="H48" s="3">
        <v>14</v>
      </c>
      <c r="I48" s="3">
        <v>1097</v>
      </c>
      <c r="K48" s="2">
        <v>23962879</v>
      </c>
      <c r="L48" s="2" t="s">
        <v>4340</v>
      </c>
      <c r="M48" s="2" t="s">
        <v>106</v>
      </c>
      <c r="N48" s="2" t="s">
        <v>21</v>
      </c>
      <c r="O48" s="1" t="s">
        <v>4341</v>
      </c>
      <c r="Q48" s="2" t="s">
        <v>4342</v>
      </c>
      <c r="R48" s="6" t="s">
        <v>4343</v>
      </c>
    </row>
    <row r="49" spans="1:18" ht="165" x14ac:dyDescent="0.25">
      <c r="A49" s="1" t="s">
        <v>4344</v>
      </c>
      <c r="B49" s="1" t="s">
        <v>4345</v>
      </c>
      <c r="C49" s="1" t="s">
        <v>466</v>
      </c>
      <c r="D49" s="2" t="str">
        <f>"1533-4287"</f>
        <v>1533-4287</v>
      </c>
      <c r="F49" s="2" t="str">
        <f>"2014 Apr"</f>
        <v>2014 Apr</v>
      </c>
      <c r="G49" s="3">
        <v>28</v>
      </c>
      <c r="H49" s="3">
        <v>4</v>
      </c>
      <c r="I49" s="3">
        <v>1090</v>
      </c>
      <c r="K49" s="2">
        <v>24088866</v>
      </c>
      <c r="L49" s="2" t="s">
        <v>4346</v>
      </c>
      <c r="M49" s="2" t="s">
        <v>468</v>
      </c>
      <c r="N49" s="2" t="s">
        <v>924</v>
      </c>
      <c r="O49" s="1" t="s">
        <v>4347</v>
      </c>
      <c r="Q49" s="2" t="s">
        <v>4348</v>
      </c>
      <c r="R49" s="6" t="s">
        <v>4349</v>
      </c>
    </row>
    <row r="50" spans="1:18" ht="180" x14ac:dyDescent="0.25">
      <c r="A50" s="1" t="s">
        <v>4350</v>
      </c>
      <c r="B50" s="1" t="s">
        <v>4351</v>
      </c>
      <c r="C50" s="1" t="s">
        <v>318</v>
      </c>
      <c r="D50" s="2" t="str">
        <f>"1555-0265"</f>
        <v>1555-0265</v>
      </c>
      <c r="F50" s="2" t="str">
        <f>"2014 Sep"</f>
        <v>2014 Sep</v>
      </c>
      <c r="G50" s="3">
        <v>9</v>
      </c>
      <c r="H50" s="3">
        <v>5</v>
      </c>
      <c r="I50" s="3">
        <v>832</v>
      </c>
      <c r="K50" s="2">
        <v>24436351</v>
      </c>
      <c r="L50" s="2" t="s">
        <v>4352</v>
      </c>
      <c r="M50" s="2" t="s">
        <v>322</v>
      </c>
      <c r="N50" s="2" t="s">
        <v>21</v>
      </c>
      <c r="O50" s="1" t="s">
        <v>4353</v>
      </c>
      <c r="Q50" s="2" t="s">
        <v>4354</v>
      </c>
      <c r="R50" s="6" t="s">
        <v>4355</v>
      </c>
    </row>
  </sheetData>
  <hyperlinks>
    <hyperlink ref="R2" r:id="rId1" xr:uid="{3D97B2D9-B7D2-4829-A411-60008B1028AD}"/>
    <hyperlink ref="R3" r:id="rId2" xr:uid="{EFA60466-DAF9-43C1-A91F-8BD33F8B3D63}"/>
    <hyperlink ref="R4" r:id="rId3" xr:uid="{B7D3858B-3D92-42BC-9F04-A508561DD273}"/>
    <hyperlink ref="R5" r:id="rId4" xr:uid="{4C617321-58C0-4756-83FF-723FE3D89C9E}"/>
    <hyperlink ref="R6" r:id="rId5" xr:uid="{B73BD454-952D-41FE-A419-A840A6573CCB}"/>
    <hyperlink ref="R7" r:id="rId6" xr:uid="{F5C1B6D1-C414-42CA-9ED8-D6DE3F8F7F7D}"/>
    <hyperlink ref="R8" r:id="rId7" xr:uid="{54104026-E3D6-4AC0-BCB6-02618FF2ECE6}"/>
    <hyperlink ref="R9" r:id="rId8" xr:uid="{ACDF5828-0A56-4971-9553-9AC27D2A7E74}"/>
    <hyperlink ref="R10" r:id="rId9" xr:uid="{122EB43F-96BB-42FE-B274-5CBEF82DE6BA}"/>
    <hyperlink ref="R11" r:id="rId10" xr:uid="{2F0E9D1C-C5FF-4DB7-89E5-0DAC4984A7B9}"/>
    <hyperlink ref="R12" r:id="rId11" xr:uid="{5796241E-92CF-42EA-9592-486F9E532C36}"/>
    <hyperlink ref="R13" r:id="rId12" xr:uid="{9BA73551-AA95-409B-A7A3-F8C65FD63D5D}"/>
    <hyperlink ref="R14" r:id="rId13" xr:uid="{8B0CF347-7D05-45B8-87B2-CF515CF8CF19}"/>
    <hyperlink ref="R15" r:id="rId14" xr:uid="{24C7B107-BAD6-4A11-8A93-801FFA59B089}"/>
    <hyperlink ref="R16" r:id="rId15" xr:uid="{52485E1C-13EE-4E35-A2C7-47D3EC94C75A}"/>
    <hyperlink ref="R17" r:id="rId16" xr:uid="{237501E3-01AB-4480-96D1-9409664F8DF5}"/>
    <hyperlink ref="R18" r:id="rId17" xr:uid="{9BAB7C6F-5D8B-448A-8F4A-277E1782F7F1}"/>
    <hyperlink ref="R19" r:id="rId18" xr:uid="{78DB5176-9EE1-49AB-B649-C760959EF9EE}"/>
    <hyperlink ref="R20" r:id="rId19" xr:uid="{1A7564AA-36D4-4885-9E6B-CE8316B9D3DE}"/>
    <hyperlink ref="R21" r:id="rId20" xr:uid="{229813E6-48A5-4392-B690-7BC2D7CBFC2F}"/>
    <hyperlink ref="R22" r:id="rId21" xr:uid="{317B0935-1F50-43D9-A5EF-2BB52F4C66DC}"/>
    <hyperlink ref="R23" r:id="rId22" xr:uid="{F05D7143-EE01-45AC-8DF4-2EF6C194C6C7}"/>
    <hyperlink ref="R24" r:id="rId23" xr:uid="{B9534635-9A00-4541-8406-71BEBF21FDDB}"/>
    <hyperlink ref="R25" r:id="rId24" xr:uid="{91ABDD47-B9AC-4372-ABC7-783781258CFD}"/>
    <hyperlink ref="R26" r:id="rId25" xr:uid="{7F3A444F-66CC-4CA9-B47B-0075E35125C1}"/>
    <hyperlink ref="R27" r:id="rId26" xr:uid="{C6FA49D4-3D8A-436A-9526-7D442DC1A9D3}"/>
    <hyperlink ref="R28" r:id="rId27" xr:uid="{0F68BE10-B441-4B0E-9148-131C1EFE26E7}"/>
    <hyperlink ref="R29" r:id="rId28" xr:uid="{F9E2E72F-D7F5-4CB9-A9EB-EC7B9CB5D577}"/>
    <hyperlink ref="R30" r:id="rId29" xr:uid="{D910062B-29CB-4F57-9FA5-F16FD3F3BDEA}"/>
    <hyperlink ref="R31" r:id="rId30" xr:uid="{D894DD36-DDF7-4FBA-BF53-1089E6283C60}"/>
    <hyperlink ref="R32" r:id="rId31" xr:uid="{530446F2-660E-4CE1-92B0-FD94DFB853EA}"/>
    <hyperlink ref="R33" r:id="rId32" xr:uid="{940DB893-1277-4663-95F0-541C2DCA8C30}"/>
    <hyperlink ref="R34" r:id="rId33" xr:uid="{3B32FE80-09E1-4927-8BF3-2C9F7B1C8F06}"/>
    <hyperlink ref="R35" r:id="rId34" xr:uid="{D9F3DF20-C0E2-405B-BD4F-9B75312BE4E5}"/>
    <hyperlink ref="R36" r:id="rId35" xr:uid="{67362294-69A2-4482-8AA6-453D0A29BCC9}"/>
    <hyperlink ref="R37" r:id="rId36" xr:uid="{519AC63A-E7AB-4707-B3CF-E7136B207213}"/>
    <hyperlink ref="R38" r:id="rId37" xr:uid="{A174AC3C-9367-46F9-97B3-07DEBCFF6990}"/>
    <hyperlink ref="R39" r:id="rId38" xr:uid="{63DC11DD-6BA4-43BA-8197-73DEB01DA7A4}"/>
    <hyperlink ref="R40" r:id="rId39" xr:uid="{21277A2B-8AA0-43E2-80A7-4E230C98A64A}"/>
    <hyperlink ref="R41" r:id="rId40" xr:uid="{14FDD46D-ECC7-4CD0-B212-4A78E9491372}"/>
    <hyperlink ref="R42" r:id="rId41" xr:uid="{71F9AE12-BFAC-4A26-BB8E-E1BA1A32F4C2}"/>
    <hyperlink ref="R43" r:id="rId42" xr:uid="{B82371A5-0692-47C0-B2A9-8A60595EAF73}"/>
    <hyperlink ref="R44" r:id="rId43" xr:uid="{252134E5-07B5-45E5-8128-EFB1E3FD07EC}"/>
    <hyperlink ref="R45" r:id="rId44" xr:uid="{7DFBD769-70F1-4037-9110-8B511057C5FA}"/>
    <hyperlink ref="R46" r:id="rId45" xr:uid="{9D654113-BCCD-434A-80F6-50667D8D5D33}"/>
    <hyperlink ref="R47" r:id="rId46" xr:uid="{1F54E0EF-DEE1-4B4F-BBDC-E23319395395}"/>
    <hyperlink ref="R48" r:id="rId47" xr:uid="{93E489FB-27EB-4F37-8D4C-4A013BC44B63}"/>
    <hyperlink ref="R49" r:id="rId48" xr:uid="{3D937A4F-7410-4237-951D-9813EABC6E50}"/>
    <hyperlink ref="R50" r:id="rId49" xr:uid="{54D1B801-82D1-4819-A316-CF4CE2076911}"/>
  </hyperlinks>
  <pageMargins left="0.7" right="0.7" top="0.75" bottom="0.75" header="0.3" footer="0.3"/>
  <headerFooter>
    <oddHeader>&amp;C&amp;"Calibri"&amp;12&amp;KFF0000 OFFICIAL&amp;1#_x000D_</oddHeader>
  </headerFooter>
  <tableParts count="1">
    <tablePart r:id="rId50"/>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R31"/>
  <sheetViews>
    <sheetView workbookViewId="0">
      <selection activeCell="R32" sqref="R32"/>
    </sheetView>
  </sheetViews>
  <sheetFormatPr defaultColWidth="8.7109375" defaultRowHeight="15" x14ac:dyDescent="0.25"/>
  <cols>
    <col min="1" max="1" width="29.42578125" style="1" customWidth="1"/>
    <col min="2" max="2" width="37.140625" style="1" customWidth="1"/>
    <col min="3" max="3" width="41.42578125" style="1" customWidth="1"/>
    <col min="4" max="4" width="9.42578125" style="2" bestFit="1" customWidth="1"/>
    <col min="5" max="5" width="0" style="2" hidden="1" customWidth="1"/>
    <col min="6" max="6" width="16.85546875" style="2" customWidth="1"/>
    <col min="7" max="7" width="9.85546875" style="3" bestFit="1" customWidth="1"/>
    <col min="8" max="8" width="7.42578125" style="3" bestFit="1" customWidth="1"/>
    <col min="9" max="9" width="11.140625" style="3" customWidth="1"/>
    <col min="10" max="10" width="12.42578125" style="2" hidden="1" customWidth="1"/>
    <col min="11" max="11" width="18.42578125" style="2" hidden="1" customWidth="1"/>
    <col min="12" max="12" width="28.7109375" style="1" bestFit="1" customWidth="1"/>
    <col min="13" max="13" width="32.7109375" style="1" customWidth="1"/>
    <col min="14" max="14" width="17.140625" style="2" bestFit="1" customWidth="1"/>
    <col min="15" max="15" width="36.42578125" style="1" customWidth="1"/>
    <col min="16" max="16" width="11.140625" style="2" hidden="1" customWidth="1"/>
    <col min="17" max="17" width="27.28515625" style="2" customWidth="1"/>
    <col min="18" max="18" width="36.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1" t="s">
        <v>8</v>
      </c>
      <c r="M1" s="1" t="s">
        <v>9</v>
      </c>
      <c r="N1" s="2" t="s">
        <v>10</v>
      </c>
      <c r="O1" s="1" t="s">
        <v>11</v>
      </c>
      <c r="P1" s="2" t="s">
        <v>779</v>
      </c>
      <c r="Q1" s="2" t="s">
        <v>12</v>
      </c>
      <c r="R1" s="2" t="s">
        <v>13</v>
      </c>
    </row>
    <row r="2" spans="1:18" ht="105" x14ac:dyDescent="0.25">
      <c r="A2" s="1" t="s">
        <v>4356</v>
      </c>
      <c r="B2" s="1" t="s">
        <v>3735</v>
      </c>
      <c r="C2" s="1" t="s">
        <v>466</v>
      </c>
      <c r="D2" s="2" t="str">
        <f>"1533-4287"</f>
        <v>1533-4287</v>
      </c>
      <c r="F2" s="2" t="str">
        <f>"2013 Feb"</f>
        <v>2013 Feb</v>
      </c>
      <c r="G2" s="3">
        <v>27</v>
      </c>
      <c r="H2" s="3">
        <v>2</v>
      </c>
      <c r="I2" s="3">
        <v>388</v>
      </c>
      <c r="K2" s="2">
        <v>22505130</v>
      </c>
      <c r="L2" s="1" t="s">
        <v>4357</v>
      </c>
      <c r="M2" s="1" t="s">
        <v>468</v>
      </c>
      <c r="N2" s="2" t="s">
        <v>21</v>
      </c>
      <c r="O2" s="1" t="s">
        <v>4358</v>
      </c>
      <c r="Q2" s="2" t="s">
        <v>4359</v>
      </c>
      <c r="R2" s="6" t="s">
        <v>4360</v>
      </c>
    </row>
    <row r="3" spans="1:18" ht="75" x14ac:dyDescent="0.25">
      <c r="A3" s="1" t="s">
        <v>4361</v>
      </c>
      <c r="B3" s="1" t="s">
        <v>4362</v>
      </c>
      <c r="C3" s="1" t="s">
        <v>318</v>
      </c>
      <c r="D3" s="2" t="str">
        <f>"1555-0265"</f>
        <v>1555-0265</v>
      </c>
      <c r="F3" s="2" t="str">
        <f>"2013 Nov"</f>
        <v>2013 Nov</v>
      </c>
      <c r="G3" s="3">
        <v>8</v>
      </c>
      <c r="H3" s="3">
        <v>6</v>
      </c>
      <c r="I3" s="3">
        <v>623</v>
      </c>
      <c r="K3" s="2">
        <v>23479394</v>
      </c>
      <c r="L3" s="1" t="s">
        <v>4363</v>
      </c>
      <c r="M3" s="1" t="s">
        <v>322</v>
      </c>
      <c r="N3" s="2" t="s">
        <v>21</v>
      </c>
      <c r="O3" s="1" t="s">
        <v>4364</v>
      </c>
      <c r="Q3" s="2" t="s">
        <v>4365</v>
      </c>
      <c r="R3" s="6" t="s">
        <v>4366</v>
      </c>
    </row>
    <row r="4" spans="1:18" ht="105" x14ac:dyDescent="0.25">
      <c r="A4" s="1" t="s">
        <v>4367</v>
      </c>
      <c r="B4" s="1" t="s">
        <v>4368</v>
      </c>
      <c r="C4" s="1" t="s">
        <v>102</v>
      </c>
      <c r="D4" s="2" t="str">
        <f>"1473-0480"</f>
        <v>1473-0480</v>
      </c>
      <c r="F4" s="2" t="str">
        <f>"2013 Dec"</f>
        <v>2013 Dec</v>
      </c>
      <c r="G4" s="3" t="s">
        <v>4369</v>
      </c>
      <c r="I4" s="3" t="s">
        <v>4370</v>
      </c>
      <c r="K4" s="2">
        <v>24282204</v>
      </c>
      <c r="L4" s="1" t="s">
        <v>4371</v>
      </c>
      <c r="M4" s="1" t="s">
        <v>106</v>
      </c>
      <c r="N4" s="2" t="s">
        <v>21</v>
      </c>
      <c r="O4" s="1" t="s">
        <v>4372</v>
      </c>
      <c r="Q4" s="2" t="s">
        <v>4373</v>
      </c>
      <c r="R4" s="6" t="s">
        <v>4374</v>
      </c>
    </row>
    <row r="5" spans="1:18" ht="60" x14ac:dyDescent="0.25">
      <c r="A5" s="1" t="s">
        <v>4375</v>
      </c>
      <c r="B5" s="1" t="s">
        <v>4376</v>
      </c>
      <c r="C5" s="1" t="s">
        <v>921</v>
      </c>
      <c r="D5" s="2" t="str">
        <f>"1466-447X"</f>
        <v>1466-447X</v>
      </c>
      <c r="F5" s="2" t="str">
        <f>"2013"</f>
        <v>2013</v>
      </c>
      <c r="G5" s="3">
        <v>31</v>
      </c>
      <c r="H5" s="3">
        <v>12</v>
      </c>
      <c r="I5" s="3">
        <v>1319</v>
      </c>
      <c r="K5" s="2">
        <v>23631711</v>
      </c>
      <c r="L5" s="1" t="s">
        <v>4377</v>
      </c>
      <c r="M5" s="1" t="s">
        <v>923</v>
      </c>
      <c r="N5" s="2" t="s">
        <v>21</v>
      </c>
      <c r="O5" s="1" t="s">
        <v>4378</v>
      </c>
      <c r="Q5" s="2" t="s">
        <v>4379</v>
      </c>
      <c r="R5" s="6" t="s">
        <v>4380</v>
      </c>
    </row>
    <row r="6" spans="1:18" ht="75" x14ac:dyDescent="0.25">
      <c r="A6" s="1" t="s">
        <v>4381</v>
      </c>
      <c r="B6" s="1" t="s">
        <v>4382</v>
      </c>
      <c r="C6" s="1" t="s">
        <v>921</v>
      </c>
      <c r="D6" s="2" t="str">
        <f>"1466-447X"</f>
        <v>1466-447X</v>
      </c>
      <c r="F6" s="2" t="str">
        <f>"2013"</f>
        <v>2013</v>
      </c>
      <c r="G6" s="3">
        <v>31</v>
      </c>
      <c r="H6" s="3">
        <v>10</v>
      </c>
      <c r="I6" s="3">
        <v>1031</v>
      </c>
      <c r="K6" s="2">
        <v>23409787</v>
      </c>
      <c r="L6" s="1" t="s">
        <v>4383</v>
      </c>
      <c r="M6" s="1" t="s">
        <v>923</v>
      </c>
      <c r="N6" s="2" t="s">
        <v>21</v>
      </c>
      <c r="O6" s="1" t="s">
        <v>4384</v>
      </c>
      <c r="Q6" s="2" t="s">
        <v>4385</v>
      </c>
      <c r="R6" s="6" t="s">
        <v>4386</v>
      </c>
    </row>
    <row r="7" spans="1:18" ht="165" x14ac:dyDescent="0.25">
      <c r="A7" s="1" t="s">
        <v>4387</v>
      </c>
      <c r="B7" s="1" t="s">
        <v>4388</v>
      </c>
      <c r="C7" s="1" t="s">
        <v>1300</v>
      </c>
      <c r="D7" s="2" t="str">
        <f>"1077-5552"</f>
        <v>1077-5552</v>
      </c>
      <c r="F7" s="2" t="str">
        <f>"2013"</f>
        <v>2013</v>
      </c>
      <c r="G7" s="3">
        <v>19</v>
      </c>
      <c r="I7" s="3">
        <v>102</v>
      </c>
      <c r="K7" s="2">
        <v>23977723</v>
      </c>
      <c r="M7" s="1" t="s">
        <v>1301</v>
      </c>
      <c r="N7" s="2" t="s">
        <v>21</v>
      </c>
      <c r="O7" s="1" t="s">
        <v>4389</v>
      </c>
      <c r="Q7" s="2" t="s">
        <v>4390</v>
      </c>
      <c r="R7" s="6" t="s">
        <v>4391</v>
      </c>
    </row>
    <row r="8" spans="1:18" ht="120" x14ac:dyDescent="0.25">
      <c r="A8" s="1" t="s">
        <v>4392</v>
      </c>
      <c r="B8" s="1" t="s">
        <v>4393</v>
      </c>
      <c r="C8" s="1" t="s">
        <v>55</v>
      </c>
      <c r="D8" s="2" t="str">
        <f>"1878-1861"</f>
        <v>1878-1861</v>
      </c>
      <c r="F8" s="2" t="str">
        <f>"2013 Jan"</f>
        <v>2013 Jan</v>
      </c>
      <c r="G8" s="3">
        <v>16</v>
      </c>
      <c r="H8" s="3">
        <v>1</v>
      </c>
      <c r="I8" s="3">
        <v>82</v>
      </c>
      <c r="K8" s="2">
        <v>22795680</v>
      </c>
      <c r="L8" s="1" t="s">
        <v>4394</v>
      </c>
      <c r="M8" s="1" t="s">
        <v>59</v>
      </c>
      <c r="N8" s="2" t="s">
        <v>21</v>
      </c>
      <c r="O8" s="1" t="s">
        <v>4395</v>
      </c>
      <c r="Q8" s="2" t="s">
        <v>4396</v>
      </c>
      <c r="R8" s="6" t="s">
        <v>4397</v>
      </c>
    </row>
    <row r="9" spans="1:18" ht="45" x14ac:dyDescent="0.25">
      <c r="A9" s="1" t="s">
        <v>4398</v>
      </c>
      <c r="B9" s="1" t="s">
        <v>4399</v>
      </c>
      <c r="C9" s="1" t="s">
        <v>1953</v>
      </c>
      <c r="D9" s="2" t="str">
        <f>"1303-2968"</f>
        <v>1303-2968</v>
      </c>
      <c r="F9" s="2" t="str">
        <f>"2013 Sep 01"</f>
        <v>2013 Sep 01</v>
      </c>
      <c r="G9" s="3">
        <v>12</v>
      </c>
      <c r="H9" s="3">
        <v>3</v>
      </c>
      <c r="I9" s="3">
        <v>394</v>
      </c>
      <c r="K9" s="2">
        <v>24149143</v>
      </c>
      <c r="M9" s="1" t="s">
        <v>1954</v>
      </c>
      <c r="N9" s="2" t="s">
        <v>21</v>
      </c>
      <c r="Q9" s="2" t="s">
        <v>4400</v>
      </c>
      <c r="R9" s="6" t="s">
        <v>4401</v>
      </c>
    </row>
    <row r="10" spans="1:18" ht="120" x14ac:dyDescent="0.25">
      <c r="A10" s="1" t="s">
        <v>4402</v>
      </c>
      <c r="B10" s="1" t="s">
        <v>4403</v>
      </c>
      <c r="C10" s="1" t="s">
        <v>318</v>
      </c>
      <c r="D10" s="2" t="str">
        <f>"1555-0265"</f>
        <v>1555-0265</v>
      </c>
      <c r="F10" s="2" t="str">
        <f>"2013 Mar"</f>
        <v>2013 Mar</v>
      </c>
      <c r="G10" s="3">
        <v>8</v>
      </c>
      <c r="H10" s="3">
        <v>2</v>
      </c>
      <c r="I10" s="3">
        <v>165</v>
      </c>
      <c r="K10" s="2">
        <v>23428488</v>
      </c>
      <c r="L10" s="1" t="s">
        <v>4404</v>
      </c>
      <c r="M10" s="1" t="s">
        <v>322</v>
      </c>
      <c r="N10" s="2" t="s">
        <v>21</v>
      </c>
      <c r="O10" s="1" t="s">
        <v>4405</v>
      </c>
      <c r="Q10" s="2" t="s">
        <v>4406</v>
      </c>
      <c r="R10" s="6" t="s">
        <v>4407</v>
      </c>
    </row>
    <row r="11" spans="1:18" ht="135" x14ac:dyDescent="0.25">
      <c r="A11" s="1" t="s">
        <v>4408</v>
      </c>
      <c r="B11" s="1" t="s">
        <v>4409</v>
      </c>
      <c r="C11" s="1" t="s">
        <v>797</v>
      </c>
      <c r="D11" s="2" t="str">
        <f>"1530-0315"</f>
        <v>1530-0315</v>
      </c>
      <c r="F11" s="2" t="str">
        <f>"2013 Jan"</f>
        <v>2013 Jan</v>
      </c>
      <c r="G11" s="3">
        <v>45</v>
      </c>
      <c r="H11" s="3">
        <v>1</v>
      </c>
      <c r="I11" s="3">
        <v>178</v>
      </c>
      <c r="K11" s="2">
        <v>22895377</v>
      </c>
      <c r="L11" s="1" t="s">
        <v>4410</v>
      </c>
      <c r="M11" s="1" t="s">
        <v>156</v>
      </c>
      <c r="N11" s="2" t="s">
        <v>646</v>
      </c>
      <c r="O11" s="1" t="s">
        <v>4411</v>
      </c>
      <c r="Q11" s="2" t="s">
        <v>4412</v>
      </c>
      <c r="R11" s="6" t="s">
        <v>4413</v>
      </c>
    </row>
    <row r="12" spans="1:18" ht="90" x14ac:dyDescent="0.25">
      <c r="A12" s="1" t="s">
        <v>4414</v>
      </c>
      <c r="B12" s="1" t="s">
        <v>4415</v>
      </c>
      <c r="C12" s="1" t="s">
        <v>797</v>
      </c>
      <c r="D12" s="2" t="str">
        <f>"1530-0315"</f>
        <v>1530-0315</v>
      </c>
      <c r="F12" s="2" t="str">
        <f>"2013 Sep"</f>
        <v>2013 Sep</v>
      </c>
      <c r="G12" s="3">
        <v>45</v>
      </c>
      <c r="H12" s="3">
        <v>9</v>
      </c>
      <c r="I12" s="3">
        <v>1833</v>
      </c>
      <c r="K12" s="2">
        <v>23470312</v>
      </c>
      <c r="L12" s="1" t="s">
        <v>4416</v>
      </c>
      <c r="M12" s="1" t="s">
        <v>156</v>
      </c>
      <c r="N12" s="2" t="s">
        <v>924</v>
      </c>
      <c r="O12" s="1" t="s">
        <v>4417</v>
      </c>
      <c r="Q12" s="2" t="s">
        <v>4418</v>
      </c>
      <c r="R12" s="6" t="s">
        <v>4419</v>
      </c>
    </row>
    <row r="13" spans="1:18" ht="120" x14ac:dyDescent="0.25">
      <c r="A13" s="1" t="s">
        <v>4420</v>
      </c>
      <c r="B13" s="1" t="s">
        <v>4421</v>
      </c>
      <c r="C13" s="1" t="s">
        <v>55</v>
      </c>
      <c r="D13" s="2" t="str">
        <f>"1878-1861"</f>
        <v>1878-1861</v>
      </c>
      <c r="F13" s="2" t="str">
        <f>"2013 Mar"</f>
        <v>2013 Mar</v>
      </c>
      <c r="G13" s="3">
        <v>16</v>
      </c>
      <c r="H13" s="3">
        <v>2</v>
      </c>
      <c r="I13" s="3">
        <v>89</v>
      </c>
      <c r="K13" s="2">
        <v>22743237</v>
      </c>
      <c r="L13" s="1" t="s">
        <v>4422</v>
      </c>
      <c r="M13" s="1" t="s">
        <v>59</v>
      </c>
      <c r="N13" s="2" t="s">
        <v>21</v>
      </c>
      <c r="O13" s="1" t="s">
        <v>4423</v>
      </c>
      <c r="Q13" s="2" t="s">
        <v>4424</v>
      </c>
      <c r="R13" s="6" t="s">
        <v>4425</v>
      </c>
    </row>
    <row r="14" spans="1:18" ht="60" x14ac:dyDescent="0.25">
      <c r="A14" s="1" t="s">
        <v>4426</v>
      </c>
      <c r="B14" s="1" t="s">
        <v>4427</v>
      </c>
      <c r="C14" s="1" t="s">
        <v>444</v>
      </c>
      <c r="D14" s="2" t="str">
        <f>"1179-2035"</f>
        <v>1179-2035</v>
      </c>
      <c r="F14" s="2" t="str">
        <f>"2013 Oct"</f>
        <v>2013 Oct</v>
      </c>
      <c r="G14" s="3">
        <v>43</v>
      </c>
      <c r="H14" s="3">
        <v>10</v>
      </c>
      <c r="I14" s="3">
        <v>919</v>
      </c>
      <c r="K14" s="2">
        <v>23828029</v>
      </c>
      <c r="L14" s="1" t="s">
        <v>4428</v>
      </c>
      <c r="M14" s="1" t="s">
        <v>446</v>
      </c>
      <c r="N14" s="2" t="s">
        <v>21</v>
      </c>
      <c r="O14" s="1" t="s">
        <v>4429</v>
      </c>
      <c r="Q14" s="2" t="s">
        <v>4430</v>
      </c>
      <c r="R14" s="6" t="s">
        <v>4431</v>
      </c>
    </row>
    <row r="15" spans="1:18" ht="45" x14ac:dyDescent="0.25">
      <c r="A15" s="1" t="s">
        <v>4432</v>
      </c>
      <c r="B15" s="1" t="s">
        <v>4433</v>
      </c>
      <c r="C15" s="1" t="s">
        <v>1953</v>
      </c>
      <c r="D15" s="2" t="str">
        <f>"1303-2968"</f>
        <v>1303-2968</v>
      </c>
      <c r="F15" s="2" t="str">
        <f>"2013 Dec 01"</f>
        <v>2013 Dec 01</v>
      </c>
      <c r="G15" s="3">
        <v>12</v>
      </c>
      <c r="H15" s="3">
        <v>4</v>
      </c>
      <c r="I15" s="3">
        <v>668</v>
      </c>
      <c r="K15" s="2">
        <v>24421726</v>
      </c>
      <c r="M15" s="1" t="s">
        <v>1954</v>
      </c>
      <c r="N15" s="2" t="s">
        <v>21</v>
      </c>
      <c r="Q15" s="2" t="s">
        <v>4434</v>
      </c>
      <c r="R15" s="6" t="s">
        <v>4435</v>
      </c>
    </row>
    <row r="16" spans="1:18" ht="75" x14ac:dyDescent="0.25">
      <c r="A16" s="1" t="s">
        <v>4436</v>
      </c>
      <c r="B16" s="1" t="s">
        <v>3735</v>
      </c>
      <c r="C16" s="1" t="s">
        <v>466</v>
      </c>
      <c r="D16" s="2" t="str">
        <f>"1533-4287"</f>
        <v>1533-4287</v>
      </c>
      <c r="F16" s="2" t="str">
        <f>"2013 Oct"</f>
        <v>2013 Oct</v>
      </c>
      <c r="G16" s="3">
        <v>27</v>
      </c>
      <c r="H16" s="3">
        <v>10</v>
      </c>
      <c r="I16" s="3">
        <v>2723</v>
      </c>
      <c r="K16" s="2">
        <v>23254546</v>
      </c>
      <c r="L16" s="1" t="s">
        <v>4437</v>
      </c>
      <c r="M16" s="1" t="s">
        <v>468</v>
      </c>
      <c r="N16" s="2" t="s">
        <v>21</v>
      </c>
      <c r="O16" s="1" t="s">
        <v>4438</v>
      </c>
      <c r="Q16" s="2" t="s">
        <v>4439</v>
      </c>
      <c r="R16" s="6" t="s">
        <v>4440</v>
      </c>
    </row>
    <row r="17" spans="1:18" ht="135" x14ac:dyDescent="0.25">
      <c r="A17" s="1" t="s">
        <v>4441</v>
      </c>
      <c r="B17" s="1" t="s">
        <v>2508</v>
      </c>
      <c r="C17" s="1" t="s">
        <v>3772</v>
      </c>
      <c r="D17" s="2" t="str">
        <f>"1747-0226"</f>
        <v>1747-0226</v>
      </c>
      <c r="F17" s="2" t="str">
        <f>"2013"</f>
        <v>2013</v>
      </c>
      <c r="G17" s="3">
        <v>66</v>
      </c>
      <c r="H17" s="3">
        <v>11</v>
      </c>
      <c r="I17" s="3">
        <v>2219</v>
      </c>
      <c r="K17" s="2">
        <v>23547767</v>
      </c>
      <c r="L17" s="1" t="s">
        <v>4442</v>
      </c>
      <c r="M17" s="1" t="s">
        <v>3774</v>
      </c>
      <c r="N17" s="2" t="s">
        <v>21</v>
      </c>
      <c r="O17" s="1" t="s">
        <v>4443</v>
      </c>
      <c r="Q17" s="2" t="s">
        <v>4444</v>
      </c>
      <c r="R17" s="6" t="s">
        <v>4445</v>
      </c>
    </row>
    <row r="18" spans="1:18" ht="135" x14ac:dyDescent="0.25">
      <c r="A18" s="1" t="s">
        <v>4446</v>
      </c>
      <c r="B18" s="1" t="s">
        <v>4447</v>
      </c>
      <c r="C18" s="1" t="s">
        <v>102</v>
      </c>
      <c r="D18" s="2" t="str">
        <f>"1473-0480"</f>
        <v>1473-0480</v>
      </c>
      <c r="F18" s="2" t="str">
        <f>"2013 Dec"</f>
        <v>2013 Dec</v>
      </c>
      <c r="G18" s="3" t="s">
        <v>4369</v>
      </c>
      <c r="I18" s="3" t="s">
        <v>4448</v>
      </c>
      <c r="K18" s="2">
        <v>24282214</v>
      </c>
      <c r="L18" s="1" t="s">
        <v>4449</v>
      </c>
      <c r="M18" s="1" t="s">
        <v>106</v>
      </c>
      <c r="N18" s="2" t="s">
        <v>21</v>
      </c>
      <c r="O18" s="1" t="s">
        <v>4450</v>
      </c>
      <c r="Q18" s="2" t="s">
        <v>4451</v>
      </c>
      <c r="R18" s="6" t="s">
        <v>4452</v>
      </c>
    </row>
    <row r="19" spans="1:18" ht="60" x14ac:dyDescent="0.25">
      <c r="A19" s="1" t="s">
        <v>4453</v>
      </c>
      <c r="B19" s="1" t="s">
        <v>4454</v>
      </c>
      <c r="C19" s="1" t="s">
        <v>4455</v>
      </c>
      <c r="D19" s="2" t="str">
        <f>"1664-2155"</f>
        <v>1664-2155</v>
      </c>
      <c r="F19" s="2" t="str">
        <f>"2013"</f>
        <v>2013</v>
      </c>
      <c r="G19" s="3">
        <v>76</v>
      </c>
      <c r="I19" s="3">
        <v>103</v>
      </c>
      <c r="K19" s="2">
        <v>23899758</v>
      </c>
      <c r="L19" s="1" t="s">
        <v>4456</v>
      </c>
      <c r="M19" s="1" t="s">
        <v>3286</v>
      </c>
      <c r="N19" s="2" t="s">
        <v>21</v>
      </c>
      <c r="O19" s="1" t="s">
        <v>4457</v>
      </c>
      <c r="Q19" s="2" t="s">
        <v>4458</v>
      </c>
      <c r="R19" s="6" t="s">
        <v>4459</v>
      </c>
    </row>
    <row r="20" spans="1:18" ht="75" x14ac:dyDescent="0.25">
      <c r="A20" s="1" t="s">
        <v>4460</v>
      </c>
      <c r="B20" s="1" t="s">
        <v>4461</v>
      </c>
      <c r="C20" s="1" t="s">
        <v>133</v>
      </c>
      <c r="D20" s="2" t="str">
        <f>"1536-7290"</f>
        <v>1536-7290</v>
      </c>
      <c r="F20" s="2" t="str">
        <f>"2013"</f>
        <v>2013</v>
      </c>
      <c r="G20" s="3">
        <v>13</v>
      </c>
      <c r="H20" s="3">
        <v>6</v>
      </c>
      <c r="I20" s="3">
        <v>605</v>
      </c>
      <c r="K20" s="2">
        <v>24251738</v>
      </c>
      <c r="L20" s="1" t="s">
        <v>4462</v>
      </c>
      <c r="M20" s="1" t="s">
        <v>500</v>
      </c>
      <c r="N20" s="2" t="s">
        <v>21</v>
      </c>
      <c r="O20" s="1" t="s">
        <v>4463</v>
      </c>
      <c r="Q20" s="2" t="s">
        <v>4464</v>
      </c>
      <c r="R20" s="6" t="s">
        <v>4465</v>
      </c>
    </row>
    <row r="21" spans="1:18" ht="135" x14ac:dyDescent="0.25">
      <c r="A21" s="1" t="s">
        <v>4466</v>
      </c>
      <c r="B21" s="1" t="s">
        <v>4467</v>
      </c>
      <c r="C21" s="1" t="s">
        <v>318</v>
      </c>
      <c r="D21" s="2" t="str">
        <f>"1555-0265"</f>
        <v>1555-0265</v>
      </c>
      <c r="F21" s="2" t="str">
        <f>"2013 Jan"</f>
        <v>2013 Jan</v>
      </c>
      <c r="G21" s="3">
        <v>8</v>
      </c>
      <c r="H21" s="3">
        <v>1</v>
      </c>
      <c r="I21" s="3">
        <v>19</v>
      </c>
      <c r="K21" s="2">
        <v>22868376</v>
      </c>
      <c r="L21" s="1" t="s">
        <v>4468</v>
      </c>
      <c r="M21" s="1" t="s">
        <v>322</v>
      </c>
      <c r="N21" s="2" t="s">
        <v>21</v>
      </c>
      <c r="O21" s="1" t="s">
        <v>4469</v>
      </c>
      <c r="Q21" s="2" t="s">
        <v>4470</v>
      </c>
      <c r="R21" s="6" t="s">
        <v>4471</v>
      </c>
    </row>
    <row r="22" spans="1:18" ht="135" x14ac:dyDescent="0.25">
      <c r="A22" s="1" t="s">
        <v>4472</v>
      </c>
      <c r="B22" s="1" t="s">
        <v>952</v>
      </c>
      <c r="C22" s="1" t="s">
        <v>4455</v>
      </c>
      <c r="D22" s="2" t="str">
        <f>"1664-2155"</f>
        <v>1664-2155</v>
      </c>
      <c r="F22" s="2" t="str">
        <f>"2013"</f>
        <v>2013</v>
      </c>
      <c r="G22" s="3">
        <v>75</v>
      </c>
      <c r="I22" s="3">
        <v>15</v>
      </c>
      <c r="K22" s="2">
        <v>23765347</v>
      </c>
      <c r="L22" s="1" t="s">
        <v>4473</v>
      </c>
      <c r="M22" s="1" t="s">
        <v>3286</v>
      </c>
      <c r="N22" s="2" t="s">
        <v>21</v>
      </c>
      <c r="O22" s="1" t="s">
        <v>4474</v>
      </c>
      <c r="Q22" s="2" t="s">
        <v>4475</v>
      </c>
      <c r="R22" s="6" t="s">
        <v>4476</v>
      </c>
    </row>
    <row r="23" spans="1:18" ht="60" x14ac:dyDescent="0.25">
      <c r="A23" s="1" t="s">
        <v>4477</v>
      </c>
      <c r="B23" s="1" t="s">
        <v>4478</v>
      </c>
      <c r="C23" s="1" t="s">
        <v>444</v>
      </c>
      <c r="D23" s="2" t="str">
        <f>"1179-2035"</f>
        <v>1179-2035</v>
      </c>
      <c r="F23" s="2" t="str">
        <f>"2013 Mar"</f>
        <v>2013 Mar</v>
      </c>
      <c r="G23" s="3">
        <v>43</v>
      </c>
      <c r="H23" s="3">
        <v>3</v>
      </c>
      <c r="I23" s="3">
        <v>207</v>
      </c>
      <c r="K23" s="2">
        <v>23329610</v>
      </c>
      <c r="L23" s="1" t="s">
        <v>4479</v>
      </c>
      <c r="M23" s="1" t="s">
        <v>446</v>
      </c>
      <c r="N23" s="2" t="s">
        <v>21</v>
      </c>
      <c r="O23" s="1" t="s">
        <v>4480</v>
      </c>
      <c r="Q23" s="2" t="s">
        <v>4481</v>
      </c>
      <c r="R23" s="6" t="s">
        <v>4482</v>
      </c>
    </row>
    <row r="24" spans="1:18" ht="150" x14ac:dyDescent="0.25">
      <c r="A24" s="1" t="s">
        <v>4483</v>
      </c>
      <c r="B24" s="1" t="s">
        <v>4484</v>
      </c>
      <c r="C24" s="1" t="s">
        <v>102</v>
      </c>
      <c r="D24" s="2" t="str">
        <f>"1473-0480"</f>
        <v>1473-0480</v>
      </c>
      <c r="F24" s="2" t="str">
        <f>"2013 Dec"</f>
        <v>2013 Dec</v>
      </c>
      <c r="G24" s="3" t="s">
        <v>4369</v>
      </c>
      <c r="I24" s="3" t="s">
        <v>4485</v>
      </c>
      <c r="K24" s="2">
        <v>24282203</v>
      </c>
      <c r="L24" s="1" t="s">
        <v>4486</v>
      </c>
      <c r="M24" s="1" t="s">
        <v>106</v>
      </c>
      <c r="N24" s="2" t="s">
        <v>21</v>
      </c>
      <c r="O24" s="1" t="s">
        <v>4487</v>
      </c>
      <c r="Q24" s="2" t="s">
        <v>4488</v>
      </c>
      <c r="R24" s="6" t="s">
        <v>4489</v>
      </c>
    </row>
    <row r="25" spans="1:18" ht="165" x14ac:dyDescent="0.25">
      <c r="A25" s="1" t="s">
        <v>4490</v>
      </c>
      <c r="B25" s="1" t="s">
        <v>4491</v>
      </c>
      <c r="C25" s="1" t="s">
        <v>36</v>
      </c>
      <c r="D25" s="2" t="str">
        <f>"1543-2742"</f>
        <v>1543-2742</v>
      </c>
      <c r="F25" s="2" t="str">
        <f>"2013 Feb"</f>
        <v>2013 Feb</v>
      </c>
      <c r="G25" s="3">
        <v>23</v>
      </c>
      <c r="H25" s="3">
        <v>1</v>
      </c>
      <c r="I25" s="3">
        <v>40</v>
      </c>
      <c r="K25" s="2">
        <v>22899814</v>
      </c>
      <c r="L25" s="1" t="s">
        <v>4492</v>
      </c>
      <c r="M25" s="1" t="s">
        <v>40</v>
      </c>
      <c r="N25" s="2" t="s">
        <v>21</v>
      </c>
      <c r="O25" s="1" t="s">
        <v>4493</v>
      </c>
      <c r="Q25" s="2" t="s">
        <v>4494</v>
      </c>
      <c r="R25" s="6" t="s">
        <v>4495</v>
      </c>
    </row>
    <row r="26" spans="1:18" ht="135" x14ac:dyDescent="0.25">
      <c r="A26" s="1" t="s">
        <v>4496</v>
      </c>
      <c r="B26" s="1" t="s">
        <v>4497</v>
      </c>
      <c r="C26" s="1" t="s">
        <v>696</v>
      </c>
      <c r="D26" s="2" t="str">
        <f>"1439-3964"</f>
        <v>1439-3964</v>
      </c>
      <c r="F26" s="2" t="str">
        <f>"2013 Sep"</f>
        <v>2013 Sep</v>
      </c>
      <c r="G26" s="3">
        <v>34</v>
      </c>
      <c r="H26" s="3">
        <v>9</v>
      </c>
      <c r="I26" s="3">
        <v>763</v>
      </c>
      <c r="K26" s="2">
        <v>23444086</v>
      </c>
      <c r="L26" s="1" t="s">
        <v>4498</v>
      </c>
      <c r="M26" s="1" t="s">
        <v>698</v>
      </c>
      <c r="N26" s="2" t="s">
        <v>21</v>
      </c>
      <c r="O26" s="1" t="s">
        <v>4499</v>
      </c>
      <c r="Q26" s="2" t="s">
        <v>4500</v>
      </c>
      <c r="R26" s="6" t="s">
        <v>4501</v>
      </c>
    </row>
    <row r="27" spans="1:18" ht="135" x14ac:dyDescent="0.25">
      <c r="A27" s="1" t="s">
        <v>4502</v>
      </c>
      <c r="B27" s="1" t="s">
        <v>2508</v>
      </c>
      <c r="C27" s="1" t="s">
        <v>2509</v>
      </c>
      <c r="D27" s="2" t="str">
        <f>"1943-393X"</f>
        <v>1943-393X</v>
      </c>
      <c r="F27" s="2" t="str">
        <f>"2013 Jul"</f>
        <v>2013 Jul</v>
      </c>
      <c r="G27" s="3">
        <v>75</v>
      </c>
      <c r="H27" s="3">
        <v>5</v>
      </c>
      <c r="I27" s="3">
        <v>835</v>
      </c>
      <c r="K27" s="2">
        <v>23649796</v>
      </c>
      <c r="L27" s="1" t="s">
        <v>4503</v>
      </c>
      <c r="M27" s="1" t="s">
        <v>895</v>
      </c>
      <c r="N27" s="2" t="s">
        <v>21</v>
      </c>
      <c r="O27" s="1" t="s">
        <v>4504</v>
      </c>
      <c r="Q27" s="2" t="s">
        <v>4505</v>
      </c>
      <c r="R27" s="6" t="s">
        <v>4506</v>
      </c>
    </row>
    <row r="28" spans="1:18" ht="75" x14ac:dyDescent="0.25">
      <c r="A28" s="1" t="s">
        <v>4507</v>
      </c>
      <c r="B28" s="1" t="s">
        <v>4508</v>
      </c>
      <c r="C28" s="1" t="s">
        <v>318</v>
      </c>
      <c r="D28" s="2" t="str">
        <f>"1555-0265"</f>
        <v>1555-0265</v>
      </c>
      <c r="F28" s="2" t="str">
        <f>"2013 Jul"</f>
        <v>2013 Jul</v>
      </c>
      <c r="G28" s="3">
        <v>8</v>
      </c>
      <c r="H28" s="3">
        <v>4</v>
      </c>
      <c r="I28" s="3">
        <v>379</v>
      </c>
      <c r="K28" s="2">
        <v>23863304</v>
      </c>
      <c r="L28" s="1" t="s">
        <v>4509</v>
      </c>
      <c r="M28" s="1" t="s">
        <v>322</v>
      </c>
      <c r="N28" s="2" t="s">
        <v>21</v>
      </c>
      <c r="O28" s="1" t="s">
        <v>4510</v>
      </c>
      <c r="Q28" s="2" t="s">
        <v>4511</v>
      </c>
      <c r="R28" s="6" t="s">
        <v>4512</v>
      </c>
    </row>
    <row r="29" spans="1:18" ht="45" x14ac:dyDescent="0.25">
      <c r="A29" s="1" t="s">
        <v>4513</v>
      </c>
      <c r="B29" s="1" t="s">
        <v>3735</v>
      </c>
      <c r="C29" s="1" t="s">
        <v>824</v>
      </c>
      <c r="D29" s="2" t="str">
        <f>"1715-5320"</f>
        <v>1715-5320</v>
      </c>
      <c r="F29" s="2" t="str">
        <f>"2013 Mar"</f>
        <v>2013 Mar</v>
      </c>
      <c r="G29" s="3">
        <v>38</v>
      </c>
      <c r="H29" s="3">
        <v>3</v>
      </c>
      <c r="I29" s="3">
        <v>306</v>
      </c>
      <c r="K29" s="2">
        <v>23537023</v>
      </c>
      <c r="L29" s="1" t="s">
        <v>4514</v>
      </c>
      <c r="M29" s="1" t="s">
        <v>826</v>
      </c>
      <c r="N29" s="2" t="s">
        <v>21</v>
      </c>
      <c r="O29" s="1" t="s">
        <v>4515</v>
      </c>
      <c r="Q29" s="2" t="s">
        <v>4516</v>
      </c>
      <c r="R29" s="6" t="s">
        <v>4517</v>
      </c>
    </row>
    <row r="30" spans="1:18" ht="120" x14ac:dyDescent="0.25">
      <c r="A30" s="1" t="s">
        <v>4518</v>
      </c>
      <c r="B30" s="1" t="s">
        <v>4519</v>
      </c>
      <c r="C30" s="1" t="s">
        <v>444</v>
      </c>
      <c r="D30" s="2" t="str">
        <f>"1179-2035"</f>
        <v>1179-2035</v>
      </c>
      <c r="F30" s="2" t="str">
        <f>"2013 Nov"</f>
        <v>2013 Nov</v>
      </c>
      <c r="G30" s="3">
        <v>43</v>
      </c>
      <c r="H30" s="3">
        <v>11</v>
      </c>
      <c r="I30" s="3">
        <v>1101</v>
      </c>
      <c r="K30" s="2">
        <v>23743793</v>
      </c>
      <c r="L30" s="1" t="s">
        <v>4520</v>
      </c>
      <c r="M30" s="1" t="s">
        <v>446</v>
      </c>
      <c r="N30" s="2" t="s">
        <v>21</v>
      </c>
      <c r="O30" s="1" t="s">
        <v>4521</v>
      </c>
      <c r="Q30" s="2" t="s">
        <v>4522</v>
      </c>
      <c r="R30" s="6" t="s">
        <v>4523</v>
      </c>
    </row>
    <row r="31" spans="1:18" ht="120" x14ac:dyDescent="0.25">
      <c r="A31" s="1" t="s">
        <v>4524</v>
      </c>
      <c r="B31" s="1" t="s">
        <v>4525</v>
      </c>
      <c r="C31" s="1" t="s">
        <v>444</v>
      </c>
      <c r="D31" s="2" t="str">
        <f>"1179-2035"</f>
        <v>1179-2035</v>
      </c>
      <c r="F31" s="2" t="str">
        <f>"2013 Jul"</f>
        <v>2013 Jul</v>
      </c>
      <c r="G31" s="3">
        <v>43</v>
      </c>
      <c r="H31" s="3">
        <v>7</v>
      </c>
      <c r="I31" s="3">
        <v>539</v>
      </c>
      <c r="K31" s="2">
        <v>23529286</v>
      </c>
      <c r="L31" s="1" t="s">
        <v>4526</v>
      </c>
      <c r="M31" s="1" t="s">
        <v>446</v>
      </c>
      <c r="N31" s="2" t="s">
        <v>21</v>
      </c>
      <c r="O31" s="1" t="s">
        <v>4527</v>
      </c>
      <c r="Q31" s="2" t="s">
        <v>4528</v>
      </c>
      <c r="R31" s="6" t="s">
        <v>4529</v>
      </c>
    </row>
  </sheetData>
  <hyperlinks>
    <hyperlink ref="R2" r:id="rId1" xr:uid="{9A8395B7-8642-4391-88EF-7D04DE39EA55}"/>
    <hyperlink ref="R3" r:id="rId2" xr:uid="{3CC1612E-5A15-47E2-8920-B59C7AA208B8}"/>
    <hyperlink ref="R4" r:id="rId3" xr:uid="{76C04316-EAE0-43BC-B2A4-C6E5E51D287F}"/>
    <hyperlink ref="R5" r:id="rId4" xr:uid="{1DAF7179-20D5-4A69-AC2A-EC7561109E42}"/>
    <hyperlink ref="R6" r:id="rId5" xr:uid="{F436F377-BD34-4479-8B15-C4E44DDA7F37}"/>
    <hyperlink ref="R7" r:id="rId6" xr:uid="{BEADE080-D4AB-4E4B-8369-12C5A179894A}"/>
    <hyperlink ref="R8" r:id="rId7" xr:uid="{F33AD890-C633-4F91-9C3F-B7D45A0B97A5}"/>
    <hyperlink ref="R9" r:id="rId8" xr:uid="{D6C9E768-B183-4A60-B091-D87E72F123D5}"/>
    <hyperlink ref="R10" r:id="rId9" xr:uid="{76D9D4E2-B42F-4D76-BA98-57C63C7E00D3}"/>
    <hyperlink ref="R11" r:id="rId10" xr:uid="{AC8CE0EC-F2FE-4DD3-9554-B3B6FA62B3D8}"/>
    <hyperlink ref="R12" r:id="rId11" xr:uid="{DD062E51-249B-49CF-BC00-946771CBD6FB}"/>
    <hyperlink ref="R13" r:id="rId12" xr:uid="{B0C2F198-8E3A-4FC7-B786-4AE12A90DB40}"/>
    <hyperlink ref="R14" r:id="rId13" xr:uid="{4F71823A-0B3F-45A9-9E2A-FB4CA286DE7E}"/>
    <hyperlink ref="R15" r:id="rId14" xr:uid="{D0158418-4EA4-4AF9-8DC2-245D7C10BDA3}"/>
    <hyperlink ref="R16" r:id="rId15" xr:uid="{39D5CFC3-CCE8-4F68-8306-5955DD6EE2A6}"/>
    <hyperlink ref="R17" r:id="rId16" xr:uid="{A4A44328-A2DE-4E9E-9C51-AB287A87D3FC}"/>
    <hyperlink ref="R18" r:id="rId17" xr:uid="{D7E4562F-0489-4ABC-8550-433D0C4D49A2}"/>
    <hyperlink ref="R19" r:id="rId18" xr:uid="{44369F74-5566-4F61-A31C-E45EF33AC429}"/>
    <hyperlink ref="R20" r:id="rId19" xr:uid="{A5A3FCEF-579D-4BED-9E2A-9E7633379D24}"/>
    <hyperlink ref="R21" r:id="rId20" xr:uid="{2DFB2FC2-90DB-404D-9D71-27ABB2AF865F}"/>
    <hyperlink ref="R22" r:id="rId21" xr:uid="{68172EFF-2E00-422E-B233-4E191DD996BB}"/>
    <hyperlink ref="R23" r:id="rId22" xr:uid="{1EB65FED-CD97-4ECB-A5F5-9928607EC851}"/>
    <hyperlink ref="R24" r:id="rId23" xr:uid="{5B6D8AB0-7FDB-42D8-BC03-AF421A6C57FE}"/>
    <hyperlink ref="R25" r:id="rId24" xr:uid="{1AF774F0-3DCE-4834-823F-43CD051A4C57}"/>
    <hyperlink ref="R26" r:id="rId25" xr:uid="{1623EE3B-48FC-4FD9-9D3D-441E8319F432}"/>
    <hyperlink ref="R27" r:id="rId26" xr:uid="{B8B46090-6243-4A8A-AA2D-E42F57C6D24B}"/>
    <hyperlink ref="R28" r:id="rId27" xr:uid="{B527B9E1-5904-4D06-99B1-E7D8DFAC6D50}"/>
    <hyperlink ref="R29" r:id="rId28" xr:uid="{32D63B40-FE97-4D09-937C-DA4492C1D48F}"/>
    <hyperlink ref="R30" r:id="rId29" xr:uid="{230B7926-92D6-4425-A0C0-69A7A2F871BD}"/>
    <hyperlink ref="R31" r:id="rId30" xr:uid="{844F2D2E-A3EB-4F98-B423-52C4C9869628}"/>
  </hyperlinks>
  <pageMargins left="0.7" right="0.7" top="0.75" bottom="0.75" header="0.3" footer="0.3"/>
  <headerFooter>
    <oddHeader>&amp;C&amp;"Calibri"&amp;12&amp;KFF0000 OFFICIAL&amp;1#_x000D_</oddHeader>
  </headerFooter>
  <tableParts count="1">
    <tablePart r:id="rId3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25"/>
  <sheetViews>
    <sheetView workbookViewId="0">
      <selection activeCell="R9" sqref="R9"/>
    </sheetView>
  </sheetViews>
  <sheetFormatPr defaultColWidth="8.7109375" defaultRowHeight="15" x14ac:dyDescent="0.25"/>
  <cols>
    <col min="1" max="1" width="29.85546875" style="1" customWidth="1"/>
    <col min="2" max="2" width="27.85546875" style="1" customWidth="1"/>
    <col min="3" max="3" width="30.7109375" style="1" customWidth="1"/>
    <col min="4" max="4" width="9.42578125" style="2" bestFit="1" customWidth="1"/>
    <col min="5" max="5" width="0"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25.140625" style="1" customWidth="1"/>
    <col min="13" max="13" width="37.85546875" style="1" customWidth="1"/>
    <col min="14" max="14" width="21" style="2" bestFit="1" customWidth="1"/>
    <col min="15" max="15" width="47.42578125" style="1" customWidth="1"/>
    <col min="16" max="16" width="20.140625" style="2" hidden="1" customWidth="1"/>
    <col min="17" max="17" width="39" style="2" customWidth="1"/>
    <col min="18" max="18" width="26.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1" t="s">
        <v>8</v>
      </c>
      <c r="M1" s="1" t="s">
        <v>9</v>
      </c>
      <c r="N1" s="2" t="s">
        <v>10</v>
      </c>
      <c r="O1" s="1" t="s">
        <v>11</v>
      </c>
      <c r="P1" s="2" t="s">
        <v>779</v>
      </c>
      <c r="Q1" s="2" t="s">
        <v>12</v>
      </c>
      <c r="R1" s="2" t="s">
        <v>13</v>
      </c>
    </row>
    <row r="2" spans="1:18" ht="105" x14ac:dyDescent="0.25">
      <c r="A2" s="1" t="s">
        <v>4530</v>
      </c>
      <c r="B2" s="1" t="s">
        <v>4531</v>
      </c>
      <c r="C2" s="1" t="s">
        <v>1451</v>
      </c>
      <c r="D2" s="2" t="str">
        <f>"1938-162X"</f>
        <v>1938-162X</v>
      </c>
      <c r="F2" s="2" t="str">
        <f>"2012 Nov-Dec"</f>
        <v>2012 Nov-Dec</v>
      </c>
      <c r="G2" s="3">
        <v>47</v>
      </c>
      <c r="H2" s="3">
        <v>6</v>
      </c>
      <c r="I2" s="3">
        <v>627</v>
      </c>
      <c r="K2" s="2">
        <v>23182010</v>
      </c>
      <c r="L2" s="1" t="s">
        <v>4532</v>
      </c>
      <c r="M2" s="1" t="s">
        <v>1453</v>
      </c>
      <c r="N2" s="2" t="s">
        <v>21</v>
      </c>
      <c r="O2" s="1" t="s">
        <v>4533</v>
      </c>
      <c r="Q2" s="2" t="s">
        <v>4534</v>
      </c>
      <c r="R2" s="6" t="s">
        <v>4535</v>
      </c>
    </row>
    <row r="3" spans="1:18" ht="90" x14ac:dyDescent="0.25">
      <c r="A3" s="1" t="s">
        <v>4536</v>
      </c>
      <c r="B3" s="1" t="s">
        <v>2508</v>
      </c>
      <c r="C3" s="1" t="s">
        <v>3772</v>
      </c>
      <c r="D3" s="2" t="str">
        <f>"1747-0226"</f>
        <v>1747-0226</v>
      </c>
      <c r="F3" s="2" t="str">
        <f>"2012"</f>
        <v>2012</v>
      </c>
      <c r="G3" s="3">
        <v>65</v>
      </c>
      <c r="H3" s="3">
        <v>6</v>
      </c>
      <c r="I3" s="3">
        <v>1151</v>
      </c>
      <c r="K3" s="2">
        <v>22414197</v>
      </c>
      <c r="L3" s="1" t="s">
        <v>4537</v>
      </c>
      <c r="M3" s="1" t="s">
        <v>3774</v>
      </c>
      <c r="N3" s="2" t="s">
        <v>21</v>
      </c>
      <c r="O3" s="1" t="s">
        <v>4538</v>
      </c>
      <c r="Q3" s="2" t="s">
        <v>4539</v>
      </c>
      <c r="R3" s="6" t="s">
        <v>4540</v>
      </c>
    </row>
    <row r="4" spans="1:18" ht="90" x14ac:dyDescent="0.25">
      <c r="A4" s="1" t="s">
        <v>4541</v>
      </c>
      <c r="B4" s="1" t="s">
        <v>4542</v>
      </c>
      <c r="C4" s="1" t="s">
        <v>1687</v>
      </c>
      <c r="D4" s="2" t="str">
        <f>"1543-2688"</f>
        <v>1543-2688</v>
      </c>
      <c r="F4" s="2" t="str">
        <f>"2012 Dec"</f>
        <v>2012 Dec</v>
      </c>
      <c r="G4" s="3">
        <v>28</v>
      </c>
      <c r="H4" s="3">
        <v>6</v>
      </c>
      <c r="I4" s="3">
        <v>746</v>
      </c>
      <c r="K4" s="2">
        <v>22695220</v>
      </c>
      <c r="L4" s="1" t="s">
        <v>4543</v>
      </c>
      <c r="M4" s="1" t="s">
        <v>40</v>
      </c>
      <c r="N4" s="2" t="s">
        <v>924</v>
      </c>
      <c r="O4" s="1" t="s">
        <v>4544</v>
      </c>
      <c r="Q4" s="2" t="s">
        <v>4545</v>
      </c>
      <c r="R4" s="6" t="s">
        <v>4546</v>
      </c>
    </row>
    <row r="5" spans="1:18" ht="75" x14ac:dyDescent="0.25">
      <c r="A5" s="1" t="s">
        <v>4547</v>
      </c>
      <c r="B5" s="1" t="s">
        <v>4548</v>
      </c>
      <c r="C5" s="1" t="s">
        <v>921</v>
      </c>
      <c r="D5" s="2" t="str">
        <f>"1466-447X"</f>
        <v>1466-447X</v>
      </c>
      <c r="F5" s="2" t="str">
        <f>"2012"</f>
        <v>2012</v>
      </c>
      <c r="G5" s="3">
        <v>30</v>
      </c>
      <c r="H5" s="3">
        <v>4</v>
      </c>
      <c r="I5" s="3">
        <v>387</v>
      </c>
      <c r="K5" s="2">
        <v>22214481</v>
      </c>
      <c r="L5" s="1" t="s">
        <v>4549</v>
      </c>
      <c r="M5" s="1" t="s">
        <v>923</v>
      </c>
      <c r="N5" s="2" t="s">
        <v>21</v>
      </c>
      <c r="O5" s="1" t="s">
        <v>4550</v>
      </c>
      <c r="Q5" s="2" t="s">
        <v>4551</v>
      </c>
      <c r="R5" s="6" t="s">
        <v>4552</v>
      </c>
    </row>
    <row r="6" spans="1:18" ht="60" x14ac:dyDescent="0.25">
      <c r="A6" s="1" t="s">
        <v>4553</v>
      </c>
      <c r="B6" s="1" t="s">
        <v>4554</v>
      </c>
      <c r="C6" s="1" t="s">
        <v>55</v>
      </c>
      <c r="D6" s="2" t="str">
        <f>"1878-1861"</f>
        <v>1878-1861</v>
      </c>
      <c r="F6" s="2" t="str">
        <f>"2012 Jan"</f>
        <v>2012 Jan</v>
      </c>
      <c r="G6" s="3">
        <v>15</v>
      </c>
      <c r="H6" s="3">
        <v>1</v>
      </c>
      <c r="I6" s="3">
        <v>74</v>
      </c>
      <c r="K6" s="2">
        <v>21820960</v>
      </c>
      <c r="L6" s="1" t="s">
        <v>4555</v>
      </c>
      <c r="M6" s="1" t="s">
        <v>59</v>
      </c>
      <c r="N6" s="2" t="s">
        <v>21</v>
      </c>
      <c r="O6" s="1" t="s">
        <v>4556</v>
      </c>
      <c r="Q6" s="2" t="s">
        <v>4557</v>
      </c>
      <c r="R6" s="6" t="s">
        <v>4558</v>
      </c>
    </row>
    <row r="7" spans="1:18" ht="105" x14ac:dyDescent="0.25">
      <c r="A7" s="1" t="s">
        <v>4559</v>
      </c>
      <c r="B7" s="1" t="s">
        <v>4560</v>
      </c>
      <c r="C7" s="1" t="s">
        <v>181</v>
      </c>
      <c r="D7" s="2" t="str">
        <f>"2072-6643"</f>
        <v>2072-6643</v>
      </c>
      <c r="F7" s="2" t="str">
        <f>"2012 Oct 09"</f>
        <v>2012 Oct 09</v>
      </c>
      <c r="G7" s="3">
        <v>4</v>
      </c>
      <c r="H7" s="3">
        <v>10</v>
      </c>
      <c r="I7" s="3">
        <v>1441</v>
      </c>
      <c r="K7" s="2">
        <v>23201763</v>
      </c>
      <c r="L7" s="1" t="s">
        <v>4561</v>
      </c>
      <c r="M7" s="1" t="s">
        <v>185</v>
      </c>
      <c r="N7" s="2" t="s">
        <v>21</v>
      </c>
      <c r="O7" s="1" t="s">
        <v>4562</v>
      </c>
      <c r="Q7" s="2" t="s">
        <v>4563</v>
      </c>
      <c r="R7" s="6" t="s">
        <v>4564</v>
      </c>
    </row>
    <row r="8" spans="1:18" ht="195" x14ac:dyDescent="0.25">
      <c r="A8" s="1" t="s">
        <v>4565</v>
      </c>
      <c r="B8" s="1" t="s">
        <v>4519</v>
      </c>
      <c r="C8" s="1" t="s">
        <v>318</v>
      </c>
      <c r="D8" s="2" t="str">
        <f>"1555-0265"</f>
        <v>1555-0265</v>
      </c>
      <c r="F8" s="2" t="str">
        <f>"2012 Jun"</f>
        <v>2012 Jun</v>
      </c>
      <c r="G8" s="3">
        <v>7</v>
      </c>
      <c r="H8" s="3">
        <v>2</v>
      </c>
      <c r="I8" s="3">
        <v>130</v>
      </c>
      <c r="K8" s="2">
        <v>22173197</v>
      </c>
      <c r="L8" s="1" t="s">
        <v>4566</v>
      </c>
      <c r="M8" s="1" t="s">
        <v>322</v>
      </c>
      <c r="N8" s="2" t="s">
        <v>21</v>
      </c>
      <c r="O8" s="1" t="s">
        <v>4567</v>
      </c>
      <c r="Q8" s="2" t="s">
        <v>4568</v>
      </c>
      <c r="R8" s="6" t="s">
        <v>4569</v>
      </c>
    </row>
    <row r="9" spans="1:18" ht="150" x14ac:dyDescent="0.25">
      <c r="A9" s="1" t="s">
        <v>4570</v>
      </c>
      <c r="B9" s="1" t="s">
        <v>4571</v>
      </c>
      <c r="C9" s="1" t="s">
        <v>36</v>
      </c>
      <c r="D9" s="2" t="str">
        <f>"1543-2742"</f>
        <v>1543-2742</v>
      </c>
      <c r="F9" s="2" t="str">
        <f>"2012 Dec"</f>
        <v>2012 Dec</v>
      </c>
      <c r="G9" s="3">
        <v>22</v>
      </c>
      <c r="H9" s="3">
        <v>6</v>
      </c>
      <c r="I9" s="3">
        <v>452</v>
      </c>
      <c r="K9" s="2">
        <v>22807528</v>
      </c>
      <c r="L9" s="1" t="s">
        <v>4572</v>
      </c>
      <c r="M9" s="1" t="s">
        <v>40</v>
      </c>
      <c r="N9" s="2" t="s">
        <v>924</v>
      </c>
      <c r="O9" s="1" t="s">
        <v>4573</v>
      </c>
      <c r="Q9" s="2" t="s">
        <v>4574</v>
      </c>
      <c r="R9" s="6" t="s">
        <v>4575</v>
      </c>
    </row>
    <row r="10" spans="1:18" ht="75" x14ac:dyDescent="0.25">
      <c r="A10" s="1" t="s">
        <v>4576</v>
      </c>
      <c r="B10" s="1" t="s">
        <v>4409</v>
      </c>
      <c r="C10" s="1" t="s">
        <v>797</v>
      </c>
      <c r="D10" s="2" t="str">
        <f>"1530-0315"</f>
        <v>1530-0315</v>
      </c>
      <c r="F10" s="2" t="str">
        <f>"2012 Jan"</f>
        <v>2012 Jan</v>
      </c>
      <c r="G10" s="3">
        <v>44</v>
      </c>
      <c r="H10" s="3">
        <v>1</v>
      </c>
      <c r="I10" s="3">
        <v>180</v>
      </c>
      <c r="K10" s="2">
        <v>22179140</v>
      </c>
      <c r="L10" s="1" t="s">
        <v>4577</v>
      </c>
      <c r="M10" s="1" t="s">
        <v>156</v>
      </c>
      <c r="N10" s="2" t="s">
        <v>21</v>
      </c>
      <c r="O10" s="1" t="s">
        <v>4578</v>
      </c>
      <c r="Q10" s="2" t="s">
        <v>4579</v>
      </c>
      <c r="R10" s="6" t="s">
        <v>4580</v>
      </c>
    </row>
    <row r="11" spans="1:18" ht="105" x14ac:dyDescent="0.25">
      <c r="A11" s="1" t="s">
        <v>4581</v>
      </c>
      <c r="B11" s="1" t="s">
        <v>4582</v>
      </c>
      <c r="C11" s="1" t="s">
        <v>4583</v>
      </c>
      <c r="D11" s="2" t="str">
        <f>"1550-2783"</f>
        <v>1550-2783</v>
      </c>
      <c r="F11" s="2" t="str">
        <f>"2012 Dec 17"</f>
        <v>2012 Dec 17</v>
      </c>
      <c r="G11" s="3">
        <v>9</v>
      </c>
      <c r="H11" s="3">
        <v>1</v>
      </c>
      <c r="I11" s="3">
        <v>55</v>
      </c>
      <c r="K11" s="2">
        <v>23245800</v>
      </c>
      <c r="L11" s="1" t="s">
        <v>4584</v>
      </c>
      <c r="M11" s="1" t="s">
        <v>4585</v>
      </c>
      <c r="N11" s="2" t="s">
        <v>21</v>
      </c>
      <c r="Q11" s="2" t="s">
        <v>4586</v>
      </c>
      <c r="R11" s="6" t="s">
        <v>4587</v>
      </c>
    </row>
    <row r="12" spans="1:18" ht="75" x14ac:dyDescent="0.25">
      <c r="A12" s="1" t="s">
        <v>4588</v>
      </c>
      <c r="B12" s="1" t="s">
        <v>4589</v>
      </c>
      <c r="C12" s="1" t="s">
        <v>533</v>
      </c>
      <c r="D12" s="2" t="str">
        <f>"1873-1600"</f>
        <v>1873-1600</v>
      </c>
      <c r="F12" s="2" t="str">
        <f>"2012 Aug"</f>
        <v>2012 Aug</v>
      </c>
      <c r="G12" s="3">
        <v>13</v>
      </c>
      <c r="H12" s="3">
        <v>3</v>
      </c>
      <c r="I12" s="3">
        <v>134</v>
      </c>
      <c r="K12" s="2">
        <v>22814446</v>
      </c>
      <c r="L12" s="1" t="s">
        <v>4590</v>
      </c>
      <c r="M12" s="1" t="s">
        <v>535</v>
      </c>
      <c r="N12" s="2" t="s">
        <v>924</v>
      </c>
      <c r="O12" s="1" t="s">
        <v>4591</v>
      </c>
      <c r="Q12" s="2" t="s">
        <v>4592</v>
      </c>
      <c r="R12" s="6" t="s">
        <v>4593</v>
      </c>
    </row>
    <row r="13" spans="1:18" ht="45" x14ac:dyDescent="0.25">
      <c r="A13" s="1" t="s">
        <v>4594</v>
      </c>
      <c r="B13" s="1" t="s">
        <v>4595</v>
      </c>
      <c r="C13" s="1" t="s">
        <v>55</v>
      </c>
      <c r="D13" s="2" t="str">
        <f>"1878-1861"</f>
        <v>1878-1861</v>
      </c>
      <c r="F13" s="2" t="str">
        <f>"2012 Jul"</f>
        <v>2012 Jul</v>
      </c>
      <c r="G13" s="3">
        <v>15</v>
      </c>
      <c r="H13" s="3">
        <v>4</v>
      </c>
      <c r="I13" s="3">
        <v>361</v>
      </c>
      <c r="K13" s="2">
        <v>22192624</v>
      </c>
      <c r="L13" s="1" t="s">
        <v>4596</v>
      </c>
      <c r="M13" s="1" t="s">
        <v>59</v>
      </c>
      <c r="N13" s="2" t="s">
        <v>21</v>
      </c>
      <c r="O13" s="1" t="s">
        <v>4597</v>
      </c>
      <c r="Q13" s="2" t="s">
        <v>4598</v>
      </c>
      <c r="R13" s="6" t="s">
        <v>4599</v>
      </c>
    </row>
    <row r="14" spans="1:18" ht="90" x14ac:dyDescent="0.25">
      <c r="A14" s="1" t="s">
        <v>4600</v>
      </c>
      <c r="B14" s="1" t="s">
        <v>4601</v>
      </c>
      <c r="C14" s="1" t="s">
        <v>46</v>
      </c>
      <c r="D14" s="2" t="str">
        <f>"1439-6327"</f>
        <v>1439-6327</v>
      </c>
      <c r="F14" s="2" t="str">
        <f>"2012 Sep"</f>
        <v>2012 Sep</v>
      </c>
      <c r="G14" s="3">
        <v>112</v>
      </c>
      <c r="H14" s="3">
        <v>9</v>
      </c>
      <c r="I14" s="3">
        <v>3275</v>
      </c>
      <c r="K14" s="2">
        <v>22234397</v>
      </c>
      <c r="L14" s="1" t="s">
        <v>4602</v>
      </c>
      <c r="M14" s="1" t="s">
        <v>50</v>
      </c>
      <c r="N14" s="2" t="s">
        <v>21</v>
      </c>
      <c r="O14" s="1" t="s">
        <v>4603</v>
      </c>
      <c r="Q14" s="2" t="s">
        <v>4604</v>
      </c>
      <c r="R14" s="6" t="s">
        <v>4605</v>
      </c>
    </row>
    <row r="15" spans="1:18" ht="135" x14ac:dyDescent="0.25">
      <c r="A15" s="1" t="s">
        <v>4606</v>
      </c>
      <c r="B15" s="1" t="s">
        <v>4607</v>
      </c>
      <c r="C15" s="1" t="s">
        <v>102</v>
      </c>
      <c r="D15" s="2" t="str">
        <f>"1473-0480"</f>
        <v>1473-0480</v>
      </c>
      <c r="F15" s="2" t="str">
        <f>"2012 Jun"</f>
        <v>2012 Jun</v>
      </c>
      <c r="G15" s="3">
        <v>46</v>
      </c>
      <c r="H15" s="3">
        <v>7</v>
      </c>
      <c r="I15" s="3">
        <v>515</v>
      </c>
      <c r="K15" s="2">
        <v>22171337</v>
      </c>
      <c r="L15" s="1" t="s">
        <v>4608</v>
      </c>
      <c r="M15" s="1" t="s">
        <v>106</v>
      </c>
      <c r="N15" s="2" t="s">
        <v>21</v>
      </c>
      <c r="O15" s="1" t="s">
        <v>4609</v>
      </c>
      <c r="Q15" s="2" t="s">
        <v>4610</v>
      </c>
      <c r="R15" s="6" t="s">
        <v>4611</v>
      </c>
    </row>
    <row r="16" spans="1:18" ht="75" x14ac:dyDescent="0.25">
      <c r="A16" s="1" t="s">
        <v>4612</v>
      </c>
      <c r="B16" s="1" t="s">
        <v>4613</v>
      </c>
      <c r="C16" s="1" t="s">
        <v>1687</v>
      </c>
      <c r="D16" s="2" t="str">
        <f>"1543-2688"</f>
        <v>1543-2688</v>
      </c>
      <c r="F16" s="2" t="str">
        <f>"2012 Dec"</f>
        <v>2012 Dec</v>
      </c>
      <c r="G16" s="3">
        <v>28</v>
      </c>
      <c r="H16" s="3">
        <v>6</v>
      </c>
      <c r="I16" s="3">
        <v>687</v>
      </c>
      <c r="K16" s="2">
        <v>23348132</v>
      </c>
      <c r="L16" s="1" t="s">
        <v>4614</v>
      </c>
      <c r="M16" s="1" t="s">
        <v>40</v>
      </c>
      <c r="N16" s="2" t="s">
        <v>21</v>
      </c>
      <c r="O16" s="1" t="s">
        <v>4615</v>
      </c>
      <c r="Q16" s="2" t="s">
        <v>4616</v>
      </c>
      <c r="R16" s="6" t="s">
        <v>4617</v>
      </c>
    </row>
    <row r="17" spans="1:18" ht="90" x14ac:dyDescent="0.25">
      <c r="A17" s="1" t="s">
        <v>4618</v>
      </c>
      <c r="B17" s="1" t="s">
        <v>4467</v>
      </c>
      <c r="C17" s="1" t="s">
        <v>55</v>
      </c>
      <c r="D17" s="2" t="str">
        <f>"1878-1861"</f>
        <v>1878-1861</v>
      </c>
      <c r="F17" s="2" t="str">
        <f>"2012 May"</f>
        <v>2012 May</v>
      </c>
      <c r="G17" s="3">
        <v>15</v>
      </c>
      <c r="H17" s="3">
        <v>3</v>
      </c>
      <c r="I17" s="3">
        <v>277</v>
      </c>
      <c r="K17" s="2">
        <v>22188846</v>
      </c>
      <c r="L17" s="1" t="s">
        <v>4619</v>
      </c>
      <c r="M17" s="1" t="s">
        <v>59</v>
      </c>
      <c r="N17" s="2" t="s">
        <v>21</v>
      </c>
      <c r="O17" s="1" t="s">
        <v>4620</v>
      </c>
      <c r="Q17" s="2" t="s">
        <v>4621</v>
      </c>
      <c r="R17" s="6" t="s">
        <v>4622</v>
      </c>
    </row>
    <row r="18" spans="1:18" ht="105" x14ac:dyDescent="0.25">
      <c r="A18" s="1" t="s">
        <v>4623</v>
      </c>
      <c r="B18" s="1" t="s">
        <v>4624</v>
      </c>
      <c r="C18" s="1" t="s">
        <v>921</v>
      </c>
      <c r="D18" s="2" t="str">
        <f>"1466-447X"</f>
        <v>1466-447X</v>
      </c>
      <c r="F18" s="2" t="str">
        <f>"2012"</f>
        <v>2012</v>
      </c>
      <c r="G18" s="3">
        <v>30</v>
      </c>
      <c r="H18" s="3">
        <v>14</v>
      </c>
      <c r="I18" s="3">
        <v>1463</v>
      </c>
      <c r="K18" s="2">
        <v>22928779</v>
      </c>
      <c r="L18" s="1" t="s">
        <v>4625</v>
      </c>
      <c r="M18" s="1" t="s">
        <v>923</v>
      </c>
      <c r="N18" s="2" t="s">
        <v>3421</v>
      </c>
      <c r="O18" s="1" t="s">
        <v>4626</v>
      </c>
      <c r="Q18" s="2" t="s">
        <v>4627</v>
      </c>
      <c r="R18" s="6" t="s">
        <v>4628</v>
      </c>
    </row>
    <row r="19" spans="1:18" ht="60" x14ac:dyDescent="0.25">
      <c r="A19" s="1" t="s">
        <v>4629</v>
      </c>
      <c r="B19" s="1" t="s">
        <v>4630</v>
      </c>
      <c r="C19" s="1" t="s">
        <v>55</v>
      </c>
      <c r="D19" s="2" t="str">
        <f>"1878-1861"</f>
        <v>1878-1861</v>
      </c>
      <c r="F19" s="2" t="str">
        <f>"2012 Mar"</f>
        <v>2012 Mar</v>
      </c>
      <c r="G19" s="3">
        <v>15</v>
      </c>
      <c r="H19" s="3">
        <v>2</v>
      </c>
      <c r="I19" s="3">
        <v>182</v>
      </c>
      <c r="K19" s="2">
        <v>21907618</v>
      </c>
      <c r="L19" s="1" t="s">
        <v>4631</v>
      </c>
      <c r="M19" s="1" t="s">
        <v>59</v>
      </c>
      <c r="N19" s="2" t="s">
        <v>21</v>
      </c>
      <c r="O19" s="1" t="s">
        <v>4632</v>
      </c>
      <c r="Q19" s="2" t="s">
        <v>4633</v>
      </c>
      <c r="R19" s="6" t="s">
        <v>4634</v>
      </c>
    </row>
    <row r="20" spans="1:18" ht="135" x14ac:dyDescent="0.25">
      <c r="A20" s="1" t="s">
        <v>4635</v>
      </c>
      <c r="B20" s="1" t="s">
        <v>4636</v>
      </c>
      <c r="C20" s="1" t="s">
        <v>797</v>
      </c>
      <c r="D20" s="2" t="str">
        <f>"1530-0315"</f>
        <v>1530-0315</v>
      </c>
      <c r="F20" s="2" t="str">
        <f>"2012 Oct"</f>
        <v>2012 Oct</v>
      </c>
      <c r="G20" s="3">
        <v>44</v>
      </c>
      <c r="H20" s="3">
        <v>10</v>
      </c>
      <c r="I20" s="3">
        <v>1968</v>
      </c>
      <c r="K20" s="2">
        <v>22617396</v>
      </c>
      <c r="L20" s="1" t="s">
        <v>4637</v>
      </c>
      <c r="M20" s="1" t="s">
        <v>156</v>
      </c>
      <c r="N20" s="2" t="s">
        <v>21</v>
      </c>
      <c r="O20" s="1" t="s">
        <v>4638</v>
      </c>
      <c r="Q20" s="2" t="s">
        <v>4639</v>
      </c>
      <c r="R20" s="6" t="s">
        <v>4640</v>
      </c>
    </row>
    <row r="21" spans="1:18" ht="75" x14ac:dyDescent="0.25">
      <c r="A21" s="1" t="s">
        <v>4641</v>
      </c>
      <c r="B21" s="1" t="s">
        <v>4642</v>
      </c>
      <c r="C21" s="1" t="s">
        <v>921</v>
      </c>
      <c r="D21" s="2" t="str">
        <f>"1466-447X"</f>
        <v>1466-447X</v>
      </c>
      <c r="F21" s="2" t="str">
        <f>"2012"</f>
        <v>2012</v>
      </c>
      <c r="G21" s="3" t="s">
        <v>4643</v>
      </c>
      <c r="I21" s="3" t="s">
        <v>3645</v>
      </c>
      <c r="K21" s="2">
        <v>22551533</v>
      </c>
      <c r="L21" s="1" t="s">
        <v>4644</v>
      </c>
      <c r="M21" s="1" t="s">
        <v>923</v>
      </c>
      <c r="N21" s="2" t="s">
        <v>21</v>
      </c>
      <c r="O21" s="1" t="s">
        <v>4645</v>
      </c>
      <c r="Q21" s="2" t="s">
        <v>4646</v>
      </c>
      <c r="R21" s="6" t="s">
        <v>4647</v>
      </c>
    </row>
    <row r="22" spans="1:18" ht="150" x14ac:dyDescent="0.25">
      <c r="A22" s="1" t="s">
        <v>4648</v>
      </c>
      <c r="B22" s="1" t="s">
        <v>4649</v>
      </c>
      <c r="C22" s="1" t="s">
        <v>318</v>
      </c>
      <c r="D22" s="2" t="str">
        <f>"1555-0265"</f>
        <v>1555-0265</v>
      </c>
      <c r="F22" s="2" t="str">
        <f>"2012 Jun"</f>
        <v>2012 Jun</v>
      </c>
      <c r="G22" s="3">
        <v>7</v>
      </c>
      <c r="H22" s="3">
        <v>2</v>
      </c>
      <c r="I22" s="3">
        <v>152</v>
      </c>
      <c r="K22" s="2">
        <v>22634964</v>
      </c>
      <c r="L22" s="1" t="s">
        <v>4650</v>
      </c>
      <c r="M22" s="1" t="s">
        <v>322</v>
      </c>
      <c r="N22" s="2" t="s">
        <v>924</v>
      </c>
      <c r="O22" s="1" t="s">
        <v>4651</v>
      </c>
      <c r="Q22" s="2" t="s">
        <v>4652</v>
      </c>
      <c r="R22" s="6" t="s">
        <v>4653</v>
      </c>
    </row>
    <row r="23" spans="1:18" ht="105" x14ac:dyDescent="0.25">
      <c r="A23" s="1" t="s">
        <v>4654</v>
      </c>
      <c r="B23" s="1" t="s">
        <v>4655</v>
      </c>
      <c r="C23" s="1" t="s">
        <v>696</v>
      </c>
      <c r="D23" s="2" t="str">
        <f>"1439-3964"</f>
        <v>1439-3964</v>
      </c>
      <c r="F23" s="2" t="str">
        <f>"2012 Sep"</f>
        <v>2012 Sep</v>
      </c>
      <c r="G23" s="3">
        <v>33</v>
      </c>
      <c r="H23" s="3">
        <v>9</v>
      </c>
      <c r="I23" s="3">
        <v>691</v>
      </c>
      <c r="K23" s="2">
        <v>22706938</v>
      </c>
      <c r="L23" s="1" t="s">
        <v>4656</v>
      </c>
      <c r="M23" s="1" t="s">
        <v>698</v>
      </c>
      <c r="N23" s="2" t="s">
        <v>21</v>
      </c>
      <c r="O23" s="1" t="s">
        <v>4657</v>
      </c>
      <c r="Q23" s="2" t="s">
        <v>4658</v>
      </c>
      <c r="R23" s="6" t="s">
        <v>4659</v>
      </c>
    </row>
    <row r="24" spans="1:18" ht="90" x14ac:dyDescent="0.25">
      <c r="A24" s="1" t="s">
        <v>4660</v>
      </c>
      <c r="B24" s="1" t="s">
        <v>4409</v>
      </c>
      <c r="C24" s="1" t="s">
        <v>36</v>
      </c>
      <c r="D24" s="2" t="str">
        <f>"1543-2742"</f>
        <v>1543-2742</v>
      </c>
      <c r="F24" s="2" t="str">
        <f>"2012 Oct"</f>
        <v>2012 Oct</v>
      </c>
      <c r="G24" s="3">
        <v>22</v>
      </c>
      <c r="H24" s="3">
        <v>5</v>
      </c>
      <c r="I24" s="3">
        <v>313</v>
      </c>
      <c r="K24" s="2">
        <v>23011648</v>
      </c>
      <c r="L24" s="1" t="s">
        <v>4661</v>
      </c>
      <c r="M24" s="1" t="s">
        <v>40</v>
      </c>
      <c r="N24" s="2" t="s">
        <v>21</v>
      </c>
      <c r="O24" s="1" t="s">
        <v>4662</v>
      </c>
      <c r="Q24" s="2" t="s">
        <v>4663</v>
      </c>
      <c r="R24" s="6" t="s">
        <v>4664</v>
      </c>
    </row>
    <row r="25" spans="1:18" ht="75" x14ac:dyDescent="0.25">
      <c r="A25" s="1" t="s">
        <v>4665</v>
      </c>
      <c r="B25" s="1" t="s">
        <v>4666</v>
      </c>
      <c r="C25" s="1" t="s">
        <v>82</v>
      </c>
      <c r="D25" s="2" t="str">
        <f>"1600-0838"</f>
        <v>1600-0838</v>
      </c>
      <c r="F25" s="2" t="str">
        <f>"2012 Feb"</f>
        <v>2012 Feb</v>
      </c>
      <c r="G25" s="3">
        <v>22</v>
      </c>
      <c r="H25" s="3">
        <v>1</v>
      </c>
      <c r="I25" s="3">
        <v>95</v>
      </c>
      <c r="K25" s="2">
        <v>20561279</v>
      </c>
      <c r="L25" s="1" t="s">
        <v>4667</v>
      </c>
      <c r="M25" s="1" t="s">
        <v>86</v>
      </c>
      <c r="N25" s="2" t="s">
        <v>21</v>
      </c>
      <c r="O25" s="1" t="s">
        <v>4668</v>
      </c>
      <c r="Q25" s="2" t="s">
        <v>4669</v>
      </c>
      <c r="R25" s="6" t="s">
        <v>4670</v>
      </c>
    </row>
  </sheetData>
  <hyperlinks>
    <hyperlink ref="R2" r:id="rId1" xr:uid="{CFCD5381-A6CC-46BC-98B7-7CB4AAA352C2}"/>
    <hyperlink ref="R7" r:id="rId2" xr:uid="{F9AF03B3-F63D-4329-91CB-14D8791C139F}"/>
    <hyperlink ref="R9" r:id="rId3" xr:uid="{46D4AC3B-05B0-438F-ADA0-EFDAAB11F13C}"/>
    <hyperlink ref="R10" r:id="rId4" xr:uid="{8F02DDB9-F62E-4FC7-A8AA-99494221D682}"/>
    <hyperlink ref="R11" r:id="rId5" xr:uid="{1131F258-50F0-4682-A5F0-A28F2C0E644C}"/>
    <hyperlink ref="R12" r:id="rId6" xr:uid="{757BF214-B479-47DC-8AC6-1E403D616E95}"/>
    <hyperlink ref="R13" r:id="rId7" xr:uid="{6BDAFED8-8DCB-4208-92F4-8CC3F4E4994E}"/>
    <hyperlink ref="R14" r:id="rId8" xr:uid="{7692EE94-90CC-4FF1-9090-27B16D258B01}"/>
    <hyperlink ref="R15" r:id="rId9" xr:uid="{070F2627-8C2D-4F63-AC6E-A01FAE5E17D9}"/>
    <hyperlink ref="R16" r:id="rId10" xr:uid="{4EEE25BF-4023-480B-8F64-9274E868DEF0}"/>
    <hyperlink ref="R17" r:id="rId11" xr:uid="{AD493BEF-6CFE-435A-AB8B-C095647AA81F}"/>
    <hyperlink ref="R18" r:id="rId12" xr:uid="{741B77B4-B1E0-4BAA-AB83-89524D1B743C}"/>
    <hyperlink ref="R19" r:id="rId13" xr:uid="{C8A37600-C6CF-44F6-B3A4-CD10293C22C7}"/>
    <hyperlink ref="R20" r:id="rId14" xr:uid="{C4ABF103-7F82-433D-B384-0D189AE6FEFE}"/>
    <hyperlink ref="R21" r:id="rId15" xr:uid="{857E678F-21BE-4562-ABDF-DC56B60A21F9}"/>
    <hyperlink ref="R22" r:id="rId16" xr:uid="{9ADA37B1-BC7D-4524-8E68-752C932A82B2}"/>
    <hyperlink ref="R23" r:id="rId17" xr:uid="{83543FDF-2CBF-4D66-9E31-C4B0F03A121F}"/>
    <hyperlink ref="R24" r:id="rId18" xr:uid="{F5854820-8F95-4875-9214-9A05C4635129}"/>
    <hyperlink ref="R25" r:id="rId19" xr:uid="{46683427-5189-4274-A3AD-059F3A59D7D5}"/>
    <hyperlink ref="R3" r:id="rId20" xr:uid="{D3D76AA2-E9B7-40C3-B456-BC2D1DF8A70C}"/>
    <hyperlink ref="R4" r:id="rId21" xr:uid="{EEAA47AE-AC54-4558-8C0A-E9507D225F93}"/>
    <hyperlink ref="R5" r:id="rId22" xr:uid="{925A9B6E-5BFD-4822-B799-919E06BC9673}"/>
    <hyperlink ref="R6" r:id="rId23" xr:uid="{3BAF1275-DF8C-4C71-973D-8882D84DC8E9}"/>
    <hyperlink ref="R8" r:id="rId24" xr:uid="{18283DEE-3F0D-4702-A232-1E01F385E27E}"/>
  </hyperlinks>
  <pageMargins left="0.7" right="0.7" top="0.75" bottom="0.75" header="0.3" footer="0.3"/>
  <headerFooter>
    <oddHeader>&amp;C&amp;"Calibri"&amp;12&amp;KFF0000 OFFICIAL&amp;1#_x000D_</oddHeader>
  </headerFooter>
  <tableParts count="1">
    <tablePart r:id="rId25"/>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R22"/>
  <sheetViews>
    <sheetView topLeftCell="B1" workbookViewId="0">
      <selection activeCell="Q22" sqref="Q22"/>
    </sheetView>
  </sheetViews>
  <sheetFormatPr defaultColWidth="8.7109375" defaultRowHeight="15" x14ac:dyDescent="0.25"/>
  <cols>
    <col min="1" max="1" width="28" style="1" customWidth="1"/>
    <col min="2" max="2" width="34.42578125" style="1" customWidth="1"/>
    <col min="3" max="3" width="36.85546875" style="1" customWidth="1"/>
    <col min="4" max="4" width="11.28515625" style="2" customWidth="1"/>
    <col min="5" max="5" width="0"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31.85546875" style="2" bestFit="1" customWidth="1"/>
    <col min="13" max="13" width="32.7109375" style="2" bestFit="1" customWidth="1"/>
    <col min="14" max="14" width="21" style="2" bestFit="1" customWidth="1"/>
    <col min="15" max="15" width="39.140625" style="1" customWidth="1"/>
    <col min="16" max="16" width="11.140625" style="2" hidden="1" customWidth="1"/>
    <col min="17" max="17" width="35.42578125" style="2" customWidth="1"/>
    <col min="18" max="18" width="27.28515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90" x14ac:dyDescent="0.25">
      <c r="A2" s="1" t="s">
        <v>4671</v>
      </c>
      <c r="B2" s="1" t="s">
        <v>4672</v>
      </c>
      <c r="C2" s="1" t="s">
        <v>2680</v>
      </c>
      <c r="D2" s="2" t="str">
        <f>"1940-1027"</f>
        <v>1940-1027</v>
      </c>
      <c r="F2" s="2" t="str">
        <f>"2011"</f>
        <v>2011</v>
      </c>
      <c r="G2" s="3">
        <v>43</v>
      </c>
      <c r="H2" s="3">
        <v>1</v>
      </c>
      <c r="I2" s="3">
        <v>1</v>
      </c>
      <c r="K2" s="2">
        <v>21186459</v>
      </c>
      <c r="L2" s="2" t="s">
        <v>4673</v>
      </c>
      <c r="M2" s="2" t="s">
        <v>923</v>
      </c>
      <c r="N2" s="2" t="s">
        <v>21</v>
      </c>
      <c r="O2" s="1" t="s">
        <v>4674</v>
      </c>
      <c r="Q2" s="2" t="s">
        <v>4675</v>
      </c>
      <c r="R2" s="6" t="s">
        <v>4676</v>
      </c>
    </row>
    <row r="3" spans="1:18" ht="135" x14ac:dyDescent="0.25">
      <c r="A3" s="1" t="s">
        <v>4677</v>
      </c>
      <c r="B3" s="1" t="s">
        <v>4678</v>
      </c>
      <c r="C3" s="1" t="s">
        <v>102</v>
      </c>
      <c r="D3" s="2" t="str">
        <f>"1473-0480"</f>
        <v>1473-0480</v>
      </c>
      <c r="F3" s="2" t="str">
        <f>"2011 Apr"</f>
        <v>2011 Apr</v>
      </c>
      <c r="G3" s="3">
        <v>45</v>
      </c>
      <c r="H3" s="3">
        <v>5</v>
      </c>
      <c r="I3" s="3">
        <v>456</v>
      </c>
      <c r="K3" s="2">
        <v>21393262</v>
      </c>
      <c r="L3" s="2" t="s">
        <v>4679</v>
      </c>
      <c r="M3" s="2" t="s">
        <v>106</v>
      </c>
      <c r="N3" s="2" t="s">
        <v>21</v>
      </c>
      <c r="O3" s="1" t="s">
        <v>4680</v>
      </c>
      <c r="R3" s="6" t="s">
        <v>4681</v>
      </c>
    </row>
    <row r="4" spans="1:18" ht="180" x14ac:dyDescent="0.25">
      <c r="A4" s="1" t="s">
        <v>4682</v>
      </c>
      <c r="B4" s="1" t="s">
        <v>4683</v>
      </c>
      <c r="C4" s="1" t="s">
        <v>921</v>
      </c>
      <c r="D4" s="2" t="str">
        <f>"1466-447X"</f>
        <v>1466-447X</v>
      </c>
      <c r="F4" s="2" t="str">
        <f>"2011"</f>
        <v>2011</v>
      </c>
      <c r="G4" s="3" t="s">
        <v>4684</v>
      </c>
      <c r="I4" s="3" t="s">
        <v>4685</v>
      </c>
      <c r="K4" s="2">
        <v>21660838</v>
      </c>
      <c r="L4" s="2" t="s">
        <v>4686</v>
      </c>
      <c r="M4" s="2" t="s">
        <v>923</v>
      </c>
      <c r="N4" s="2" t="s">
        <v>21</v>
      </c>
      <c r="O4" s="1" t="s">
        <v>4687</v>
      </c>
      <c r="Q4" s="2" t="s">
        <v>4688</v>
      </c>
      <c r="R4" s="6" t="s">
        <v>4689</v>
      </c>
    </row>
    <row r="5" spans="1:18" ht="60" x14ac:dyDescent="0.25">
      <c r="A5" s="1" t="s">
        <v>4690</v>
      </c>
      <c r="B5" s="1" t="s">
        <v>4227</v>
      </c>
      <c r="C5" s="1" t="s">
        <v>318</v>
      </c>
      <c r="D5" s="2" t="str">
        <f>"1555-0265"</f>
        <v>1555-0265</v>
      </c>
      <c r="F5" s="2" t="str">
        <f>"2011 Jun"</f>
        <v>2011 Jun</v>
      </c>
      <c r="G5" s="3">
        <v>6</v>
      </c>
      <c r="H5" s="3">
        <v>2</v>
      </c>
      <c r="I5" s="3">
        <v>147</v>
      </c>
      <c r="K5" s="2">
        <v>21725101</v>
      </c>
      <c r="L5" s="2" t="s">
        <v>4691</v>
      </c>
      <c r="M5" s="2" t="s">
        <v>322</v>
      </c>
      <c r="N5" s="2" t="s">
        <v>21</v>
      </c>
      <c r="O5" s="1" t="s">
        <v>4692</v>
      </c>
      <c r="Q5" s="2" t="s">
        <v>4693</v>
      </c>
      <c r="R5" s="6" t="s">
        <v>4694</v>
      </c>
    </row>
    <row r="6" spans="1:18" ht="150" x14ac:dyDescent="0.25">
      <c r="A6" s="1" t="s">
        <v>4695</v>
      </c>
      <c r="B6" s="1" t="s">
        <v>4696</v>
      </c>
      <c r="C6" s="1" t="s">
        <v>102</v>
      </c>
      <c r="D6" s="2" t="str">
        <f>"1473-0480"</f>
        <v>1473-0480</v>
      </c>
      <c r="F6" s="2" t="str">
        <f>"2011 Aug"</f>
        <v>2011 Aug</v>
      </c>
      <c r="G6" s="3">
        <v>45</v>
      </c>
      <c r="H6" s="3">
        <v>10</v>
      </c>
      <c r="I6" s="3">
        <v>825</v>
      </c>
      <c r="K6" s="2">
        <v>20233843</v>
      </c>
      <c r="L6" s="2" t="s">
        <v>4697</v>
      </c>
      <c r="M6" s="2" t="s">
        <v>106</v>
      </c>
      <c r="N6" s="2" t="s">
        <v>924</v>
      </c>
      <c r="O6" s="1" t="s">
        <v>4698</v>
      </c>
      <c r="Q6" s="2" t="s">
        <v>4699</v>
      </c>
      <c r="R6" s="6" t="s">
        <v>4700</v>
      </c>
    </row>
    <row r="7" spans="1:18" ht="105" x14ac:dyDescent="0.25">
      <c r="A7" s="1" t="s">
        <v>4701</v>
      </c>
      <c r="B7" s="1" t="s">
        <v>4702</v>
      </c>
      <c r="C7" s="1" t="s">
        <v>46</v>
      </c>
      <c r="D7" s="2" t="str">
        <f>"1439-6327"</f>
        <v>1439-6327</v>
      </c>
      <c r="F7" s="2" t="str">
        <f>"2011 Jan"</f>
        <v>2011 Jan</v>
      </c>
      <c r="G7" s="3">
        <v>111</v>
      </c>
      <c r="H7" s="3">
        <v>1</v>
      </c>
      <c r="I7" s="3">
        <v>37</v>
      </c>
      <c r="K7" s="2">
        <v>20809231</v>
      </c>
      <c r="L7" s="2" t="s">
        <v>4703</v>
      </c>
      <c r="M7" s="2" t="s">
        <v>50</v>
      </c>
      <c r="N7" s="2" t="s">
        <v>21</v>
      </c>
      <c r="O7" s="1" t="s">
        <v>4704</v>
      </c>
      <c r="Q7" s="2" t="s">
        <v>4705</v>
      </c>
      <c r="R7" s="6" t="s">
        <v>4706</v>
      </c>
    </row>
    <row r="8" spans="1:18" ht="210" x14ac:dyDescent="0.25">
      <c r="A8" s="1" t="s">
        <v>4707</v>
      </c>
      <c r="B8" s="1" t="s">
        <v>4649</v>
      </c>
      <c r="C8" s="1" t="s">
        <v>36</v>
      </c>
      <c r="D8" s="2" t="str">
        <f>"1526-484X"</f>
        <v>1526-484X</v>
      </c>
      <c r="F8" s="2" t="str">
        <f>"2011 Jun"</f>
        <v>2011 Jun</v>
      </c>
      <c r="G8" s="3">
        <v>21</v>
      </c>
      <c r="H8" s="3">
        <v>3</v>
      </c>
      <c r="I8" s="3">
        <v>189</v>
      </c>
      <c r="K8" s="2">
        <v>21719899</v>
      </c>
      <c r="L8" s="2" t="s">
        <v>4708</v>
      </c>
      <c r="M8" s="2" t="s">
        <v>40</v>
      </c>
      <c r="N8" s="2" t="s">
        <v>646</v>
      </c>
      <c r="O8" s="1" t="s">
        <v>4709</v>
      </c>
      <c r="Q8" s="2" t="s">
        <v>4710</v>
      </c>
      <c r="R8" s="6" t="s">
        <v>4711</v>
      </c>
    </row>
    <row r="9" spans="1:18" ht="135" x14ac:dyDescent="0.25">
      <c r="A9" s="1" t="s">
        <v>4712</v>
      </c>
      <c r="B9" s="1" t="s">
        <v>4713</v>
      </c>
      <c r="C9" s="1" t="s">
        <v>444</v>
      </c>
      <c r="D9" s="2" t="str">
        <f>"1179-2035"</f>
        <v>1179-2035</v>
      </c>
      <c r="F9" s="2" t="str">
        <f>"2011 Oct 01"</f>
        <v>2011 Oct 01</v>
      </c>
      <c r="G9" s="3">
        <v>41</v>
      </c>
      <c r="H9" s="3">
        <v>10</v>
      </c>
      <c r="I9" s="3">
        <v>801</v>
      </c>
      <c r="K9" s="2">
        <v>21923200</v>
      </c>
      <c r="L9" s="2" t="s">
        <v>4714</v>
      </c>
      <c r="M9" s="2" t="s">
        <v>446</v>
      </c>
      <c r="N9" s="2" t="s">
        <v>21</v>
      </c>
      <c r="O9" s="1" t="s">
        <v>4715</v>
      </c>
      <c r="Q9" s="2" t="s">
        <v>4716</v>
      </c>
      <c r="R9" s="6" t="s">
        <v>4717</v>
      </c>
    </row>
    <row r="10" spans="1:18" ht="210" x14ac:dyDescent="0.25">
      <c r="A10" s="1" t="s">
        <v>4718</v>
      </c>
      <c r="B10" s="1" t="s">
        <v>4719</v>
      </c>
      <c r="C10" s="1" t="s">
        <v>36</v>
      </c>
      <c r="D10" s="2" t="str">
        <f>"1543-2742"</f>
        <v>1543-2742</v>
      </c>
      <c r="F10" s="2" t="str">
        <f>"2011 Oct"</f>
        <v>2011 Oct</v>
      </c>
      <c r="G10" s="3">
        <v>21</v>
      </c>
      <c r="H10" s="3">
        <v>5</v>
      </c>
      <c r="I10" s="3">
        <v>385</v>
      </c>
      <c r="K10" s="2">
        <v>21813919</v>
      </c>
      <c r="L10" s="2" t="s">
        <v>4720</v>
      </c>
      <c r="M10" s="2" t="s">
        <v>40</v>
      </c>
      <c r="N10" s="2" t="s">
        <v>3421</v>
      </c>
      <c r="O10" s="1" t="s">
        <v>4721</v>
      </c>
      <c r="Q10" s="2" t="s">
        <v>4722</v>
      </c>
      <c r="R10" s="6" t="s">
        <v>4723</v>
      </c>
    </row>
    <row r="11" spans="1:18" ht="75" x14ac:dyDescent="0.25">
      <c r="A11" s="1" t="s">
        <v>4724</v>
      </c>
      <c r="B11" s="1" t="s">
        <v>4725</v>
      </c>
      <c r="C11" s="1" t="s">
        <v>36</v>
      </c>
      <c r="D11" s="2" t="str">
        <f>"1543-2742"</f>
        <v>1543-2742</v>
      </c>
      <c r="F11" s="2" t="str">
        <f>"2011 Aug"</f>
        <v>2011 Aug</v>
      </c>
      <c r="G11" s="3">
        <v>21</v>
      </c>
      <c r="H11" s="3">
        <v>4</v>
      </c>
      <c r="I11" s="3">
        <v>347</v>
      </c>
      <c r="K11" s="2">
        <v>21813918</v>
      </c>
      <c r="L11" s="2" t="s">
        <v>4726</v>
      </c>
      <c r="M11" s="2" t="s">
        <v>40</v>
      </c>
      <c r="N11" s="2" t="s">
        <v>2054</v>
      </c>
      <c r="O11" s="1" t="s">
        <v>4727</v>
      </c>
      <c r="Q11" s="2" t="s">
        <v>4728</v>
      </c>
      <c r="R11" s="6" t="s">
        <v>4729</v>
      </c>
    </row>
    <row r="12" spans="1:18" ht="195" x14ac:dyDescent="0.25">
      <c r="A12" s="1" t="s">
        <v>4730</v>
      </c>
      <c r="B12" s="1" t="s">
        <v>4731</v>
      </c>
      <c r="C12" s="1" t="s">
        <v>318</v>
      </c>
      <c r="D12" s="2" t="str">
        <f>"1555-0265"</f>
        <v>1555-0265</v>
      </c>
      <c r="F12" s="2" t="str">
        <f>"2011 Mar"</f>
        <v>2011 Mar</v>
      </c>
      <c r="G12" s="3">
        <v>6</v>
      </c>
      <c r="H12" s="3">
        <v>1</v>
      </c>
      <c r="I12" s="3">
        <v>137</v>
      </c>
      <c r="K12" s="2">
        <v>21487157</v>
      </c>
      <c r="L12" s="2" t="s">
        <v>4732</v>
      </c>
      <c r="M12" s="2" t="s">
        <v>322</v>
      </c>
      <c r="N12" s="2" t="s">
        <v>2054</v>
      </c>
      <c r="O12" s="1" t="s">
        <v>4733</v>
      </c>
      <c r="Q12" s="2" t="s">
        <v>4734</v>
      </c>
      <c r="R12" s="6" t="s">
        <v>4735</v>
      </c>
    </row>
    <row r="13" spans="1:18" ht="75" x14ac:dyDescent="0.25">
      <c r="A13" s="1" t="s">
        <v>4736</v>
      </c>
      <c r="B13" s="1" t="s">
        <v>4737</v>
      </c>
      <c r="C13" s="1" t="s">
        <v>16</v>
      </c>
      <c r="D13" s="2" t="str">
        <f>"1476-3141"</f>
        <v>1476-3141</v>
      </c>
      <c r="F13" s="2" t="str">
        <f>"2011 Nov"</f>
        <v>2011 Nov</v>
      </c>
      <c r="G13" s="3">
        <v>10</v>
      </c>
      <c r="H13" s="3">
        <v>4</v>
      </c>
      <c r="I13" s="3">
        <v>324</v>
      </c>
      <c r="K13" s="2">
        <v>22303784</v>
      </c>
      <c r="L13" s="2" t="s">
        <v>4738</v>
      </c>
      <c r="M13" s="2" t="s">
        <v>20</v>
      </c>
      <c r="N13" s="2" t="s">
        <v>21</v>
      </c>
      <c r="O13" s="1" t="s">
        <v>4739</v>
      </c>
      <c r="Q13" s="2" t="s">
        <v>4740</v>
      </c>
      <c r="R13" s="6" t="s">
        <v>4741</v>
      </c>
    </row>
    <row r="14" spans="1:18" ht="105" x14ac:dyDescent="0.25">
      <c r="A14" s="1" t="s">
        <v>4742</v>
      </c>
      <c r="B14" s="1" t="s">
        <v>4743</v>
      </c>
      <c r="C14" s="1" t="s">
        <v>797</v>
      </c>
      <c r="D14" s="2" t="str">
        <f>"1530-0315"</f>
        <v>1530-0315</v>
      </c>
      <c r="F14" s="2" t="str">
        <f>"2011 Jan"</f>
        <v>2011 Jan</v>
      </c>
      <c r="G14" s="3">
        <v>43</v>
      </c>
      <c r="H14" s="3">
        <v>1</v>
      </c>
      <c r="I14" s="3">
        <v>123</v>
      </c>
      <c r="K14" s="2">
        <v>20508537</v>
      </c>
      <c r="L14" s="2" t="s">
        <v>4744</v>
      </c>
      <c r="M14" s="2" t="s">
        <v>156</v>
      </c>
      <c r="N14" s="2" t="s">
        <v>21</v>
      </c>
      <c r="O14" s="1" t="s">
        <v>4745</v>
      </c>
      <c r="Q14" s="2" t="s">
        <v>4746</v>
      </c>
      <c r="R14" s="6" t="s">
        <v>4747</v>
      </c>
    </row>
    <row r="15" spans="1:18" ht="75" x14ac:dyDescent="0.25">
      <c r="A15" s="1" t="s">
        <v>4748</v>
      </c>
      <c r="B15" s="1" t="s">
        <v>4749</v>
      </c>
      <c r="C15" s="1" t="s">
        <v>921</v>
      </c>
      <c r="D15" s="2" t="str">
        <f>"1466-447X"</f>
        <v>1466-447X</v>
      </c>
      <c r="F15" s="2" t="str">
        <f>"2011 Feb"</f>
        <v>2011 Feb</v>
      </c>
      <c r="G15" s="3">
        <v>29</v>
      </c>
      <c r="H15" s="3">
        <v>4</v>
      </c>
      <c r="I15" s="3">
        <v>381</v>
      </c>
      <c r="K15" s="2">
        <v>21259155</v>
      </c>
      <c r="L15" s="2" t="s">
        <v>4750</v>
      </c>
      <c r="M15" s="2" t="s">
        <v>923</v>
      </c>
      <c r="N15" s="2" t="s">
        <v>646</v>
      </c>
      <c r="O15" s="1" t="s">
        <v>4751</v>
      </c>
      <c r="Q15" s="2" t="s">
        <v>4752</v>
      </c>
      <c r="R15" s="6" t="s">
        <v>4753</v>
      </c>
    </row>
    <row r="16" spans="1:18" ht="135" x14ac:dyDescent="0.25">
      <c r="A16" s="1" t="s">
        <v>4754</v>
      </c>
      <c r="B16" s="1" t="s">
        <v>4755</v>
      </c>
      <c r="C16" s="1" t="s">
        <v>82</v>
      </c>
      <c r="D16" s="2" t="str">
        <f>"1600-0838"</f>
        <v>1600-0838</v>
      </c>
      <c r="F16" s="2" t="str">
        <f>"2011 Dec"</f>
        <v>2011 Dec</v>
      </c>
      <c r="G16" s="3">
        <v>21</v>
      </c>
      <c r="H16" s="3">
        <v>6</v>
      </c>
      <c r="I16" s="3" t="s">
        <v>4756</v>
      </c>
      <c r="K16" s="2">
        <v>21535184</v>
      </c>
      <c r="L16" s="2" t="s">
        <v>4757</v>
      </c>
      <c r="M16" s="2" t="s">
        <v>86</v>
      </c>
      <c r="N16" s="2" t="s">
        <v>21</v>
      </c>
      <c r="O16" s="1" t="s">
        <v>4758</v>
      </c>
      <c r="Q16" s="2" t="s">
        <v>4759</v>
      </c>
      <c r="R16" s="6" t="s">
        <v>4760</v>
      </c>
    </row>
    <row r="17" spans="1:18" ht="105" x14ac:dyDescent="0.25">
      <c r="A17" s="1" t="s">
        <v>4761</v>
      </c>
      <c r="B17" s="1" t="s">
        <v>4762</v>
      </c>
      <c r="C17" s="1" t="s">
        <v>55</v>
      </c>
      <c r="D17" s="2" t="str">
        <f>"1878-1861"</f>
        <v>1878-1861</v>
      </c>
      <c r="F17" s="2" t="str">
        <f>"2011 Mar"</f>
        <v>2011 Mar</v>
      </c>
      <c r="G17" s="3">
        <v>14</v>
      </c>
      <c r="H17" s="3">
        <v>2</v>
      </c>
      <c r="I17" s="3">
        <v>100</v>
      </c>
      <c r="K17" s="2">
        <v>20832358</v>
      </c>
      <c r="L17" s="2" t="s">
        <v>4763</v>
      </c>
      <c r="M17" s="2" t="s">
        <v>59</v>
      </c>
      <c r="N17" s="2" t="s">
        <v>4764</v>
      </c>
      <c r="O17" s="1" t="s">
        <v>4765</v>
      </c>
      <c r="Q17" s="2" t="s">
        <v>4766</v>
      </c>
      <c r="R17" s="6" t="s">
        <v>4767</v>
      </c>
    </row>
    <row r="18" spans="1:18" ht="180" x14ac:dyDescent="0.25">
      <c r="A18" s="1" t="s">
        <v>4768</v>
      </c>
      <c r="B18" s="1" t="s">
        <v>4769</v>
      </c>
      <c r="C18" s="1" t="s">
        <v>112</v>
      </c>
      <c r="D18" s="2" t="str">
        <f>"1536-3724"</f>
        <v>1536-3724</v>
      </c>
      <c r="F18" s="2" t="str">
        <f>"2011 Nov"</f>
        <v>2011 Nov</v>
      </c>
      <c r="G18" s="3">
        <v>21</v>
      </c>
      <c r="H18" s="3">
        <v>6</v>
      </c>
      <c r="I18" s="3">
        <v>524</v>
      </c>
      <c r="K18" s="2">
        <v>22011797</v>
      </c>
      <c r="L18" s="2" t="s">
        <v>4770</v>
      </c>
      <c r="M18" s="2" t="s">
        <v>116</v>
      </c>
      <c r="N18" s="2" t="s">
        <v>21</v>
      </c>
      <c r="O18" s="1" t="s">
        <v>4771</v>
      </c>
      <c r="Q18" s="2" t="s">
        <v>4772</v>
      </c>
      <c r="R18" s="6" t="s">
        <v>4773</v>
      </c>
    </row>
    <row r="19" spans="1:18" ht="150" x14ac:dyDescent="0.25">
      <c r="A19" s="1" t="s">
        <v>4774</v>
      </c>
      <c r="B19" s="1" t="s">
        <v>4775</v>
      </c>
      <c r="C19" s="1" t="s">
        <v>46</v>
      </c>
      <c r="D19" s="2" t="str">
        <f>"1439-6327"</f>
        <v>1439-6327</v>
      </c>
      <c r="F19" s="2" t="str">
        <f>"2011 Jun"</f>
        <v>2011 Jun</v>
      </c>
      <c r="G19" s="3">
        <v>111</v>
      </c>
      <c r="H19" s="3">
        <v>6</v>
      </c>
      <c r="I19" s="3">
        <v>1089</v>
      </c>
      <c r="K19" s="2">
        <v>21113616</v>
      </c>
      <c r="L19" s="2" t="s">
        <v>4776</v>
      </c>
      <c r="M19" s="2" t="s">
        <v>50</v>
      </c>
      <c r="N19" s="2" t="s">
        <v>21</v>
      </c>
      <c r="O19" s="1" t="s">
        <v>4777</v>
      </c>
      <c r="Q19" s="2" t="s">
        <v>4778</v>
      </c>
      <c r="R19" s="6" t="s">
        <v>4779</v>
      </c>
    </row>
    <row r="20" spans="1:18" ht="60" x14ac:dyDescent="0.25">
      <c r="A20" s="1" t="s">
        <v>4780</v>
      </c>
      <c r="B20" s="1" t="s">
        <v>4781</v>
      </c>
      <c r="C20" s="1" t="s">
        <v>921</v>
      </c>
      <c r="D20" s="2" t="str">
        <f>"1466-447X"</f>
        <v>1466-447X</v>
      </c>
      <c r="F20" s="2" t="str">
        <f>"2011 May"</f>
        <v>2011 May</v>
      </c>
      <c r="G20" s="3">
        <v>29</v>
      </c>
      <c r="H20" s="3">
        <v>8</v>
      </c>
      <c r="I20" s="3">
        <v>811</v>
      </c>
      <c r="K20" s="2">
        <v>21500079</v>
      </c>
      <c r="L20" s="2" t="s">
        <v>4782</v>
      </c>
      <c r="M20" s="2" t="s">
        <v>923</v>
      </c>
      <c r="N20" s="2" t="s">
        <v>21</v>
      </c>
      <c r="O20" s="1" t="s">
        <v>4783</v>
      </c>
      <c r="Q20" s="2" t="s">
        <v>4784</v>
      </c>
      <c r="R20" s="6" t="s">
        <v>4785</v>
      </c>
    </row>
    <row r="21" spans="1:18" ht="90" x14ac:dyDescent="0.25">
      <c r="A21" s="1" t="s">
        <v>4786</v>
      </c>
      <c r="B21" s="1" t="s">
        <v>4787</v>
      </c>
      <c r="C21" s="1" t="s">
        <v>4788</v>
      </c>
      <c r="D21" s="2" t="str">
        <f>"1361-6579"</f>
        <v>1361-6579</v>
      </c>
      <c r="F21" s="2" t="str">
        <f>"2011 Sep"</f>
        <v>2011 Sep</v>
      </c>
      <c r="G21" s="3">
        <v>32</v>
      </c>
      <c r="H21" s="3">
        <v>9</v>
      </c>
      <c r="I21" s="3">
        <v>1417</v>
      </c>
      <c r="K21" s="2">
        <v>21788687</v>
      </c>
      <c r="L21" s="2" t="s">
        <v>4789</v>
      </c>
      <c r="M21" s="2" t="s">
        <v>4790</v>
      </c>
      <c r="N21" s="2" t="s">
        <v>21</v>
      </c>
      <c r="O21" s="1" t="s">
        <v>4791</v>
      </c>
      <c r="Q21" s="2" t="s">
        <v>4792</v>
      </c>
      <c r="R21" s="6" t="s">
        <v>4793</v>
      </c>
    </row>
    <row r="22" spans="1:18" ht="135" x14ac:dyDescent="0.25">
      <c r="A22" s="1" t="s">
        <v>4794</v>
      </c>
      <c r="B22" s="1" t="s">
        <v>4795</v>
      </c>
      <c r="C22" s="1" t="s">
        <v>696</v>
      </c>
      <c r="D22" s="2" t="str">
        <f>"1439-3964"</f>
        <v>1439-3964</v>
      </c>
      <c r="F22" s="2" t="str">
        <f>"2011 Mar"</f>
        <v>2011 Mar</v>
      </c>
      <c r="G22" s="3">
        <v>32</v>
      </c>
      <c r="H22" s="3">
        <v>3</v>
      </c>
      <c r="I22" s="3">
        <v>185</v>
      </c>
      <c r="K22" s="2">
        <v>21305444</v>
      </c>
      <c r="L22" s="2" t="s">
        <v>4796</v>
      </c>
      <c r="M22" s="2" t="s">
        <v>698</v>
      </c>
      <c r="N22" s="2" t="s">
        <v>21</v>
      </c>
      <c r="O22" s="1" t="s">
        <v>4797</v>
      </c>
      <c r="Q22" s="2" t="s">
        <v>4798</v>
      </c>
      <c r="R22" s="6" t="s">
        <v>4799</v>
      </c>
    </row>
  </sheetData>
  <hyperlinks>
    <hyperlink ref="R2" r:id="rId1" xr:uid="{3EB1608C-769A-43BC-B52A-E40FDD756756}"/>
    <hyperlink ref="R3" r:id="rId2" xr:uid="{A7C7D4BF-F171-49A0-A908-AF467C0827A1}"/>
    <hyperlink ref="R4" r:id="rId3" xr:uid="{D2EA9AE9-4532-4B30-A660-2AF329568D2E}"/>
    <hyperlink ref="R5" r:id="rId4" xr:uid="{4FE5CC51-80DA-48F6-A036-DF832368AECA}"/>
    <hyperlink ref="R6" r:id="rId5" xr:uid="{B4DFA24F-FF82-4850-8E98-A40BE0433F68}"/>
    <hyperlink ref="R7" r:id="rId6" xr:uid="{DFD28AFE-B97C-45A5-971B-EA849681C9D9}"/>
    <hyperlink ref="R8" r:id="rId7" xr:uid="{96740390-1ED4-491F-9DB4-0EA2EA9E4C5C}"/>
    <hyperlink ref="R9" r:id="rId8" xr:uid="{D0CAFA61-5150-4E20-B448-6A105FCB2D80}"/>
    <hyperlink ref="R10" r:id="rId9" xr:uid="{06110267-8DCD-49F1-8BB6-15BCA33F2B7A}"/>
    <hyperlink ref="R11" r:id="rId10" xr:uid="{1DF36EF2-B61B-4E5F-B556-9AA7024E7DDE}"/>
    <hyperlink ref="R12" r:id="rId11" xr:uid="{89AA113B-629B-4E76-BE4D-119541FB9A63}"/>
    <hyperlink ref="R13" r:id="rId12" xr:uid="{BFB40F77-BDC2-402C-BC44-6FD720CE7104}"/>
    <hyperlink ref="R14" r:id="rId13" xr:uid="{806D98E5-3026-4E83-AA0D-1E9DCAF74B5C}"/>
    <hyperlink ref="R15" r:id="rId14" xr:uid="{162401ED-0196-4016-99BC-8542D7636ED5}"/>
    <hyperlink ref="R16" r:id="rId15" xr:uid="{159B934B-A41C-491D-A080-705B089BA010}"/>
    <hyperlink ref="R17" r:id="rId16" xr:uid="{5592CF7C-4703-4D9E-9ADA-A6310B873442}"/>
    <hyperlink ref="R18" r:id="rId17" xr:uid="{52A8B06F-39CF-46AB-BD6E-4F18949AF814}"/>
    <hyperlink ref="R19" r:id="rId18" xr:uid="{03ED149B-2C6C-4244-991E-8EA5DE98E212}"/>
    <hyperlink ref="R20" r:id="rId19" xr:uid="{B06773A8-9ACB-46FF-9E07-2943FA1E804C}"/>
    <hyperlink ref="R21" r:id="rId20" xr:uid="{6A6811B4-834A-4624-A26B-A6726A9EF500}"/>
    <hyperlink ref="R22" r:id="rId21" xr:uid="{4527DB84-35B6-4E47-AE8D-220E7969AB72}"/>
  </hyperlinks>
  <pageMargins left="0.7" right="0.7" top="0.75" bottom="0.75" header="0.3" footer="0.3"/>
  <headerFooter>
    <oddHeader>&amp;C&amp;"Calibri"&amp;12&amp;KFF0000 OFFICIAL&amp;1#_x000D_</oddHeader>
  </headerFooter>
  <tableParts count="1">
    <tablePart r:id="rId2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R33"/>
  <sheetViews>
    <sheetView workbookViewId="0">
      <selection activeCell="R34" sqref="R34"/>
    </sheetView>
  </sheetViews>
  <sheetFormatPr defaultColWidth="8.7109375" defaultRowHeight="15" x14ac:dyDescent="0.25"/>
  <cols>
    <col min="1" max="1" width="32.85546875" style="1" customWidth="1"/>
    <col min="2" max="2" width="26.85546875" style="1" customWidth="1"/>
    <col min="3" max="3" width="39.85546875" style="1" customWidth="1"/>
    <col min="4" max="4" width="12.7109375" style="2" customWidth="1"/>
    <col min="5" max="5" width="0" style="2" hidden="1" customWidth="1"/>
    <col min="6" max="6" width="16.85546875" style="2" customWidth="1"/>
    <col min="7" max="7" width="9.42578125" style="3" customWidth="1"/>
    <col min="8" max="8" width="8.7109375" style="3"/>
    <col min="9" max="9" width="11.140625" style="3" customWidth="1"/>
    <col min="10" max="10" width="12.42578125" style="2" hidden="1" customWidth="1"/>
    <col min="11" max="11" width="18.42578125" style="2" hidden="1" customWidth="1"/>
    <col min="12" max="12" width="31.85546875" style="2" bestFit="1" customWidth="1"/>
    <col min="13" max="13" width="32.7109375" style="2" bestFit="1" customWidth="1"/>
    <col min="14" max="14" width="21" style="2" bestFit="1" customWidth="1"/>
    <col min="15" max="15" width="36.42578125" style="1" customWidth="1"/>
    <col min="16" max="16" width="11.140625" style="2" hidden="1" customWidth="1"/>
    <col min="17" max="17" width="38.140625" style="2" customWidth="1"/>
    <col min="18" max="18" width="33.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90" x14ac:dyDescent="0.25">
      <c r="A2" s="1" t="s">
        <v>4800</v>
      </c>
      <c r="B2" s="1" t="s">
        <v>4801</v>
      </c>
      <c r="C2" s="1" t="s">
        <v>318</v>
      </c>
      <c r="D2" s="2" t="str">
        <f>"1555-0265"</f>
        <v>1555-0265</v>
      </c>
      <c r="F2" s="2" t="str">
        <f>"2010 Dec"</f>
        <v>2010 Dec</v>
      </c>
      <c r="G2" s="3">
        <v>5</v>
      </c>
      <c r="H2" s="3">
        <v>4</v>
      </c>
      <c r="I2" s="3">
        <v>521</v>
      </c>
      <c r="K2" s="2">
        <v>21266736</v>
      </c>
      <c r="L2" s="2" t="s">
        <v>4802</v>
      </c>
      <c r="M2" s="2" t="s">
        <v>322</v>
      </c>
      <c r="N2" s="2" t="s">
        <v>21</v>
      </c>
      <c r="O2" s="1" t="s">
        <v>4803</v>
      </c>
      <c r="Q2" s="2" t="s">
        <v>4804</v>
      </c>
      <c r="R2" s="6" t="s">
        <v>4805</v>
      </c>
    </row>
    <row r="3" spans="1:18" ht="105" x14ac:dyDescent="0.25">
      <c r="A3" s="1" t="s">
        <v>4806</v>
      </c>
      <c r="B3" s="1" t="s">
        <v>4807</v>
      </c>
      <c r="C3" s="1" t="s">
        <v>102</v>
      </c>
      <c r="D3" s="2" t="str">
        <f>"1473-0480"</f>
        <v>1473-0480</v>
      </c>
      <c r="F3" s="2" t="str">
        <f>"2010 Apr"</f>
        <v>2010 Apr</v>
      </c>
      <c r="G3" s="3">
        <v>44</v>
      </c>
      <c r="H3" s="3">
        <v>5</v>
      </c>
      <c r="I3" s="3">
        <v>389</v>
      </c>
      <c r="K3" s="2">
        <v>20371566</v>
      </c>
      <c r="L3" s="2" t="s">
        <v>4808</v>
      </c>
      <c r="M3" s="2" t="s">
        <v>106</v>
      </c>
      <c r="N3" s="2" t="s">
        <v>21</v>
      </c>
      <c r="O3" s="1" t="s">
        <v>4809</v>
      </c>
      <c r="R3" s="6" t="s">
        <v>4810</v>
      </c>
    </row>
    <row r="4" spans="1:18" ht="135" x14ac:dyDescent="0.25">
      <c r="A4" s="1" t="s">
        <v>4811</v>
      </c>
      <c r="B4" s="1" t="s">
        <v>4812</v>
      </c>
      <c r="C4" s="1" t="s">
        <v>1568</v>
      </c>
      <c r="D4" s="2" t="str">
        <f>"1469-445X"</f>
        <v>1469-445X</v>
      </c>
      <c r="F4" s="2" t="str">
        <f>"2010 Dec"</f>
        <v>2010 Dec</v>
      </c>
      <c r="G4" s="3">
        <v>95</v>
      </c>
      <c r="H4" s="3">
        <v>12</v>
      </c>
      <c r="I4" s="3">
        <v>1156</v>
      </c>
      <c r="K4" s="2">
        <v>20817700</v>
      </c>
      <c r="L4" s="2" t="s">
        <v>4813</v>
      </c>
      <c r="M4" s="2" t="s">
        <v>216</v>
      </c>
      <c r="N4" s="2" t="s">
        <v>21</v>
      </c>
      <c r="O4" s="1" t="s">
        <v>4814</v>
      </c>
      <c r="Q4" s="2" t="s">
        <v>4815</v>
      </c>
      <c r="R4" s="6" t="s">
        <v>4816</v>
      </c>
    </row>
    <row r="5" spans="1:18" ht="195" x14ac:dyDescent="0.25">
      <c r="A5" s="1" t="s">
        <v>4817</v>
      </c>
      <c r="B5" s="1" t="s">
        <v>4818</v>
      </c>
      <c r="C5" s="1" t="s">
        <v>545</v>
      </c>
      <c r="D5" s="2" t="str">
        <f>"1522-1601"</f>
        <v>1522-1601</v>
      </c>
      <c r="F5" s="2" t="str">
        <f>"2010 Jul"</f>
        <v>2010 Jul</v>
      </c>
      <c r="G5" s="3">
        <v>109</v>
      </c>
      <c r="H5" s="3">
        <v>1</v>
      </c>
      <c r="I5" s="3">
        <v>126</v>
      </c>
      <c r="K5" s="2">
        <v>20466803</v>
      </c>
      <c r="L5" s="2" t="s">
        <v>4819</v>
      </c>
      <c r="M5" s="2" t="s">
        <v>547</v>
      </c>
      <c r="N5" s="2" t="s">
        <v>21</v>
      </c>
      <c r="O5" s="1" t="s">
        <v>4820</v>
      </c>
      <c r="Q5" s="2" t="s">
        <v>4821</v>
      </c>
      <c r="R5" s="6" t="s">
        <v>4822</v>
      </c>
    </row>
    <row r="6" spans="1:18" ht="150" x14ac:dyDescent="0.25">
      <c r="A6" s="1" t="s">
        <v>4823</v>
      </c>
      <c r="B6" s="1" t="s">
        <v>4824</v>
      </c>
      <c r="C6" s="1" t="s">
        <v>46</v>
      </c>
      <c r="D6" s="2" t="str">
        <f>"1439-6327"</f>
        <v>1439-6327</v>
      </c>
      <c r="F6" s="2" t="str">
        <f>"2010 Sep"</f>
        <v>2010 Sep</v>
      </c>
      <c r="G6" s="3">
        <v>110</v>
      </c>
      <c r="H6" s="3">
        <v>2</v>
      </c>
      <c r="I6" s="3">
        <v>379</v>
      </c>
      <c r="K6" s="2">
        <v>20503055</v>
      </c>
      <c r="L6" s="2" t="s">
        <v>4825</v>
      </c>
      <c r="M6" s="2" t="s">
        <v>50</v>
      </c>
      <c r="N6" s="2" t="s">
        <v>924</v>
      </c>
      <c r="O6" s="1" t="s">
        <v>4826</v>
      </c>
      <c r="Q6" s="2" t="s">
        <v>4827</v>
      </c>
      <c r="R6" s="6" t="s">
        <v>4828</v>
      </c>
    </row>
    <row r="7" spans="1:18" ht="105" x14ac:dyDescent="0.25">
      <c r="A7" s="1" t="s">
        <v>4829</v>
      </c>
      <c r="B7" s="1" t="s">
        <v>4830</v>
      </c>
      <c r="C7" s="1" t="s">
        <v>466</v>
      </c>
      <c r="D7" s="2" t="str">
        <f>"1533-4287"</f>
        <v>1533-4287</v>
      </c>
      <c r="F7" s="2" t="str">
        <f>"2010 Feb"</f>
        <v>2010 Feb</v>
      </c>
      <c r="G7" s="3">
        <v>24</v>
      </c>
      <c r="H7" s="3">
        <v>2</v>
      </c>
      <c r="I7" s="3">
        <v>487</v>
      </c>
      <c r="K7" s="2">
        <v>20072049</v>
      </c>
      <c r="L7" s="2" t="s">
        <v>4831</v>
      </c>
      <c r="M7" s="2" t="s">
        <v>468</v>
      </c>
      <c r="N7" s="2" t="s">
        <v>21</v>
      </c>
      <c r="O7" s="1" t="s">
        <v>4832</v>
      </c>
      <c r="Q7" s="2" t="s">
        <v>4833</v>
      </c>
      <c r="R7" s="6" t="s">
        <v>4834</v>
      </c>
    </row>
    <row r="8" spans="1:18" ht="135" x14ac:dyDescent="0.25">
      <c r="A8" s="1" t="s">
        <v>4835</v>
      </c>
      <c r="B8" s="1" t="s">
        <v>4836</v>
      </c>
      <c r="C8" s="1" t="s">
        <v>46</v>
      </c>
      <c r="D8" s="2" t="str">
        <f>"1439-6327"</f>
        <v>1439-6327</v>
      </c>
      <c r="F8" s="2" t="str">
        <f>"2010 Jun"</f>
        <v>2010 Jun</v>
      </c>
      <c r="G8" s="3">
        <v>109</v>
      </c>
      <c r="H8" s="3">
        <v>3</v>
      </c>
      <c r="I8" s="3">
        <v>551</v>
      </c>
      <c r="K8" s="2">
        <v>20145946</v>
      </c>
      <c r="L8" s="2" t="s">
        <v>4837</v>
      </c>
      <c r="M8" s="2" t="s">
        <v>50</v>
      </c>
      <c r="N8" s="2" t="s">
        <v>924</v>
      </c>
      <c r="O8" s="1" t="s">
        <v>4838</v>
      </c>
      <c r="Q8" s="2" t="s">
        <v>4839</v>
      </c>
      <c r="R8" s="6" t="s">
        <v>4840</v>
      </c>
    </row>
    <row r="9" spans="1:18" ht="45" x14ac:dyDescent="0.25">
      <c r="A9" s="1" t="s">
        <v>4841</v>
      </c>
      <c r="B9" s="1" t="s">
        <v>4077</v>
      </c>
      <c r="C9" s="1" t="s">
        <v>444</v>
      </c>
      <c r="D9" s="2" t="str">
        <f>"1179-2035"</f>
        <v>1179-2035</v>
      </c>
      <c r="F9" s="2" t="str">
        <f>"2010 Apr 01"</f>
        <v>2010 Apr 01</v>
      </c>
      <c r="G9" s="3">
        <v>40</v>
      </c>
      <c r="H9" s="3">
        <v>4</v>
      </c>
      <c r="I9" s="3">
        <v>271</v>
      </c>
      <c r="K9" s="2">
        <v>20364873</v>
      </c>
      <c r="L9" s="2" t="s">
        <v>4842</v>
      </c>
      <c r="M9" s="2" t="s">
        <v>446</v>
      </c>
      <c r="N9" s="2" t="s">
        <v>633</v>
      </c>
      <c r="O9" s="1" t="s">
        <v>4843</v>
      </c>
      <c r="Q9" s="2" t="s">
        <v>4844</v>
      </c>
      <c r="R9" s="6" t="s">
        <v>4845</v>
      </c>
    </row>
    <row r="10" spans="1:18" ht="240" x14ac:dyDescent="0.25">
      <c r="A10" s="1" t="s">
        <v>4846</v>
      </c>
      <c r="B10" s="1" t="s">
        <v>4847</v>
      </c>
      <c r="C10" s="1" t="s">
        <v>102</v>
      </c>
      <c r="D10" s="2" t="str">
        <f>"1473-0480"</f>
        <v>1473-0480</v>
      </c>
      <c r="F10" s="2" t="str">
        <f>"2010 Jun"</f>
        <v>2010 Jun</v>
      </c>
      <c r="G10" s="3">
        <v>44</v>
      </c>
      <c r="H10" s="3">
        <v>7</v>
      </c>
      <c r="I10" s="3">
        <v>502</v>
      </c>
      <c r="K10" s="2">
        <v>20460259</v>
      </c>
      <c r="L10" s="2" t="s">
        <v>4848</v>
      </c>
      <c r="M10" s="2" t="s">
        <v>106</v>
      </c>
      <c r="N10" s="2" t="s">
        <v>21</v>
      </c>
      <c r="O10" s="1" t="s">
        <v>4849</v>
      </c>
      <c r="Q10" s="2" t="s">
        <v>4850</v>
      </c>
      <c r="R10" s="6" t="s">
        <v>4851</v>
      </c>
    </row>
    <row r="11" spans="1:18" ht="120" x14ac:dyDescent="0.25">
      <c r="A11" s="1" t="s">
        <v>4852</v>
      </c>
      <c r="B11" s="1" t="s">
        <v>952</v>
      </c>
      <c r="C11" s="1" t="s">
        <v>82</v>
      </c>
      <c r="D11" s="2" t="str">
        <f>"1600-0838"</f>
        <v>1600-0838</v>
      </c>
      <c r="F11" s="2" t="str">
        <f>"2010 Oct"</f>
        <v>2010 Oct</v>
      </c>
      <c r="G11" s="3" t="s">
        <v>4853</v>
      </c>
      <c r="I11" s="3">
        <v>48</v>
      </c>
      <c r="K11" s="2">
        <v>20840562</v>
      </c>
      <c r="L11" s="2" t="s">
        <v>4854</v>
      </c>
      <c r="M11" s="2" t="s">
        <v>86</v>
      </c>
      <c r="N11" s="2" t="s">
        <v>21</v>
      </c>
      <c r="O11" s="1" t="s">
        <v>4855</v>
      </c>
      <c r="Q11" s="2" t="s">
        <v>4856</v>
      </c>
      <c r="R11" s="6" t="s">
        <v>4857</v>
      </c>
    </row>
    <row r="12" spans="1:18" ht="90" x14ac:dyDescent="0.25">
      <c r="A12" s="1" t="s">
        <v>4858</v>
      </c>
      <c r="B12" s="1" t="s">
        <v>4859</v>
      </c>
      <c r="C12" s="1" t="s">
        <v>46</v>
      </c>
      <c r="D12" s="2" t="str">
        <f>"1439-6327"</f>
        <v>1439-6327</v>
      </c>
      <c r="F12" s="2" t="str">
        <f>"2010 Nov"</f>
        <v>2010 Nov</v>
      </c>
      <c r="G12" s="3">
        <v>110</v>
      </c>
      <c r="H12" s="3">
        <v>5</v>
      </c>
      <c r="I12" s="3">
        <v>925</v>
      </c>
      <c r="K12" s="2">
        <v>20640439</v>
      </c>
      <c r="L12" s="2" t="s">
        <v>4860</v>
      </c>
      <c r="M12" s="2" t="s">
        <v>50</v>
      </c>
      <c r="N12" s="2" t="s">
        <v>21</v>
      </c>
      <c r="O12" s="1" t="s">
        <v>4861</v>
      </c>
      <c r="Q12" s="2" t="s">
        <v>4862</v>
      </c>
      <c r="R12" s="6" t="s">
        <v>4863</v>
      </c>
    </row>
    <row r="13" spans="1:18" ht="105" x14ac:dyDescent="0.25">
      <c r="A13" s="1" t="s">
        <v>4864</v>
      </c>
      <c r="B13" s="1" t="s">
        <v>4865</v>
      </c>
      <c r="C13" s="1" t="s">
        <v>36</v>
      </c>
      <c r="D13" s="2" t="str">
        <f>"1526-484X"</f>
        <v>1526-484X</v>
      </c>
      <c r="F13" s="2" t="str">
        <f>"2010 Apr"</f>
        <v>2010 Apr</v>
      </c>
      <c r="G13" s="3">
        <v>20</v>
      </c>
      <c r="H13" s="3">
        <v>2</v>
      </c>
      <c r="I13" s="3">
        <v>87</v>
      </c>
      <c r="K13" s="2">
        <v>20479482</v>
      </c>
      <c r="L13" s="2" t="s">
        <v>4866</v>
      </c>
      <c r="M13" s="2" t="s">
        <v>40</v>
      </c>
      <c r="N13" s="2" t="s">
        <v>21</v>
      </c>
      <c r="O13" s="1" t="s">
        <v>4867</v>
      </c>
      <c r="Q13" s="2" t="s">
        <v>4868</v>
      </c>
      <c r="R13" s="6" t="s">
        <v>4869</v>
      </c>
    </row>
    <row r="14" spans="1:18" ht="105" x14ac:dyDescent="0.25">
      <c r="A14" s="1" t="s">
        <v>4870</v>
      </c>
      <c r="B14" s="1" t="s">
        <v>4871</v>
      </c>
      <c r="C14" s="1" t="s">
        <v>921</v>
      </c>
      <c r="D14" s="2" t="str">
        <f>"1466-447X"</f>
        <v>1466-447X</v>
      </c>
      <c r="F14" s="2" t="str">
        <f>"2010 Jan"</f>
        <v>2010 Jan</v>
      </c>
      <c r="G14" s="3">
        <v>28</v>
      </c>
      <c r="H14" s="3">
        <v>1</v>
      </c>
      <c r="I14" s="3">
        <v>45</v>
      </c>
      <c r="K14" s="2">
        <v>20013461</v>
      </c>
      <c r="L14" s="2" t="s">
        <v>4872</v>
      </c>
      <c r="M14" s="2" t="s">
        <v>923</v>
      </c>
      <c r="N14" s="2" t="s">
        <v>21</v>
      </c>
      <c r="O14" s="1" t="s">
        <v>4873</v>
      </c>
      <c r="Q14" s="2" t="s">
        <v>4874</v>
      </c>
      <c r="R14" s="6" t="s">
        <v>4875</v>
      </c>
    </row>
    <row r="15" spans="1:18" ht="135" x14ac:dyDescent="0.25">
      <c r="A15" s="1" t="s">
        <v>4876</v>
      </c>
      <c r="B15" s="1" t="s">
        <v>4877</v>
      </c>
      <c r="C15" s="1" t="s">
        <v>102</v>
      </c>
      <c r="D15" s="2" t="str">
        <f>"1473-0480"</f>
        <v>1473-0480</v>
      </c>
      <c r="F15" s="2" t="str">
        <f>"2010 Mar"</f>
        <v>2010 Mar</v>
      </c>
      <c r="G15" s="3">
        <v>44</v>
      </c>
      <c r="H15" s="3">
        <v>4</v>
      </c>
      <c r="I15" s="3">
        <v>222</v>
      </c>
      <c r="K15" s="2">
        <v>18272539</v>
      </c>
      <c r="L15" s="2" t="s">
        <v>4878</v>
      </c>
      <c r="M15" s="2" t="s">
        <v>106</v>
      </c>
      <c r="N15" s="2" t="s">
        <v>21</v>
      </c>
      <c r="O15" s="1" t="s">
        <v>4879</v>
      </c>
      <c r="Q15" s="2" t="s">
        <v>4880</v>
      </c>
      <c r="R15" s="6" t="s">
        <v>4881</v>
      </c>
    </row>
    <row r="16" spans="1:18" ht="105" x14ac:dyDescent="0.25">
      <c r="A16" s="1" t="s">
        <v>4882</v>
      </c>
      <c r="B16" s="1" t="s">
        <v>4883</v>
      </c>
      <c r="C16" s="1" t="s">
        <v>318</v>
      </c>
      <c r="D16" s="2" t="str">
        <f>"1555-0265"</f>
        <v>1555-0265</v>
      </c>
      <c r="F16" s="2" t="str">
        <f>"2010 Dec"</f>
        <v>2010 Dec</v>
      </c>
      <c r="G16" s="3">
        <v>5</v>
      </c>
      <c r="H16" s="3">
        <v>4</v>
      </c>
      <c r="I16" s="3">
        <v>535</v>
      </c>
      <c r="K16" s="2">
        <v>21266737</v>
      </c>
      <c r="L16" s="2" t="s">
        <v>4884</v>
      </c>
      <c r="M16" s="2" t="s">
        <v>322</v>
      </c>
      <c r="N16" s="2" t="s">
        <v>21</v>
      </c>
      <c r="O16" s="1" t="s">
        <v>4885</v>
      </c>
      <c r="Q16" s="2" t="s">
        <v>4886</v>
      </c>
      <c r="R16" s="6" t="s">
        <v>4887</v>
      </c>
    </row>
    <row r="17" spans="1:18" ht="90" x14ac:dyDescent="0.25">
      <c r="A17" s="1" t="s">
        <v>4888</v>
      </c>
      <c r="B17" s="1" t="s">
        <v>4889</v>
      </c>
      <c r="C17" s="1" t="s">
        <v>318</v>
      </c>
      <c r="D17" s="2" t="str">
        <f>"1555-0265"</f>
        <v>1555-0265</v>
      </c>
      <c r="F17" s="2" t="str">
        <f>"2010 Jun"</f>
        <v>2010 Jun</v>
      </c>
      <c r="G17" s="3">
        <v>5</v>
      </c>
      <c r="H17" s="3">
        <v>2</v>
      </c>
      <c r="I17" s="3">
        <v>230</v>
      </c>
      <c r="K17" s="2">
        <v>20625195</v>
      </c>
      <c r="L17" s="2" t="s">
        <v>4890</v>
      </c>
      <c r="M17" s="2" t="s">
        <v>322</v>
      </c>
      <c r="N17" s="2" t="s">
        <v>21</v>
      </c>
      <c r="O17" s="1" t="s">
        <v>4891</v>
      </c>
      <c r="Q17" s="2" t="s">
        <v>4892</v>
      </c>
      <c r="R17" s="6" t="s">
        <v>4893</v>
      </c>
    </row>
    <row r="18" spans="1:18" ht="120" x14ac:dyDescent="0.25">
      <c r="A18" s="1" t="s">
        <v>4894</v>
      </c>
      <c r="B18" s="1" t="s">
        <v>4895</v>
      </c>
      <c r="C18" s="1" t="s">
        <v>318</v>
      </c>
      <c r="D18" s="2" t="str">
        <f>"1555-0265"</f>
        <v>1555-0265</v>
      </c>
      <c r="F18" s="2" t="str">
        <f>"2010 Sep"</f>
        <v>2010 Sep</v>
      </c>
      <c r="G18" s="3">
        <v>5</v>
      </c>
      <c r="H18" s="3">
        <v>3</v>
      </c>
      <c r="I18" s="3">
        <v>342</v>
      </c>
      <c r="K18" s="2">
        <v>20861524</v>
      </c>
      <c r="L18" s="2" t="s">
        <v>4896</v>
      </c>
      <c r="M18" s="2" t="s">
        <v>322</v>
      </c>
      <c r="N18" s="2" t="s">
        <v>924</v>
      </c>
      <c r="O18" s="1" t="s">
        <v>4897</v>
      </c>
      <c r="Q18" s="2" t="s">
        <v>4898</v>
      </c>
      <c r="R18" s="6" t="s">
        <v>4899</v>
      </c>
    </row>
    <row r="19" spans="1:18" ht="180" x14ac:dyDescent="0.25">
      <c r="A19" s="1" t="s">
        <v>4900</v>
      </c>
      <c r="B19" s="1" t="s">
        <v>4901</v>
      </c>
      <c r="C19" s="1" t="s">
        <v>36</v>
      </c>
      <c r="D19" s="2" t="str">
        <f>"1526-484X"</f>
        <v>1526-484X</v>
      </c>
      <c r="F19" s="2" t="str">
        <f>"2010 Aug"</f>
        <v>2010 Aug</v>
      </c>
      <c r="G19" s="3">
        <v>20</v>
      </c>
      <c r="H19" s="3">
        <v>4</v>
      </c>
      <c r="I19" s="3">
        <v>299</v>
      </c>
      <c r="K19" s="2">
        <v>20739718</v>
      </c>
      <c r="L19" s="2" t="s">
        <v>4902</v>
      </c>
      <c r="M19" s="2" t="s">
        <v>40</v>
      </c>
      <c r="N19" s="2" t="s">
        <v>21</v>
      </c>
      <c r="O19" s="1" t="s">
        <v>4903</v>
      </c>
      <c r="Q19" s="2" t="s">
        <v>4904</v>
      </c>
      <c r="R19" s="6" t="s">
        <v>4905</v>
      </c>
    </row>
    <row r="20" spans="1:18" ht="120" x14ac:dyDescent="0.25">
      <c r="A20" s="1" t="s">
        <v>4906</v>
      </c>
      <c r="B20" s="1" t="s">
        <v>4907</v>
      </c>
      <c r="C20" s="1" t="s">
        <v>797</v>
      </c>
      <c r="D20" s="2" t="str">
        <f>"1530-0315"</f>
        <v>1530-0315</v>
      </c>
      <c r="F20" s="2" t="str">
        <f>"2010 Feb"</f>
        <v>2010 Feb</v>
      </c>
      <c r="G20" s="3">
        <v>42</v>
      </c>
      <c r="H20" s="3">
        <v>2</v>
      </c>
      <c r="I20" s="3">
        <v>394</v>
      </c>
      <c r="K20" s="2">
        <v>19927018</v>
      </c>
      <c r="L20" s="2" t="s">
        <v>4908</v>
      </c>
      <c r="M20" s="2" t="s">
        <v>156</v>
      </c>
      <c r="N20" s="2" t="s">
        <v>21</v>
      </c>
      <c r="O20" s="1" t="s">
        <v>4909</v>
      </c>
      <c r="Q20" s="2" t="s">
        <v>4910</v>
      </c>
      <c r="R20" s="6" t="s">
        <v>4911</v>
      </c>
    </row>
    <row r="21" spans="1:18" ht="150" x14ac:dyDescent="0.25">
      <c r="A21" s="1" t="s">
        <v>4912</v>
      </c>
      <c r="B21" s="1" t="s">
        <v>4913</v>
      </c>
      <c r="C21" s="1" t="s">
        <v>102</v>
      </c>
      <c r="D21" s="2" t="str">
        <f>"1473-0480"</f>
        <v>1473-0480</v>
      </c>
      <c r="F21" s="2" t="str">
        <f>"2010 Feb"</f>
        <v>2010 Feb</v>
      </c>
      <c r="G21" s="3">
        <v>44</v>
      </c>
      <c r="H21" s="3">
        <v>2</v>
      </c>
      <c r="I21" s="3">
        <v>127</v>
      </c>
      <c r="K21" s="2">
        <v>18523036</v>
      </c>
      <c r="L21" s="2" t="s">
        <v>4914</v>
      </c>
      <c r="M21" s="2" t="s">
        <v>106</v>
      </c>
      <c r="N21" s="2" t="s">
        <v>21</v>
      </c>
      <c r="O21" s="1" t="s">
        <v>4915</v>
      </c>
      <c r="Q21" s="2" t="s">
        <v>4916</v>
      </c>
      <c r="R21" s="6" t="s">
        <v>4917</v>
      </c>
    </row>
    <row r="22" spans="1:18" ht="60" x14ac:dyDescent="0.25">
      <c r="A22" s="1" t="s">
        <v>4918</v>
      </c>
      <c r="B22" s="1" t="s">
        <v>4919</v>
      </c>
      <c r="C22" s="1" t="s">
        <v>318</v>
      </c>
      <c r="D22" s="2" t="str">
        <f>"1555-0265"</f>
        <v>1555-0265</v>
      </c>
      <c r="F22" s="2" t="str">
        <f>"2010 Dec"</f>
        <v>2010 Dec</v>
      </c>
      <c r="G22" s="3">
        <v>5</v>
      </c>
      <c r="H22" s="3">
        <v>4</v>
      </c>
      <c r="I22" s="3">
        <v>546</v>
      </c>
      <c r="K22" s="2">
        <v>21266738</v>
      </c>
      <c r="L22" s="2" t="s">
        <v>4920</v>
      </c>
      <c r="M22" s="2" t="s">
        <v>322</v>
      </c>
      <c r="N22" s="2" t="s">
        <v>21</v>
      </c>
      <c r="O22" s="1" t="s">
        <v>4921</v>
      </c>
      <c r="Q22" s="2" t="s">
        <v>4922</v>
      </c>
      <c r="R22" s="6" t="s">
        <v>4923</v>
      </c>
    </row>
    <row r="23" spans="1:18" ht="105" x14ac:dyDescent="0.25">
      <c r="A23" s="1" t="s">
        <v>4924</v>
      </c>
      <c r="B23" s="1" t="s">
        <v>4925</v>
      </c>
      <c r="C23" s="1" t="s">
        <v>112</v>
      </c>
      <c r="D23" s="2" t="str">
        <f>"1536-3724"</f>
        <v>1536-3724</v>
      </c>
      <c r="F23" s="2" t="str">
        <f>"2010 May"</f>
        <v>2010 May</v>
      </c>
      <c r="G23" s="3">
        <v>20</v>
      </c>
      <c r="H23" s="3">
        <v>3</v>
      </c>
      <c r="I23" s="3">
        <v>200</v>
      </c>
      <c r="K23" s="2">
        <v>20445361</v>
      </c>
      <c r="L23" s="2" t="s">
        <v>4926</v>
      </c>
      <c r="M23" s="2" t="s">
        <v>116</v>
      </c>
      <c r="N23" s="2" t="s">
        <v>3421</v>
      </c>
      <c r="O23" s="1" t="s">
        <v>4927</v>
      </c>
      <c r="Q23" s="2" t="s">
        <v>4928</v>
      </c>
      <c r="R23" s="6" t="s">
        <v>4929</v>
      </c>
    </row>
    <row r="24" spans="1:18" ht="45" x14ac:dyDescent="0.25">
      <c r="A24" s="1" t="s">
        <v>4930</v>
      </c>
      <c r="B24" s="1" t="s">
        <v>4931</v>
      </c>
      <c r="C24" s="1" t="s">
        <v>921</v>
      </c>
      <c r="D24" s="2" t="str">
        <f>"1466-447X"</f>
        <v>1466-447X</v>
      </c>
      <c r="F24" s="2" t="str">
        <f>"2010 May"</f>
        <v>2010 May</v>
      </c>
      <c r="G24" s="3">
        <v>28</v>
      </c>
      <c r="H24" s="3">
        <v>7</v>
      </c>
      <c r="I24" s="3">
        <v>723</v>
      </c>
      <c r="K24" s="2">
        <v>20480427</v>
      </c>
      <c r="L24" s="2" t="s">
        <v>4932</v>
      </c>
      <c r="M24" s="2" t="s">
        <v>923</v>
      </c>
      <c r="N24" s="2" t="s">
        <v>21</v>
      </c>
      <c r="O24" s="1" t="s">
        <v>4933</v>
      </c>
      <c r="Q24" s="2" t="s">
        <v>4934</v>
      </c>
      <c r="R24" s="6" t="s">
        <v>4935</v>
      </c>
    </row>
    <row r="25" spans="1:18" ht="120" x14ac:dyDescent="0.25">
      <c r="A25" s="1" t="s">
        <v>4936</v>
      </c>
      <c r="B25" s="1" t="s">
        <v>4937</v>
      </c>
      <c r="C25" s="1" t="s">
        <v>102</v>
      </c>
      <c r="D25" s="2" t="str">
        <f>"1473-0480"</f>
        <v>1473-0480</v>
      </c>
      <c r="F25" s="2" t="str">
        <f>"2010 Mar"</f>
        <v>2010 Mar</v>
      </c>
      <c r="G25" s="3">
        <v>44</v>
      </c>
      <c r="H25" s="3">
        <v>4</v>
      </c>
      <c r="I25" s="3">
        <v>227</v>
      </c>
      <c r="K25" s="2">
        <v>18499767</v>
      </c>
      <c r="L25" s="2" t="s">
        <v>4938</v>
      </c>
      <c r="M25" s="2" t="s">
        <v>106</v>
      </c>
      <c r="N25" s="2" t="s">
        <v>21</v>
      </c>
      <c r="O25" s="1" t="s">
        <v>4939</v>
      </c>
      <c r="Q25" s="2" t="s">
        <v>4940</v>
      </c>
      <c r="R25" s="6" t="s">
        <v>4941</v>
      </c>
    </row>
    <row r="26" spans="1:18" ht="105" x14ac:dyDescent="0.25">
      <c r="A26" s="1" t="s">
        <v>4942</v>
      </c>
      <c r="B26" s="1" t="s">
        <v>4943</v>
      </c>
      <c r="C26" s="1" t="s">
        <v>466</v>
      </c>
      <c r="D26" s="2" t="str">
        <f>"1533-4287"</f>
        <v>1533-4287</v>
      </c>
      <c r="F26" s="2" t="str">
        <f>"2010 Oct"</f>
        <v>2010 Oct</v>
      </c>
      <c r="G26" s="3">
        <v>24</v>
      </c>
      <c r="H26" s="3">
        <v>10</v>
      </c>
      <c r="I26" s="3">
        <v>2731</v>
      </c>
      <c r="K26" s="2">
        <v>20885195</v>
      </c>
      <c r="L26" s="2" t="s">
        <v>4944</v>
      </c>
      <c r="M26" s="2" t="s">
        <v>468</v>
      </c>
      <c r="N26" s="2" t="s">
        <v>21</v>
      </c>
      <c r="O26" s="1" t="s">
        <v>4945</v>
      </c>
      <c r="Q26" s="2" t="s">
        <v>4946</v>
      </c>
      <c r="R26" s="6" t="s">
        <v>4947</v>
      </c>
    </row>
    <row r="27" spans="1:18" ht="165" x14ac:dyDescent="0.25">
      <c r="A27" s="1" t="s">
        <v>4948</v>
      </c>
      <c r="B27" s="1" t="s">
        <v>4949</v>
      </c>
      <c r="C27" s="1" t="s">
        <v>318</v>
      </c>
      <c r="D27" s="2" t="str">
        <f>"1555-0265"</f>
        <v>1555-0265</v>
      </c>
      <c r="F27" s="2" t="str">
        <f>"2010 Mar"</f>
        <v>2010 Mar</v>
      </c>
      <c r="G27" s="3">
        <v>5</v>
      </c>
      <c r="H27" s="3">
        <v>1</v>
      </c>
      <c r="I27" s="3">
        <v>75</v>
      </c>
      <c r="K27" s="2">
        <v>20308698</v>
      </c>
      <c r="L27" s="2" t="s">
        <v>4950</v>
      </c>
      <c r="M27" s="2" t="s">
        <v>322</v>
      </c>
      <c r="N27" s="2" t="s">
        <v>21</v>
      </c>
      <c r="O27" s="1" t="s">
        <v>4951</v>
      </c>
      <c r="Q27" s="2" t="s">
        <v>4952</v>
      </c>
      <c r="R27" s="6" t="s">
        <v>4953</v>
      </c>
    </row>
    <row r="28" spans="1:18" ht="105" x14ac:dyDescent="0.25">
      <c r="A28" s="1" t="s">
        <v>4954</v>
      </c>
      <c r="B28" s="1" t="s">
        <v>4955</v>
      </c>
      <c r="C28" s="1" t="s">
        <v>696</v>
      </c>
      <c r="D28" s="2" t="str">
        <f>"1439-3964"</f>
        <v>1439-3964</v>
      </c>
      <c r="F28" s="2" t="str">
        <f>"2010 Jun"</f>
        <v>2010 Jun</v>
      </c>
      <c r="G28" s="3">
        <v>31</v>
      </c>
      <c r="H28" s="3">
        <v>6</v>
      </c>
      <c r="I28" s="3">
        <v>397</v>
      </c>
      <c r="K28" s="2">
        <v>20301046</v>
      </c>
      <c r="L28" s="2" t="s">
        <v>4956</v>
      </c>
      <c r="M28" s="2" t="s">
        <v>698</v>
      </c>
      <c r="N28" s="2" t="s">
        <v>21</v>
      </c>
      <c r="O28" s="1" t="s">
        <v>4957</v>
      </c>
      <c r="Q28" s="2" t="s">
        <v>4958</v>
      </c>
      <c r="R28" s="6" t="s">
        <v>4959</v>
      </c>
    </row>
    <row r="29" spans="1:18" ht="90" x14ac:dyDescent="0.25">
      <c r="A29" s="1" t="s">
        <v>4960</v>
      </c>
      <c r="B29" s="1" t="s">
        <v>4961</v>
      </c>
      <c r="C29" s="1" t="s">
        <v>466</v>
      </c>
      <c r="D29" s="2" t="str">
        <f>"1533-4287"</f>
        <v>1533-4287</v>
      </c>
      <c r="F29" s="2" t="str">
        <f>"2010 Feb"</f>
        <v>2010 Feb</v>
      </c>
      <c r="G29" s="3">
        <v>24</v>
      </c>
      <c r="H29" s="3">
        <v>2</v>
      </c>
      <c r="I29" s="3">
        <v>471</v>
      </c>
      <c r="K29" s="2">
        <v>20072051</v>
      </c>
      <c r="L29" s="2" t="s">
        <v>4962</v>
      </c>
      <c r="M29" s="2" t="s">
        <v>468</v>
      </c>
      <c r="N29" s="2" t="s">
        <v>21</v>
      </c>
      <c r="O29" s="1" t="s">
        <v>4963</v>
      </c>
      <c r="Q29" s="2" t="s">
        <v>4964</v>
      </c>
      <c r="R29" s="6" t="s">
        <v>4965</v>
      </c>
    </row>
    <row r="30" spans="1:18" ht="75" x14ac:dyDescent="0.25">
      <c r="A30" s="1" t="s">
        <v>4966</v>
      </c>
      <c r="B30" s="1" t="s">
        <v>4967</v>
      </c>
      <c r="C30" s="1" t="s">
        <v>16</v>
      </c>
      <c r="D30" s="2" t="str">
        <f>"1476-3141"</f>
        <v>1476-3141</v>
      </c>
      <c r="F30" s="2" t="str">
        <f>"2010 Mar"</f>
        <v>2010 Mar</v>
      </c>
      <c r="G30" s="3">
        <v>9</v>
      </c>
      <c r="H30" s="3">
        <v>1</v>
      </c>
      <c r="I30" s="3">
        <v>47</v>
      </c>
      <c r="K30" s="2">
        <v>20446639</v>
      </c>
      <c r="L30" s="2" t="s">
        <v>4968</v>
      </c>
      <c r="M30" s="2" t="s">
        <v>20</v>
      </c>
      <c r="N30" s="2" t="s">
        <v>924</v>
      </c>
      <c r="O30" s="1" t="s">
        <v>4969</v>
      </c>
      <c r="Q30" s="2" t="s">
        <v>4970</v>
      </c>
      <c r="R30" s="6" t="s">
        <v>4971</v>
      </c>
    </row>
    <row r="31" spans="1:18" ht="150" x14ac:dyDescent="0.25">
      <c r="A31" s="1" t="s">
        <v>4972</v>
      </c>
      <c r="B31" s="1" t="s">
        <v>4895</v>
      </c>
      <c r="C31" s="1" t="s">
        <v>921</v>
      </c>
      <c r="D31" s="2" t="str">
        <f>"1466-447X"</f>
        <v>1466-447X</v>
      </c>
      <c r="F31" s="2" t="str">
        <f>"2010 May"</f>
        <v>2010 May</v>
      </c>
      <c r="G31" s="3">
        <v>28</v>
      </c>
      <c r="H31" s="3">
        <v>7</v>
      </c>
      <c r="I31" s="3">
        <v>733</v>
      </c>
      <c r="K31" s="2">
        <v>20419553</v>
      </c>
      <c r="L31" s="2" t="s">
        <v>4973</v>
      </c>
      <c r="M31" s="2" t="s">
        <v>923</v>
      </c>
      <c r="N31" s="2" t="s">
        <v>21</v>
      </c>
      <c r="O31" s="1" t="s">
        <v>4974</v>
      </c>
      <c r="Q31" s="2" t="s">
        <v>4975</v>
      </c>
      <c r="R31" s="6" t="s">
        <v>4976</v>
      </c>
    </row>
    <row r="32" spans="1:18" ht="60" x14ac:dyDescent="0.25">
      <c r="A32" s="1" t="s">
        <v>4977</v>
      </c>
      <c r="B32" s="1" t="s">
        <v>4978</v>
      </c>
      <c r="C32" s="1" t="s">
        <v>318</v>
      </c>
      <c r="D32" s="2" t="str">
        <f>"1555-0265"</f>
        <v>1555-0265</v>
      </c>
      <c r="F32" s="2" t="str">
        <f>"2010 Jun"</f>
        <v>2010 Jun</v>
      </c>
      <c r="G32" s="3">
        <v>5</v>
      </c>
      <c r="H32" s="3">
        <v>2</v>
      </c>
      <c r="I32" s="3">
        <v>210</v>
      </c>
      <c r="K32" s="2">
        <v>20625193</v>
      </c>
      <c r="L32" s="2" t="s">
        <v>4979</v>
      </c>
      <c r="M32" s="2" t="s">
        <v>322</v>
      </c>
      <c r="N32" s="2" t="s">
        <v>21</v>
      </c>
      <c r="O32" s="1" t="s">
        <v>4980</v>
      </c>
      <c r="Q32" s="2" t="s">
        <v>4981</v>
      </c>
      <c r="R32" s="6" t="s">
        <v>4982</v>
      </c>
    </row>
    <row r="33" spans="1:18" ht="120" x14ac:dyDescent="0.25">
      <c r="A33" s="1" t="s">
        <v>4983</v>
      </c>
      <c r="B33" s="1" t="s">
        <v>4984</v>
      </c>
      <c r="C33" s="1" t="s">
        <v>2509</v>
      </c>
      <c r="D33" s="2" t="str">
        <f>"1943-393X"</f>
        <v>1943-393X</v>
      </c>
      <c r="F33" s="2" t="str">
        <f>"2010 Jul"</f>
        <v>2010 Jul</v>
      </c>
      <c r="G33" s="3">
        <v>72</v>
      </c>
      <c r="H33" s="3">
        <v>5</v>
      </c>
      <c r="I33" s="3">
        <v>1317</v>
      </c>
      <c r="K33" s="2">
        <v>20601713</v>
      </c>
      <c r="L33" s="2" t="s">
        <v>4985</v>
      </c>
      <c r="M33" s="2" t="s">
        <v>895</v>
      </c>
      <c r="N33" s="2" t="s">
        <v>21</v>
      </c>
      <c r="O33" s="1" t="s">
        <v>4986</v>
      </c>
      <c r="Q33" s="2" t="s">
        <v>4987</v>
      </c>
      <c r="R33" s="6" t="s">
        <v>4988</v>
      </c>
    </row>
  </sheetData>
  <hyperlinks>
    <hyperlink ref="R2" r:id="rId1" xr:uid="{638A7F9F-1182-48CC-B3D2-CEB5AAB782FE}"/>
    <hyperlink ref="R3" r:id="rId2" xr:uid="{9B398651-606B-4DC3-A3A1-498F9CF7BB80}"/>
    <hyperlink ref="R4" r:id="rId3" xr:uid="{AEBFC905-998D-4090-82D1-D9086709D376}"/>
    <hyperlink ref="R5" r:id="rId4" xr:uid="{673697FE-2CFB-4BE2-8C57-AA7E0A38CA45}"/>
    <hyperlink ref="R6" r:id="rId5" xr:uid="{708AA104-AF4C-4980-94EF-39A44CB4D9A7}"/>
    <hyperlink ref="R7" r:id="rId6" xr:uid="{49043561-1AF7-4317-8F81-DEFF92ADDAB6}"/>
    <hyperlink ref="R8" r:id="rId7" xr:uid="{8CB18B7A-6EC6-4F47-95BB-B096FEA9B39B}"/>
    <hyperlink ref="R9" r:id="rId8" xr:uid="{E42D50B3-0940-4358-923D-AC271064EE0F}"/>
    <hyperlink ref="R10" r:id="rId9" xr:uid="{E68D3429-055A-47B5-85CB-7EDC5F6B19E5}"/>
    <hyperlink ref="R11" r:id="rId10" xr:uid="{318989FE-19E7-4B27-AA7F-C64F70C12009}"/>
    <hyperlink ref="R12" r:id="rId11" xr:uid="{B88562F2-8EAC-4666-BA29-DC141005B078}"/>
    <hyperlink ref="R13" r:id="rId12" xr:uid="{63629173-4E33-4683-9374-F70E27125E98}"/>
    <hyperlink ref="R14" r:id="rId13" xr:uid="{1384B359-3544-463F-90B7-3BDD9ABE4B06}"/>
    <hyperlink ref="R15" r:id="rId14" xr:uid="{08D3CE78-1770-46F0-ACC8-D7DDDC13A2EA}"/>
    <hyperlink ref="R16" r:id="rId15" xr:uid="{796EF911-28E9-420B-A86C-62C063D98905}"/>
    <hyperlink ref="R17" r:id="rId16" xr:uid="{FD2A06A9-2B82-404B-B803-175D8D10116B}"/>
    <hyperlink ref="R18" r:id="rId17" xr:uid="{945C642E-BCED-44D8-B651-8FEBC69A83DD}"/>
    <hyperlink ref="R19" r:id="rId18" xr:uid="{00EE0ED7-AB89-4C75-877A-5EB8477BD19B}"/>
    <hyperlink ref="R20" r:id="rId19" xr:uid="{129BD44D-2B49-4216-8A1B-389DE35E1995}"/>
    <hyperlink ref="R21" r:id="rId20" xr:uid="{AC8451CD-905C-420C-A922-0866C29FBBAC}"/>
    <hyperlink ref="R22" r:id="rId21" xr:uid="{4BDE6BD0-7928-43C0-92FB-58313C3DEF24}"/>
    <hyperlink ref="R23" r:id="rId22" xr:uid="{E8C7A4C7-E3D9-494F-9E2F-9802641B8F90}"/>
    <hyperlink ref="R24" r:id="rId23" xr:uid="{FCE0DC8D-C24E-4AA0-AB5C-F8929FF3BCD8}"/>
    <hyperlink ref="R25" r:id="rId24" xr:uid="{75C8348A-E13A-40C4-B7F0-93D29E285759}"/>
    <hyperlink ref="R26" r:id="rId25" xr:uid="{28452E51-ABD2-4CB7-BBFC-54310D8D1671}"/>
    <hyperlink ref="R27" r:id="rId26" xr:uid="{AAC7E526-5649-4E17-80CD-C9F851098226}"/>
    <hyperlink ref="R28" r:id="rId27" xr:uid="{D33DB2E7-D52B-4DCB-ABF7-D0AC036C3024}"/>
    <hyperlink ref="R29" r:id="rId28" xr:uid="{E4978AF8-8D3C-4FCF-B771-0E08E2711938}"/>
    <hyperlink ref="R30" r:id="rId29" xr:uid="{7C79C9FC-251F-4F2A-8391-0A064CDE6963}"/>
    <hyperlink ref="R31" r:id="rId30" xr:uid="{66DBD64D-C7C8-41A9-8B93-3F9D2A37019A}"/>
    <hyperlink ref="R32" r:id="rId31" xr:uid="{03D206A5-60EB-48B9-B116-ECCD822DD81A}"/>
    <hyperlink ref="R33" r:id="rId32" xr:uid="{20B2BEC9-D489-4072-A895-78E69C9F3178}"/>
  </hyperlinks>
  <pageMargins left="0.7" right="0.7" top="0.75" bottom="0.75" header="0.3" footer="0.3"/>
  <headerFooter>
    <oddHeader>&amp;C&amp;"Calibri"&amp;12&amp;KFF0000 OFFICIAL&amp;1#_x000D_</oddHeader>
  </headerFooter>
  <tableParts count="1">
    <tablePart r:id="rId3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R25"/>
  <sheetViews>
    <sheetView workbookViewId="0">
      <selection activeCell="D29" sqref="D29"/>
    </sheetView>
  </sheetViews>
  <sheetFormatPr defaultColWidth="8.7109375" defaultRowHeight="15" x14ac:dyDescent="0.25"/>
  <cols>
    <col min="1" max="1" width="39.42578125" style="1" customWidth="1"/>
    <col min="2" max="2" width="28.85546875" style="1" customWidth="1"/>
    <col min="3" max="3" width="32.42578125" style="1" customWidth="1"/>
    <col min="4" max="4" width="9.42578125" style="2" bestFit="1" customWidth="1"/>
    <col min="5" max="5" width="7.140625"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28" style="2" bestFit="1" customWidth="1"/>
    <col min="13" max="13" width="30.140625" style="2" bestFit="1" customWidth="1"/>
    <col min="14" max="14" width="17.140625" style="2" bestFit="1" customWidth="1"/>
    <col min="15" max="15" width="39.140625" style="1" customWidth="1"/>
    <col min="16" max="16" width="11.140625" style="2" hidden="1" customWidth="1"/>
    <col min="17" max="17" width="32.42578125" style="2" customWidth="1"/>
    <col min="18" max="18" width="26.28515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45" x14ac:dyDescent="0.25">
      <c r="A2" s="1" t="s">
        <v>4989</v>
      </c>
      <c r="B2" s="1" t="s">
        <v>4990</v>
      </c>
      <c r="C2" s="1" t="s">
        <v>36</v>
      </c>
      <c r="D2" s="2" t="str">
        <f>"1526-484X"</f>
        <v>1526-484X</v>
      </c>
      <c r="F2" s="2" t="str">
        <f>"2009 Oct"</f>
        <v>2009 Oct</v>
      </c>
      <c r="G2" s="3">
        <v>19</v>
      </c>
      <c r="H2" s="3">
        <v>5</v>
      </c>
      <c r="I2" s="3">
        <v>561</v>
      </c>
      <c r="K2" s="2">
        <v>19910656</v>
      </c>
      <c r="M2" s="2" t="s">
        <v>40</v>
      </c>
      <c r="N2" s="2" t="s">
        <v>4991</v>
      </c>
      <c r="O2" s="1" t="s">
        <v>4992</v>
      </c>
      <c r="R2" s="6" t="s">
        <v>4993</v>
      </c>
    </row>
    <row r="3" spans="1:18" ht="60" x14ac:dyDescent="0.25">
      <c r="A3" s="1" t="s">
        <v>4994</v>
      </c>
      <c r="B3" s="1" t="s">
        <v>4995</v>
      </c>
      <c r="C3" s="1" t="s">
        <v>921</v>
      </c>
      <c r="D3" s="2" t="str">
        <f>"0264-0414"</f>
        <v>0264-0414</v>
      </c>
      <c r="F3" s="2" t="str">
        <f>"2009 Feb 15"</f>
        <v>2009 Feb 15</v>
      </c>
      <c r="G3" s="3">
        <v>27</v>
      </c>
      <c r="H3" s="3">
        <v>4</v>
      </c>
      <c r="I3" s="3">
        <v>387</v>
      </c>
      <c r="K3" s="2">
        <v>19214862</v>
      </c>
      <c r="L3" s="2" t="s">
        <v>4996</v>
      </c>
      <c r="M3" s="2" t="s">
        <v>923</v>
      </c>
      <c r="N3" s="2" t="s">
        <v>21</v>
      </c>
      <c r="O3" s="1" t="s">
        <v>4997</v>
      </c>
      <c r="Q3" s="2" t="s">
        <v>4998</v>
      </c>
      <c r="R3" s="6" t="s">
        <v>4999</v>
      </c>
    </row>
    <row r="4" spans="1:18" ht="90" x14ac:dyDescent="0.25">
      <c r="A4" s="1" t="s">
        <v>5000</v>
      </c>
      <c r="B4" s="1" t="s">
        <v>5001</v>
      </c>
      <c r="C4" s="1" t="s">
        <v>102</v>
      </c>
      <c r="D4" s="2" t="str">
        <f>"1473-0480"</f>
        <v>1473-0480</v>
      </c>
      <c r="F4" s="2" t="str">
        <f>"2009 Dec"</f>
        <v>2009 Dec</v>
      </c>
      <c r="G4" s="3">
        <v>43</v>
      </c>
      <c r="H4" s="3">
        <v>14</v>
      </c>
      <c r="I4" s="3">
        <v>1088</v>
      </c>
      <c r="K4" s="2">
        <v>19955167</v>
      </c>
      <c r="L4" s="2" t="s">
        <v>5002</v>
      </c>
      <c r="M4" s="2" t="s">
        <v>106</v>
      </c>
      <c r="N4" s="2" t="s">
        <v>21</v>
      </c>
      <c r="O4" s="1" t="s">
        <v>5003</v>
      </c>
      <c r="R4" s="6" t="s">
        <v>5004</v>
      </c>
    </row>
    <row r="5" spans="1:18" ht="75" x14ac:dyDescent="0.25">
      <c r="A5" s="1" t="s">
        <v>5005</v>
      </c>
      <c r="B5" s="1" t="s">
        <v>5006</v>
      </c>
      <c r="C5" s="1" t="s">
        <v>16</v>
      </c>
      <c r="D5" s="2" t="str">
        <f>"1476-3141"</f>
        <v>1476-3141</v>
      </c>
      <c r="F5" s="2" t="str">
        <f>"2009 Jun"</f>
        <v>2009 Jun</v>
      </c>
      <c r="G5" s="3">
        <v>8</v>
      </c>
      <c r="H5" s="3">
        <v>2</v>
      </c>
      <c r="I5" s="3">
        <v>105</v>
      </c>
      <c r="K5" s="2">
        <v>19705762</v>
      </c>
      <c r="L5" s="2" t="s">
        <v>5007</v>
      </c>
      <c r="M5" s="2" t="s">
        <v>20</v>
      </c>
      <c r="N5" s="2" t="s">
        <v>21</v>
      </c>
      <c r="O5" s="1" t="s">
        <v>5008</v>
      </c>
      <c r="Q5" s="2" t="s">
        <v>5009</v>
      </c>
      <c r="R5" s="6" t="s">
        <v>5010</v>
      </c>
    </row>
    <row r="6" spans="1:18" ht="45" x14ac:dyDescent="0.25">
      <c r="A6" s="1" t="s">
        <v>5011</v>
      </c>
      <c r="B6" s="1" t="s">
        <v>5012</v>
      </c>
      <c r="C6" s="1" t="s">
        <v>921</v>
      </c>
      <c r="D6" s="2" t="str">
        <f>"0264-0414"</f>
        <v>0264-0414</v>
      </c>
      <c r="F6" s="2" t="str">
        <f>"2009 Feb 15"</f>
        <v>2009 Feb 15</v>
      </c>
      <c r="G6" s="3">
        <v>27</v>
      </c>
      <c r="H6" s="3">
        <v>4</v>
      </c>
      <c r="I6" s="3">
        <v>367</v>
      </c>
      <c r="K6" s="2">
        <v>19235005</v>
      </c>
      <c r="L6" s="2" t="s">
        <v>5013</v>
      </c>
      <c r="M6" s="2" t="s">
        <v>923</v>
      </c>
      <c r="N6" s="2" t="s">
        <v>21</v>
      </c>
      <c r="O6" s="1" t="s">
        <v>5014</v>
      </c>
      <c r="Q6" s="2" t="s">
        <v>5015</v>
      </c>
      <c r="R6" s="6" t="s">
        <v>5016</v>
      </c>
    </row>
    <row r="7" spans="1:18" ht="75" x14ac:dyDescent="0.25">
      <c r="A7" s="1" t="s">
        <v>5017</v>
      </c>
      <c r="B7" s="1" t="s">
        <v>5018</v>
      </c>
      <c r="C7" s="1" t="s">
        <v>16</v>
      </c>
      <c r="D7" s="2" t="str">
        <f>"1476-3141"</f>
        <v>1476-3141</v>
      </c>
      <c r="F7" s="2" t="str">
        <f>"2009 Jun"</f>
        <v>2009 Jun</v>
      </c>
      <c r="G7" s="3">
        <v>8</v>
      </c>
      <c r="H7" s="3">
        <v>2</v>
      </c>
      <c r="I7" s="3">
        <v>129</v>
      </c>
      <c r="K7" s="2">
        <v>19705764</v>
      </c>
      <c r="L7" s="2" t="s">
        <v>5019</v>
      </c>
      <c r="M7" s="2" t="s">
        <v>20</v>
      </c>
      <c r="N7" s="2" t="s">
        <v>21</v>
      </c>
      <c r="O7" s="1" t="s">
        <v>5020</v>
      </c>
      <c r="Q7" s="2" t="s">
        <v>5021</v>
      </c>
      <c r="R7" s="6" t="s">
        <v>5022</v>
      </c>
    </row>
    <row r="8" spans="1:18" ht="195" x14ac:dyDescent="0.25">
      <c r="A8" s="1" t="s">
        <v>5023</v>
      </c>
      <c r="B8" s="1" t="s">
        <v>5024</v>
      </c>
      <c r="C8" s="1" t="s">
        <v>5025</v>
      </c>
      <c r="D8" s="2" t="str">
        <f>"1557-8682"</f>
        <v>1557-8682</v>
      </c>
      <c r="F8" s="2" t="str">
        <f>"2009 Summer"</f>
        <v>2009 Summer</v>
      </c>
      <c r="G8" s="3">
        <v>10</v>
      </c>
      <c r="H8" s="3">
        <v>2</v>
      </c>
      <c r="I8" s="3">
        <v>135</v>
      </c>
      <c r="K8" s="2">
        <v>19519223</v>
      </c>
      <c r="L8" s="2" t="s">
        <v>5026</v>
      </c>
      <c r="M8" s="2" t="s">
        <v>5027</v>
      </c>
      <c r="N8" s="2" t="s">
        <v>21</v>
      </c>
      <c r="O8" s="1" t="s">
        <v>5028</v>
      </c>
      <c r="Q8" s="2" t="s">
        <v>5029</v>
      </c>
      <c r="R8" s="6" t="s">
        <v>5030</v>
      </c>
    </row>
    <row r="9" spans="1:18" ht="120" x14ac:dyDescent="0.25">
      <c r="A9" s="1" t="s">
        <v>5031</v>
      </c>
      <c r="B9" s="1" t="s">
        <v>5032</v>
      </c>
      <c r="C9" s="1" t="s">
        <v>533</v>
      </c>
      <c r="D9" s="2" t="str">
        <f>"1873-1600"</f>
        <v>1873-1600</v>
      </c>
      <c r="F9" s="2" t="str">
        <f>"2009 May"</f>
        <v>2009 May</v>
      </c>
      <c r="G9" s="3">
        <v>10</v>
      </c>
      <c r="H9" s="3">
        <v>2</v>
      </c>
      <c r="I9" s="3">
        <v>51</v>
      </c>
      <c r="K9" s="2">
        <v>19376472</v>
      </c>
      <c r="L9" s="2" t="s">
        <v>5033</v>
      </c>
      <c r="M9" s="2" t="s">
        <v>535</v>
      </c>
      <c r="N9" s="2" t="s">
        <v>21</v>
      </c>
      <c r="O9" s="1" t="s">
        <v>5034</v>
      </c>
      <c r="Q9" s="2" t="s">
        <v>5035</v>
      </c>
      <c r="R9" s="6" t="s">
        <v>5036</v>
      </c>
    </row>
    <row r="10" spans="1:18" ht="90" x14ac:dyDescent="0.25">
      <c r="A10" s="1" t="s">
        <v>5037</v>
      </c>
      <c r="B10" s="1" t="s">
        <v>5038</v>
      </c>
      <c r="C10" s="1" t="s">
        <v>318</v>
      </c>
      <c r="D10" s="2" t="str">
        <f>"1555-0265"</f>
        <v>1555-0265</v>
      </c>
      <c r="F10" s="2" t="str">
        <f>"2009 Mar"</f>
        <v>2009 Mar</v>
      </c>
      <c r="G10" s="3">
        <v>4</v>
      </c>
      <c r="H10" s="3">
        <v>1</v>
      </c>
      <c r="I10" s="3">
        <v>134</v>
      </c>
      <c r="K10" s="2">
        <v>19417235</v>
      </c>
      <c r="L10" s="2" t="s">
        <v>5039</v>
      </c>
      <c r="M10" s="2" t="s">
        <v>322</v>
      </c>
      <c r="N10" s="2" t="s">
        <v>924</v>
      </c>
      <c r="O10" s="1" t="s">
        <v>5040</v>
      </c>
      <c r="Q10" s="2" t="s">
        <v>5041</v>
      </c>
      <c r="R10" s="6" t="s">
        <v>5042</v>
      </c>
    </row>
    <row r="11" spans="1:18" ht="105" x14ac:dyDescent="0.25">
      <c r="A11" s="1" t="s">
        <v>5043</v>
      </c>
      <c r="B11" s="1" t="s">
        <v>5044</v>
      </c>
      <c r="C11" s="1" t="s">
        <v>55</v>
      </c>
      <c r="D11" s="2" t="str">
        <f>"1440-2440"</f>
        <v>1440-2440</v>
      </c>
      <c r="F11" s="2" t="str">
        <f>"2009 Jan"</f>
        <v>2009 Jan</v>
      </c>
      <c r="G11" s="3">
        <v>12</v>
      </c>
      <c r="H11" s="3">
        <v>1</v>
      </c>
      <c r="I11" s="3">
        <v>67</v>
      </c>
      <c r="K11" s="2">
        <v>18069063</v>
      </c>
      <c r="L11" s="2" t="s">
        <v>5045</v>
      </c>
      <c r="M11" s="2" t="s">
        <v>59</v>
      </c>
      <c r="N11" s="2" t="s">
        <v>21</v>
      </c>
      <c r="O11" s="1" t="s">
        <v>5046</v>
      </c>
      <c r="Q11" s="2" t="s">
        <v>5047</v>
      </c>
      <c r="R11" s="6" t="s">
        <v>5048</v>
      </c>
    </row>
    <row r="12" spans="1:18" ht="45" x14ac:dyDescent="0.25">
      <c r="A12" s="1" t="s">
        <v>5049</v>
      </c>
      <c r="B12" s="1" t="s">
        <v>5050</v>
      </c>
      <c r="C12" s="1" t="s">
        <v>921</v>
      </c>
      <c r="D12" s="2" t="str">
        <f>"0264-0414"</f>
        <v>0264-0414</v>
      </c>
      <c r="F12" s="2" t="str">
        <f>"2009 Jul"</f>
        <v>2009 Jul</v>
      </c>
      <c r="G12" s="3">
        <v>27</v>
      </c>
      <c r="H12" s="3">
        <v>9</v>
      </c>
      <c r="I12" s="3">
        <v>937</v>
      </c>
      <c r="K12" s="2">
        <v>19598055</v>
      </c>
      <c r="L12" s="2" t="s">
        <v>5051</v>
      </c>
      <c r="M12" s="2" t="s">
        <v>923</v>
      </c>
      <c r="N12" s="2" t="s">
        <v>4764</v>
      </c>
      <c r="O12" s="1" t="s">
        <v>5052</v>
      </c>
      <c r="Q12" s="2" t="s">
        <v>5053</v>
      </c>
      <c r="R12" s="6" t="s">
        <v>5054</v>
      </c>
    </row>
    <row r="13" spans="1:18" ht="75" x14ac:dyDescent="0.25">
      <c r="A13" s="1" t="s">
        <v>5055</v>
      </c>
      <c r="B13" s="1" t="s">
        <v>5056</v>
      </c>
      <c r="C13" s="1" t="s">
        <v>55</v>
      </c>
      <c r="D13" s="2" t="str">
        <f>"1878-1861"</f>
        <v>1878-1861</v>
      </c>
      <c r="F13" s="2" t="str">
        <f>"2009 Nov"</f>
        <v>2009 Nov</v>
      </c>
      <c r="G13" s="3">
        <v>12</v>
      </c>
      <c r="H13" s="3">
        <v>6</v>
      </c>
      <c r="I13" s="3">
        <v>657</v>
      </c>
      <c r="K13" s="2">
        <v>18768355</v>
      </c>
      <c r="L13" s="2" t="s">
        <v>5057</v>
      </c>
      <c r="M13" s="2" t="s">
        <v>59</v>
      </c>
      <c r="N13" s="2" t="s">
        <v>21</v>
      </c>
      <c r="O13" s="1" t="s">
        <v>5058</v>
      </c>
      <c r="Q13" s="2" t="s">
        <v>5059</v>
      </c>
      <c r="R13" s="6" t="s">
        <v>5060</v>
      </c>
    </row>
    <row r="14" spans="1:18" ht="60" x14ac:dyDescent="0.25">
      <c r="A14" s="1" t="s">
        <v>5061</v>
      </c>
      <c r="B14" s="1" t="s">
        <v>5062</v>
      </c>
      <c r="C14" s="1" t="s">
        <v>921</v>
      </c>
      <c r="D14" s="2" t="str">
        <f>"0264-0414"</f>
        <v>0264-0414</v>
      </c>
      <c r="F14" s="2" t="str">
        <f>"2009 Feb 01"</f>
        <v>2009 Feb 01</v>
      </c>
      <c r="G14" s="3">
        <v>27</v>
      </c>
      <c r="H14" s="3">
        <v>3</v>
      </c>
      <c r="I14" s="3">
        <v>195</v>
      </c>
      <c r="K14" s="2">
        <v>19153861</v>
      </c>
      <c r="L14" s="2" t="s">
        <v>5063</v>
      </c>
      <c r="M14" s="2" t="s">
        <v>923</v>
      </c>
      <c r="N14" s="2" t="s">
        <v>633</v>
      </c>
      <c r="O14" s="1" t="s">
        <v>5064</v>
      </c>
      <c r="Q14" s="2" t="s">
        <v>5065</v>
      </c>
      <c r="R14" s="6" t="s">
        <v>5066</v>
      </c>
    </row>
    <row r="15" spans="1:18" ht="105" x14ac:dyDescent="0.25">
      <c r="A15" s="1" t="s">
        <v>5067</v>
      </c>
      <c r="B15" s="1" t="s">
        <v>5068</v>
      </c>
      <c r="C15" s="1" t="s">
        <v>921</v>
      </c>
      <c r="D15" s="2" t="str">
        <f>"1466-447X"</f>
        <v>1466-447X</v>
      </c>
      <c r="F15" s="2" t="str">
        <f>"2009 Nov"</f>
        <v>2009 Nov</v>
      </c>
      <c r="G15" s="3">
        <v>27</v>
      </c>
      <c r="H15" s="3">
        <v>13</v>
      </c>
      <c r="I15" s="3">
        <v>1455</v>
      </c>
      <c r="K15" s="2">
        <v>19787541</v>
      </c>
      <c r="L15" s="2" t="s">
        <v>5069</v>
      </c>
      <c r="M15" s="2" t="s">
        <v>923</v>
      </c>
      <c r="N15" s="2" t="s">
        <v>21</v>
      </c>
      <c r="O15" s="1" t="s">
        <v>5070</v>
      </c>
      <c r="Q15" s="2" t="s">
        <v>5071</v>
      </c>
      <c r="R15" s="6" t="s">
        <v>5072</v>
      </c>
    </row>
    <row r="16" spans="1:18" ht="150" x14ac:dyDescent="0.25">
      <c r="A16" s="1" t="s">
        <v>5073</v>
      </c>
      <c r="B16" s="1" t="s">
        <v>5074</v>
      </c>
      <c r="C16" s="1" t="s">
        <v>46</v>
      </c>
      <c r="D16" s="2" t="str">
        <f>"1439-6327"</f>
        <v>1439-6327</v>
      </c>
      <c r="F16" s="2" t="str">
        <f>"2009 Nov"</f>
        <v>2009 Nov</v>
      </c>
      <c r="G16" s="3">
        <v>107</v>
      </c>
      <c r="H16" s="3">
        <v>5</v>
      </c>
      <c r="I16" s="3">
        <v>611</v>
      </c>
      <c r="K16" s="2">
        <v>19693532</v>
      </c>
      <c r="L16" s="2" t="s">
        <v>5075</v>
      </c>
      <c r="M16" s="2" t="s">
        <v>50</v>
      </c>
      <c r="N16" s="2" t="s">
        <v>21</v>
      </c>
      <c r="O16" s="1" t="s">
        <v>5076</v>
      </c>
      <c r="Q16" s="2" t="s">
        <v>5077</v>
      </c>
      <c r="R16" s="6" t="s">
        <v>5078</v>
      </c>
    </row>
    <row r="17" spans="1:18" ht="105" x14ac:dyDescent="0.25">
      <c r="A17" s="1" t="s">
        <v>5079</v>
      </c>
      <c r="B17" s="1" t="s">
        <v>5080</v>
      </c>
      <c r="C17" s="1" t="s">
        <v>55</v>
      </c>
      <c r="D17" s="2" t="str">
        <f>"1440-2440"</f>
        <v>1440-2440</v>
      </c>
      <c r="F17" s="2" t="str">
        <f>"2009 Mar"</f>
        <v>2009 Mar</v>
      </c>
      <c r="G17" s="3">
        <v>12</v>
      </c>
      <c r="H17" s="3">
        <v>2</v>
      </c>
      <c r="I17" s="3">
        <v>300</v>
      </c>
      <c r="K17" s="2">
        <v>18296113</v>
      </c>
      <c r="L17" s="2" t="s">
        <v>5081</v>
      </c>
      <c r="M17" s="2" t="s">
        <v>59</v>
      </c>
      <c r="N17" s="2" t="s">
        <v>21</v>
      </c>
      <c r="O17" s="1" t="s">
        <v>5082</v>
      </c>
      <c r="Q17" s="2" t="s">
        <v>5083</v>
      </c>
      <c r="R17" s="6" t="s">
        <v>5084</v>
      </c>
    </row>
    <row r="18" spans="1:18" ht="45" x14ac:dyDescent="0.25">
      <c r="A18" s="1" t="s">
        <v>5085</v>
      </c>
      <c r="B18" s="1" t="s">
        <v>5086</v>
      </c>
      <c r="C18" s="1" t="s">
        <v>921</v>
      </c>
      <c r="D18" s="2" t="str">
        <f>"0264-0414"</f>
        <v>0264-0414</v>
      </c>
      <c r="F18" s="2" t="str">
        <f>"2009 Feb 15"</f>
        <v>2009 Feb 15</v>
      </c>
      <c r="G18" s="3">
        <v>27</v>
      </c>
      <c r="H18" s="3">
        <v>4</v>
      </c>
      <c r="I18" s="3">
        <v>397</v>
      </c>
      <c r="K18" s="2">
        <v>19191166</v>
      </c>
      <c r="L18" s="2" t="s">
        <v>5087</v>
      </c>
      <c r="M18" s="2" t="s">
        <v>923</v>
      </c>
      <c r="N18" s="2" t="s">
        <v>21</v>
      </c>
      <c r="O18" s="1" t="s">
        <v>5088</v>
      </c>
      <c r="Q18" s="2" t="s">
        <v>5089</v>
      </c>
      <c r="R18" s="6" t="s">
        <v>5090</v>
      </c>
    </row>
    <row r="19" spans="1:18" ht="90" x14ac:dyDescent="0.25">
      <c r="A19" s="1" t="s">
        <v>5091</v>
      </c>
      <c r="B19" s="1" t="s">
        <v>5092</v>
      </c>
      <c r="C19" s="1" t="s">
        <v>16</v>
      </c>
      <c r="D19" s="2" t="str">
        <f>"1476-3141"</f>
        <v>1476-3141</v>
      </c>
      <c r="F19" s="2" t="str">
        <f>"2009 Sep"</f>
        <v>2009 Sep</v>
      </c>
      <c r="G19" s="3">
        <v>8</v>
      </c>
      <c r="H19" s="3">
        <v>3</v>
      </c>
      <c r="I19" s="3">
        <v>235</v>
      </c>
      <c r="K19" s="2">
        <v>19891201</v>
      </c>
      <c r="L19" s="2" t="s">
        <v>5093</v>
      </c>
      <c r="M19" s="2" t="s">
        <v>20</v>
      </c>
      <c r="N19" s="2" t="s">
        <v>21</v>
      </c>
      <c r="O19" s="1" t="s">
        <v>5094</v>
      </c>
      <c r="Q19" s="2" t="s">
        <v>5095</v>
      </c>
      <c r="R19" s="6" t="s">
        <v>5096</v>
      </c>
    </row>
    <row r="20" spans="1:18" ht="105" x14ac:dyDescent="0.25">
      <c r="A20" s="1" t="s">
        <v>5097</v>
      </c>
      <c r="B20" s="1" t="s">
        <v>5098</v>
      </c>
      <c r="C20" s="1" t="s">
        <v>46</v>
      </c>
      <c r="D20" s="2" t="str">
        <f>"1439-6327"</f>
        <v>1439-6327</v>
      </c>
      <c r="F20" s="2" t="str">
        <f>"2009 Jun"</f>
        <v>2009 Jun</v>
      </c>
      <c r="G20" s="3">
        <v>106</v>
      </c>
      <c r="H20" s="3">
        <v>3</v>
      </c>
      <c r="I20" s="3">
        <v>399</v>
      </c>
      <c r="K20" s="2">
        <v>19294411</v>
      </c>
      <c r="L20" s="2" t="s">
        <v>5099</v>
      </c>
      <c r="M20" s="2" t="s">
        <v>50</v>
      </c>
      <c r="N20" s="2" t="s">
        <v>21</v>
      </c>
      <c r="O20" s="1" t="s">
        <v>5100</v>
      </c>
      <c r="Q20" s="2" t="s">
        <v>5101</v>
      </c>
      <c r="R20" s="6" t="s">
        <v>5102</v>
      </c>
    </row>
    <row r="21" spans="1:18" ht="60" x14ac:dyDescent="0.25">
      <c r="A21" s="1" t="s">
        <v>5103</v>
      </c>
      <c r="B21" s="1" t="s">
        <v>5104</v>
      </c>
      <c r="C21" s="1" t="s">
        <v>466</v>
      </c>
      <c r="D21" s="2" t="str">
        <f>"1533-4287"</f>
        <v>1533-4287</v>
      </c>
      <c r="F21" s="2" t="str">
        <f>"2009 Oct"</f>
        <v>2009 Oct</v>
      </c>
      <c r="G21" s="3">
        <v>23</v>
      </c>
      <c r="H21" s="3">
        <v>7</v>
      </c>
      <c r="I21" s="3">
        <v>2096</v>
      </c>
      <c r="K21" s="2">
        <v>19855336</v>
      </c>
      <c r="L21" s="2" t="s">
        <v>5105</v>
      </c>
      <c r="M21" s="2" t="s">
        <v>468</v>
      </c>
      <c r="N21" s="2" t="s">
        <v>21</v>
      </c>
      <c r="O21" s="1" t="s">
        <v>5106</v>
      </c>
      <c r="Q21" s="2" t="s">
        <v>5107</v>
      </c>
      <c r="R21" s="6" t="s">
        <v>5108</v>
      </c>
    </row>
    <row r="22" spans="1:18" ht="105" x14ac:dyDescent="0.25">
      <c r="A22" s="1" t="s">
        <v>5109</v>
      </c>
      <c r="B22" s="1" t="s">
        <v>5110</v>
      </c>
      <c r="C22" s="1" t="s">
        <v>466</v>
      </c>
      <c r="D22" s="2" t="str">
        <f>"1533-4287"</f>
        <v>1533-4287</v>
      </c>
      <c r="F22" s="2" t="str">
        <f>"2009 Aug"</f>
        <v>2009 Aug</v>
      </c>
      <c r="G22" s="3">
        <v>23</v>
      </c>
      <c r="H22" s="3">
        <v>5</v>
      </c>
      <c r="I22" s="3">
        <v>1489</v>
      </c>
      <c r="K22" s="2">
        <v>19593221</v>
      </c>
      <c r="L22" s="2" t="s">
        <v>5111</v>
      </c>
      <c r="M22" s="2" t="s">
        <v>468</v>
      </c>
      <c r="N22" s="2" t="s">
        <v>21</v>
      </c>
      <c r="O22" s="1" t="s">
        <v>5112</v>
      </c>
      <c r="Q22" s="2" t="s">
        <v>5113</v>
      </c>
      <c r="R22" s="6" t="s">
        <v>5114</v>
      </c>
    </row>
    <row r="23" spans="1:18" ht="75" x14ac:dyDescent="0.25">
      <c r="A23" s="1" t="s">
        <v>5115</v>
      </c>
      <c r="B23" s="1" t="s">
        <v>5116</v>
      </c>
      <c r="C23" s="1" t="s">
        <v>318</v>
      </c>
      <c r="D23" s="2" t="str">
        <f>"1555-0265"</f>
        <v>1555-0265</v>
      </c>
      <c r="F23" s="2" t="str">
        <f>"2009 Sep"</f>
        <v>2009 Sep</v>
      </c>
      <c r="G23" s="3">
        <v>4</v>
      </c>
      <c r="H23" s="3">
        <v>3</v>
      </c>
      <c r="I23" s="3">
        <v>381</v>
      </c>
      <c r="K23" s="2">
        <v>19953825</v>
      </c>
      <c r="L23" s="2" t="s">
        <v>5117</v>
      </c>
      <c r="M23" s="2" t="s">
        <v>322</v>
      </c>
      <c r="N23" s="2" t="s">
        <v>924</v>
      </c>
      <c r="O23" s="1" t="s">
        <v>5118</v>
      </c>
      <c r="Q23" s="2" t="s">
        <v>5119</v>
      </c>
      <c r="R23" s="6" t="s">
        <v>5120</v>
      </c>
    </row>
    <row r="24" spans="1:18" ht="135" x14ac:dyDescent="0.25">
      <c r="A24" s="1" t="s">
        <v>5121</v>
      </c>
      <c r="B24" s="1" t="s">
        <v>5068</v>
      </c>
      <c r="C24" s="1" t="s">
        <v>921</v>
      </c>
      <c r="D24" s="2" t="str">
        <f>"0264-0414"</f>
        <v>0264-0414</v>
      </c>
      <c r="F24" s="2" t="str">
        <f>"2009 Aug"</f>
        <v>2009 Aug</v>
      </c>
      <c r="G24" s="3">
        <v>27</v>
      </c>
      <c r="H24" s="3">
        <v>10</v>
      </c>
      <c r="I24" s="3">
        <v>1051</v>
      </c>
      <c r="K24" s="2">
        <v>19642049</v>
      </c>
      <c r="L24" s="2" t="s">
        <v>5122</v>
      </c>
      <c r="M24" s="2" t="s">
        <v>923</v>
      </c>
      <c r="N24" s="2" t="s">
        <v>21</v>
      </c>
      <c r="O24" s="1" t="s">
        <v>5123</v>
      </c>
      <c r="Q24" s="2" t="s">
        <v>5124</v>
      </c>
      <c r="R24" s="6" t="s">
        <v>5125</v>
      </c>
    </row>
    <row r="25" spans="1:18" ht="90" x14ac:dyDescent="0.25">
      <c r="A25" s="1" t="s">
        <v>5126</v>
      </c>
      <c r="B25" s="1" t="s">
        <v>5127</v>
      </c>
      <c r="C25" s="1" t="s">
        <v>921</v>
      </c>
      <c r="D25" s="2" t="str">
        <f>"0264-0414"</f>
        <v>0264-0414</v>
      </c>
      <c r="F25" s="2" t="str">
        <f>"2009 Mar"</f>
        <v>2009 Mar</v>
      </c>
      <c r="G25" s="3">
        <v>27</v>
      </c>
      <c r="H25" s="3">
        <v>5</v>
      </c>
      <c r="I25" s="3">
        <v>535</v>
      </c>
      <c r="K25" s="2">
        <v>19219736</v>
      </c>
      <c r="L25" s="2" t="s">
        <v>5128</v>
      </c>
      <c r="M25" s="2" t="s">
        <v>923</v>
      </c>
      <c r="N25" s="2" t="s">
        <v>21</v>
      </c>
      <c r="O25" s="1" t="s">
        <v>5129</v>
      </c>
      <c r="Q25" s="2" t="s">
        <v>5130</v>
      </c>
      <c r="R25" s="6" t="s">
        <v>5131</v>
      </c>
    </row>
  </sheetData>
  <hyperlinks>
    <hyperlink ref="R2" r:id="rId1" xr:uid="{B4DC44EA-7C9E-4798-B178-D956817F1C62}"/>
    <hyperlink ref="R3" r:id="rId2" xr:uid="{D5634A39-3BB5-4BA5-928B-7E6E52901B9C}"/>
    <hyperlink ref="R4" r:id="rId3" xr:uid="{C08184DE-D331-4933-B1A6-86211621DF4D}"/>
    <hyperlink ref="R5" r:id="rId4" xr:uid="{2A5A5B2D-BEA6-47A4-81AE-46799E52A195}"/>
    <hyperlink ref="R6" r:id="rId5" xr:uid="{EFDC9C20-A6F5-49A1-A1CF-CB5DB2450FE2}"/>
    <hyperlink ref="R7" r:id="rId6" xr:uid="{2442D197-3EDE-48EF-990B-6D86A8166806}"/>
    <hyperlink ref="R8" r:id="rId7" xr:uid="{85BA0BD4-0956-4F1A-94A4-E9F818B51562}"/>
    <hyperlink ref="R9" r:id="rId8" xr:uid="{5D33C42D-B2A9-439A-B5ED-E1A900A164AA}"/>
    <hyperlink ref="R10" r:id="rId9" xr:uid="{8D756E59-B8D8-4F0A-860D-187161E007DB}"/>
    <hyperlink ref="R11" r:id="rId10" xr:uid="{45383210-75FB-4860-916F-05C9D13BE79F}"/>
    <hyperlink ref="R12" r:id="rId11" xr:uid="{9B24AF3F-AED8-4698-BBB4-2AB0B0E0A772}"/>
    <hyperlink ref="R13" r:id="rId12" xr:uid="{4EBFDB0C-FA05-4CA9-BD76-4EE33B90E92B}"/>
    <hyperlink ref="R14" r:id="rId13" xr:uid="{AFE83623-225C-46DC-B699-E5CD71F51F80}"/>
    <hyperlink ref="R15" r:id="rId14" xr:uid="{1470AE7D-912C-4480-AF8F-05D76A85CC40}"/>
    <hyperlink ref="R16" r:id="rId15" xr:uid="{F2236037-BCB7-4F3A-9038-B4D57D0A1E0F}"/>
    <hyperlink ref="R17" r:id="rId16" xr:uid="{3424D8E7-D70D-4E4D-BA1A-9087533066E3}"/>
    <hyperlink ref="R18" r:id="rId17" xr:uid="{B340C4C3-9381-4C2E-BAB7-C4F9FE276A6B}"/>
    <hyperlink ref="R19" r:id="rId18" xr:uid="{62181688-926F-476D-A199-DD770FB66E77}"/>
    <hyperlink ref="R20" r:id="rId19" xr:uid="{C4E2F862-71F1-41F6-A1B7-50703F000674}"/>
    <hyperlink ref="R21" r:id="rId20" xr:uid="{BF4567DD-481F-4210-8892-BE6083CEE097}"/>
    <hyperlink ref="R22" r:id="rId21" xr:uid="{B757679D-987E-46AC-AA43-A72B3B736BFE}"/>
    <hyperlink ref="R23" r:id="rId22" xr:uid="{11B4BE06-FE4C-4A08-AD4F-6C4110EB53F5}"/>
    <hyperlink ref="R24" r:id="rId23" xr:uid="{21909949-4EA0-45F7-97F1-823BB34DE151}"/>
    <hyperlink ref="R25" r:id="rId24" xr:uid="{3341050E-C80C-4817-A485-22EC1E57CFBB}"/>
  </hyperlinks>
  <pageMargins left="0.7" right="0.7" top="0.75" bottom="0.75" header="0.3" footer="0.3"/>
  <headerFooter>
    <oddHeader>&amp;C&amp;"Calibri"&amp;12&amp;KFF0000 OFFICIAL&amp;1#_x000D_</oddHeader>
  </headerFooter>
  <tableParts count="1">
    <tablePart r:id="rId2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32"/>
  <sheetViews>
    <sheetView workbookViewId="0">
      <selection activeCell="R33" sqref="R33"/>
    </sheetView>
  </sheetViews>
  <sheetFormatPr defaultColWidth="8.7109375" defaultRowHeight="15" x14ac:dyDescent="0.25"/>
  <cols>
    <col min="1" max="1" width="34" style="1" customWidth="1"/>
    <col min="2" max="2" width="34.42578125" style="1" customWidth="1"/>
    <col min="3" max="3" width="37.7109375" style="1" customWidth="1"/>
    <col min="4" max="4" width="9.42578125" style="2" bestFit="1" customWidth="1"/>
    <col min="5" max="5" width="7.140625"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18.42578125" style="1" customWidth="1"/>
    <col min="13" max="13" width="24.42578125" style="1" customWidth="1"/>
    <col min="14" max="14" width="17.140625" style="2" bestFit="1" customWidth="1"/>
    <col min="15" max="15" width="45.7109375" style="1" customWidth="1"/>
    <col min="16" max="16" width="11.140625" style="2" hidden="1" customWidth="1"/>
    <col min="17" max="17" width="34" style="2" customWidth="1"/>
    <col min="18" max="18" width="28.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1" t="s">
        <v>8</v>
      </c>
      <c r="M1" s="1" t="s">
        <v>9</v>
      </c>
      <c r="N1" s="2" t="s">
        <v>10</v>
      </c>
      <c r="O1" s="1" t="s">
        <v>11</v>
      </c>
      <c r="P1" s="2" t="s">
        <v>779</v>
      </c>
      <c r="Q1" s="2" t="s">
        <v>12</v>
      </c>
      <c r="R1" s="2" t="s">
        <v>13</v>
      </c>
    </row>
    <row r="2" spans="1:18" ht="105" x14ac:dyDescent="0.25">
      <c r="A2" s="1" t="s">
        <v>5132</v>
      </c>
      <c r="B2" s="1" t="s">
        <v>5133</v>
      </c>
      <c r="C2" s="1" t="s">
        <v>36</v>
      </c>
      <c r="D2" s="2" t="str">
        <f>"1526-484X"</f>
        <v>1526-484X</v>
      </c>
      <c r="F2" s="2" t="str">
        <f>"2008 Aug"</f>
        <v>2008 Aug</v>
      </c>
      <c r="G2" s="3">
        <v>18</v>
      </c>
      <c r="H2" s="3">
        <v>4</v>
      </c>
      <c r="I2" s="3">
        <v>430</v>
      </c>
      <c r="K2" s="2">
        <v>18708690</v>
      </c>
      <c r="M2" s="1" t="s">
        <v>40</v>
      </c>
      <c r="N2" s="2" t="s">
        <v>4991</v>
      </c>
      <c r="O2" s="1" t="s">
        <v>5134</v>
      </c>
      <c r="R2" s="6" t="s">
        <v>5135</v>
      </c>
    </row>
    <row r="3" spans="1:18" ht="75" x14ac:dyDescent="0.25">
      <c r="A3" s="1" t="s">
        <v>5136</v>
      </c>
      <c r="B3" s="1" t="s">
        <v>5137</v>
      </c>
      <c r="C3" s="1" t="s">
        <v>444</v>
      </c>
      <c r="D3" s="2" t="str">
        <f>"0112-1642"</f>
        <v>0112-1642</v>
      </c>
      <c r="F3" s="2" t="str">
        <f>"2008"</f>
        <v>2008</v>
      </c>
      <c r="G3" s="3">
        <v>38</v>
      </c>
      <c r="H3" s="3">
        <v>8</v>
      </c>
      <c r="I3" s="3">
        <v>617</v>
      </c>
      <c r="K3" s="2">
        <v>18620463</v>
      </c>
      <c r="L3" s="1" t="s">
        <v>5138</v>
      </c>
      <c r="M3" s="1" t="s">
        <v>446</v>
      </c>
      <c r="N3" s="2" t="s">
        <v>21</v>
      </c>
      <c r="O3" s="1" t="s">
        <v>5139</v>
      </c>
      <c r="Q3" s="2" t="s">
        <v>5140</v>
      </c>
      <c r="R3" s="6" t="s">
        <v>5141</v>
      </c>
    </row>
    <row r="4" spans="1:18" ht="90" x14ac:dyDescent="0.25">
      <c r="A4" s="1" t="s">
        <v>5142</v>
      </c>
      <c r="B4" s="1" t="s">
        <v>5143</v>
      </c>
      <c r="C4" s="1" t="s">
        <v>55</v>
      </c>
      <c r="D4" s="2" t="str">
        <f>"1440-2440"</f>
        <v>1440-2440</v>
      </c>
      <c r="F4" s="2" t="str">
        <f>"2008 Jun"</f>
        <v>2008 Jun</v>
      </c>
      <c r="G4" s="3">
        <v>11</v>
      </c>
      <c r="H4" s="3">
        <v>3</v>
      </c>
      <c r="I4" s="3">
        <v>235</v>
      </c>
      <c r="K4" s="2">
        <v>18077212</v>
      </c>
      <c r="L4" s="1" t="s">
        <v>5144</v>
      </c>
      <c r="M4" s="1" t="s">
        <v>59</v>
      </c>
      <c r="N4" s="2" t="s">
        <v>21</v>
      </c>
      <c r="O4" s="1" t="s">
        <v>5145</v>
      </c>
      <c r="Q4" s="2" t="s">
        <v>5146</v>
      </c>
      <c r="R4" s="6" t="s">
        <v>5147</v>
      </c>
    </row>
    <row r="5" spans="1:18" ht="75" x14ac:dyDescent="0.25">
      <c r="A5" s="1" t="s">
        <v>5148</v>
      </c>
      <c r="B5" s="1" t="s">
        <v>5149</v>
      </c>
      <c r="C5" s="1" t="s">
        <v>921</v>
      </c>
      <c r="D5" s="2" t="str">
        <f>"0264-0414"</f>
        <v>0264-0414</v>
      </c>
      <c r="F5" s="2" t="str">
        <f>"2008 Jan 15"</f>
        <v>2008 Jan 15</v>
      </c>
      <c r="G5" s="3">
        <v>26</v>
      </c>
      <c r="H5" s="3">
        <v>2</v>
      </c>
      <c r="I5" s="3">
        <v>123</v>
      </c>
      <c r="K5" s="2">
        <v>17852674</v>
      </c>
      <c r="L5" s="1" t="s">
        <v>5150</v>
      </c>
      <c r="M5" s="1" t="s">
        <v>923</v>
      </c>
      <c r="N5" s="2" t="s">
        <v>21</v>
      </c>
      <c r="O5" s="1" t="s">
        <v>5151</v>
      </c>
      <c r="Q5" s="2" t="s">
        <v>5152</v>
      </c>
      <c r="R5" s="6" t="s">
        <v>5153</v>
      </c>
    </row>
    <row r="6" spans="1:18" ht="75" x14ac:dyDescent="0.25">
      <c r="A6" s="1" t="s">
        <v>5154</v>
      </c>
      <c r="B6" s="1" t="s">
        <v>5155</v>
      </c>
      <c r="C6" s="1" t="s">
        <v>466</v>
      </c>
      <c r="D6" s="2" t="str">
        <f>"1533-4287"</f>
        <v>1533-4287</v>
      </c>
      <c r="F6" s="2" t="str">
        <f>"2008 Jul"</f>
        <v>2008 Jul</v>
      </c>
      <c r="G6" s="3">
        <v>22</v>
      </c>
      <c r="H6" s="3">
        <v>4</v>
      </c>
      <c r="I6" s="3">
        <v>1371</v>
      </c>
      <c r="K6" s="2">
        <v>18545165</v>
      </c>
      <c r="L6" s="1" t="s">
        <v>5156</v>
      </c>
      <c r="M6" s="1" t="s">
        <v>468</v>
      </c>
      <c r="N6" s="2" t="s">
        <v>21</v>
      </c>
      <c r="O6" s="1" t="s">
        <v>5157</v>
      </c>
      <c r="Q6" s="2" t="s">
        <v>5158</v>
      </c>
      <c r="R6" s="6" t="s">
        <v>5159</v>
      </c>
    </row>
    <row r="7" spans="1:18" ht="90" x14ac:dyDescent="0.25">
      <c r="A7" s="1" t="s">
        <v>5160</v>
      </c>
      <c r="B7" s="1" t="s">
        <v>5161</v>
      </c>
      <c r="C7" s="1" t="s">
        <v>466</v>
      </c>
      <c r="D7" s="2" t="str">
        <f>"1533-4287"</f>
        <v>1533-4287</v>
      </c>
      <c r="F7" s="2" t="str">
        <f>"2008 Jul"</f>
        <v>2008 Jul</v>
      </c>
      <c r="G7" s="3">
        <v>22</v>
      </c>
      <c r="H7" s="3">
        <v>4</v>
      </c>
      <c r="I7" s="3">
        <v>1320</v>
      </c>
      <c r="K7" s="2">
        <v>18545172</v>
      </c>
      <c r="L7" s="1" t="s">
        <v>5162</v>
      </c>
      <c r="M7" s="1" t="s">
        <v>468</v>
      </c>
      <c r="N7" s="2" t="s">
        <v>21</v>
      </c>
      <c r="O7" s="1" t="s">
        <v>5163</v>
      </c>
      <c r="Q7" s="2" t="s">
        <v>5164</v>
      </c>
      <c r="R7" s="6" t="s">
        <v>5165</v>
      </c>
    </row>
    <row r="8" spans="1:18" ht="120" x14ac:dyDescent="0.25">
      <c r="A8" s="1" t="s">
        <v>5166</v>
      </c>
      <c r="B8" s="1" t="s">
        <v>952</v>
      </c>
      <c r="C8" s="1" t="s">
        <v>824</v>
      </c>
      <c r="D8" s="2" t="str">
        <f>"1715-5312"</f>
        <v>1715-5312</v>
      </c>
      <c r="F8" s="2" t="str">
        <f>"2008 Dec"</f>
        <v>2008 Dec</v>
      </c>
      <c r="G8" s="3">
        <v>33</v>
      </c>
      <c r="H8" s="3">
        <v>6</v>
      </c>
      <c r="I8" s="3">
        <v>1319</v>
      </c>
      <c r="K8" s="2">
        <v>19088794</v>
      </c>
      <c r="L8" s="1" t="s">
        <v>5167</v>
      </c>
      <c r="M8" s="1" t="s">
        <v>826</v>
      </c>
      <c r="N8" s="2" t="s">
        <v>21</v>
      </c>
      <c r="O8" s="1" t="s">
        <v>5168</v>
      </c>
      <c r="Q8" s="2" t="s">
        <v>5169</v>
      </c>
      <c r="R8" s="6" t="s">
        <v>5170</v>
      </c>
    </row>
    <row r="9" spans="1:18" ht="75" x14ac:dyDescent="0.25">
      <c r="A9" s="1" t="s">
        <v>5171</v>
      </c>
      <c r="B9" s="1" t="s">
        <v>5172</v>
      </c>
      <c r="C9" s="1" t="s">
        <v>16</v>
      </c>
      <c r="D9" s="2" t="str">
        <f>"1476-3141"</f>
        <v>1476-3141</v>
      </c>
      <c r="F9" s="2" t="str">
        <f>"2008 Jan"</f>
        <v>2008 Jan</v>
      </c>
      <c r="G9" s="3">
        <v>7</v>
      </c>
      <c r="H9" s="3">
        <v>1</v>
      </c>
      <c r="I9" s="3">
        <v>24</v>
      </c>
      <c r="K9" s="2">
        <v>18341134</v>
      </c>
      <c r="L9" s="1" t="s">
        <v>5173</v>
      </c>
      <c r="M9" s="1" t="s">
        <v>20</v>
      </c>
      <c r="N9" s="2" t="s">
        <v>21</v>
      </c>
      <c r="O9" s="1" t="s">
        <v>5174</v>
      </c>
      <c r="Q9" s="2" t="s">
        <v>5175</v>
      </c>
      <c r="R9" s="6" t="s">
        <v>5176</v>
      </c>
    </row>
    <row r="10" spans="1:18" ht="60" x14ac:dyDescent="0.25">
      <c r="A10" s="1" t="s">
        <v>5177</v>
      </c>
      <c r="B10" s="1" t="s">
        <v>5178</v>
      </c>
      <c r="C10" s="1" t="s">
        <v>16</v>
      </c>
      <c r="D10" s="2" t="str">
        <f>"1476-3141"</f>
        <v>1476-3141</v>
      </c>
      <c r="F10" s="2" t="str">
        <f>"2008 Sep"</f>
        <v>2008 Sep</v>
      </c>
      <c r="G10" s="3">
        <v>7</v>
      </c>
      <c r="H10" s="3">
        <v>3</v>
      </c>
      <c r="I10" s="3">
        <v>351</v>
      </c>
      <c r="K10" s="2">
        <v>18972884</v>
      </c>
      <c r="L10" s="1" t="s">
        <v>5179</v>
      </c>
      <c r="M10" s="1" t="s">
        <v>20</v>
      </c>
      <c r="N10" s="2" t="s">
        <v>21</v>
      </c>
      <c r="O10" s="1" t="s">
        <v>5180</v>
      </c>
      <c r="Q10" s="2" t="s">
        <v>5181</v>
      </c>
      <c r="R10" s="6" t="s">
        <v>5182</v>
      </c>
    </row>
    <row r="11" spans="1:18" ht="105" x14ac:dyDescent="0.25">
      <c r="A11" s="1" t="s">
        <v>5183</v>
      </c>
      <c r="B11" s="1" t="s">
        <v>5184</v>
      </c>
      <c r="C11" s="1" t="s">
        <v>112</v>
      </c>
      <c r="D11" s="2" t="str">
        <f>"1536-3724"</f>
        <v>1536-3724</v>
      </c>
      <c r="F11" s="2" t="str">
        <f>"2008 Sep"</f>
        <v>2008 Sep</v>
      </c>
      <c r="G11" s="3">
        <v>18</v>
      </c>
      <c r="H11" s="3">
        <v>5</v>
      </c>
      <c r="I11" s="3">
        <v>438</v>
      </c>
      <c r="K11" s="2">
        <v>18806552</v>
      </c>
      <c r="L11" s="1" t="s">
        <v>5185</v>
      </c>
      <c r="M11" s="1" t="s">
        <v>116</v>
      </c>
      <c r="N11" s="2" t="s">
        <v>21</v>
      </c>
      <c r="O11" s="1" t="s">
        <v>5186</v>
      </c>
      <c r="Q11" s="2" t="s">
        <v>5187</v>
      </c>
      <c r="R11" s="6" t="s">
        <v>5188</v>
      </c>
    </row>
    <row r="12" spans="1:18" ht="105" x14ac:dyDescent="0.25">
      <c r="A12" s="1" t="s">
        <v>5189</v>
      </c>
      <c r="B12" s="1" t="s">
        <v>5190</v>
      </c>
      <c r="C12" s="1" t="s">
        <v>5191</v>
      </c>
      <c r="D12" s="2" t="str">
        <f>"1089-313X"</f>
        <v>1089-313X</v>
      </c>
      <c r="F12" s="2" t="str">
        <f>"2008"</f>
        <v>2008</v>
      </c>
      <c r="G12" s="3">
        <v>12</v>
      </c>
      <c r="H12" s="3">
        <v>1</v>
      </c>
      <c r="I12" s="3">
        <v>9</v>
      </c>
      <c r="K12" s="2">
        <v>19618573</v>
      </c>
      <c r="M12" s="1" t="s">
        <v>5192</v>
      </c>
      <c r="N12" s="2" t="s">
        <v>21</v>
      </c>
      <c r="O12" s="1" t="s">
        <v>5193</v>
      </c>
      <c r="Q12" s="2" t="s">
        <v>5194</v>
      </c>
      <c r="R12" s="6" t="s">
        <v>5195</v>
      </c>
    </row>
    <row r="13" spans="1:18" ht="90" x14ac:dyDescent="0.25">
      <c r="A13" s="1" t="s">
        <v>5196</v>
      </c>
      <c r="B13" s="1" t="s">
        <v>5197</v>
      </c>
      <c r="C13" s="1" t="s">
        <v>921</v>
      </c>
      <c r="D13" s="2" t="str">
        <f>"0264-0414"</f>
        <v>0264-0414</v>
      </c>
      <c r="F13" s="2" t="str">
        <f>"2008 Mar"</f>
        <v>2008 Mar</v>
      </c>
      <c r="G13" s="3">
        <v>26</v>
      </c>
      <c r="H13" s="3">
        <v>5</v>
      </c>
      <c r="I13" s="3">
        <v>431</v>
      </c>
      <c r="K13" s="2">
        <v>18274940</v>
      </c>
      <c r="L13" s="1" t="s">
        <v>5198</v>
      </c>
      <c r="M13" s="1" t="s">
        <v>923</v>
      </c>
      <c r="N13" s="2" t="s">
        <v>21</v>
      </c>
      <c r="O13" s="1" t="s">
        <v>5199</v>
      </c>
      <c r="Q13" s="2" t="s">
        <v>5200</v>
      </c>
      <c r="R13" s="6" t="s">
        <v>5201</v>
      </c>
    </row>
    <row r="14" spans="1:18" ht="90" x14ac:dyDescent="0.25">
      <c r="A14" s="1" t="s">
        <v>5202</v>
      </c>
      <c r="B14" s="1" t="s">
        <v>5197</v>
      </c>
      <c r="C14" s="1" t="s">
        <v>696</v>
      </c>
      <c r="D14" s="2" t="str">
        <f>"0172-4622"</f>
        <v>0172-4622</v>
      </c>
      <c r="F14" s="2" t="str">
        <f>"2008 Jul"</f>
        <v>2008 Jul</v>
      </c>
      <c r="G14" s="3">
        <v>29</v>
      </c>
      <c r="H14" s="3">
        <v>7</v>
      </c>
      <c r="I14" s="3">
        <v>539</v>
      </c>
      <c r="K14" s="2">
        <v>18058595</v>
      </c>
      <c r="L14" s="1" t="s">
        <v>5203</v>
      </c>
      <c r="M14" s="1" t="s">
        <v>698</v>
      </c>
      <c r="N14" s="2" t="s">
        <v>646</v>
      </c>
      <c r="O14" s="1" t="s">
        <v>5204</v>
      </c>
      <c r="Q14" s="2" t="s">
        <v>5205</v>
      </c>
      <c r="R14" s="6" t="s">
        <v>5206</v>
      </c>
    </row>
    <row r="15" spans="1:18" ht="105" x14ac:dyDescent="0.25">
      <c r="A15" s="1" t="s">
        <v>5207</v>
      </c>
      <c r="B15" s="1" t="s">
        <v>5197</v>
      </c>
      <c r="C15" s="1" t="s">
        <v>46</v>
      </c>
      <c r="D15" s="2" t="str">
        <f>"1439-6319"</f>
        <v>1439-6319</v>
      </c>
      <c r="F15" s="2" t="str">
        <f>"2008 Mar"</f>
        <v>2008 Mar</v>
      </c>
      <c r="G15" s="3">
        <v>102</v>
      </c>
      <c r="H15" s="3">
        <v>4</v>
      </c>
      <c r="I15" s="3">
        <v>447</v>
      </c>
      <c r="K15" s="2">
        <v>17978833</v>
      </c>
      <c r="L15" s="1" t="s">
        <v>5208</v>
      </c>
      <c r="M15" s="1" t="s">
        <v>50</v>
      </c>
      <c r="N15" s="2" t="s">
        <v>21</v>
      </c>
      <c r="O15" s="1" t="s">
        <v>5209</v>
      </c>
      <c r="Q15" s="2" t="s">
        <v>5210</v>
      </c>
      <c r="R15" s="6" t="s">
        <v>5211</v>
      </c>
    </row>
    <row r="16" spans="1:18" ht="75" x14ac:dyDescent="0.25">
      <c r="A16" s="1" t="s">
        <v>5212</v>
      </c>
      <c r="B16" s="1" t="s">
        <v>5213</v>
      </c>
      <c r="C16" s="1" t="s">
        <v>102</v>
      </c>
      <c r="D16" s="2" t="str">
        <f>"1473-0480"</f>
        <v>1473-0480</v>
      </c>
      <c r="F16" s="2" t="str">
        <f>"2008 Jan"</f>
        <v>2008 Jan</v>
      </c>
      <c r="G16" s="3">
        <v>42</v>
      </c>
      <c r="H16" s="3">
        <v>1</v>
      </c>
      <c r="I16" s="3">
        <v>16</v>
      </c>
      <c r="K16" s="2">
        <v>17496073</v>
      </c>
      <c r="L16" s="1" t="s">
        <v>5214</v>
      </c>
      <c r="M16" s="1" t="s">
        <v>106</v>
      </c>
      <c r="N16" s="2" t="s">
        <v>21</v>
      </c>
      <c r="O16" s="1" t="s">
        <v>5215</v>
      </c>
      <c r="Q16" s="2" t="s">
        <v>5216</v>
      </c>
      <c r="R16" s="6" t="s">
        <v>5217</v>
      </c>
    </row>
    <row r="17" spans="1:18" ht="60" x14ac:dyDescent="0.25">
      <c r="A17" s="1" t="s">
        <v>5218</v>
      </c>
      <c r="B17" s="1" t="s">
        <v>5219</v>
      </c>
      <c r="C17" s="1" t="s">
        <v>466</v>
      </c>
      <c r="D17" s="2" t="str">
        <f>"1533-4287"</f>
        <v>1533-4287</v>
      </c>
      <c r="F17" s="2" t="str">
        <f>"2008 Mar"</f>
        <v>2008 Mar</v>
      </c>
      <c r="G17" s="3">
        <v>22</v>
      </c>
      <c r="H17" s="3">
        <v>2</v>
      </c>
      <c r="I17" s="3">
        <v>648</v>
      </c>
      <c r="K17" s="2">
        <v>18550987</v>
      </c>
      <c r="L17" s="1" t="s">
        <v>5220</v>
      </c>
      <c r="M17" s="1" t="s">
        <v>468</v>
      </c>
      <c r="N17" s="2" t="s">
        <v>21</v>
      </c>
      <c r="O17" s="1" t="s">
        <v>5221</v>
      </c>
      <c r="Q17" s="2" t="s">
        <v>5222</v>
      </c>
      <c r="R17" s="6" t="s">
        <v>5223</v>
      </c>
    </row>
    <row r="18" spans="1:18" ht="75" x14ac:dyDescent="0.25">
      <c r="A18" s="1" t="s">
        <v>5224</v>
      </c>
      <c r="B18" s="1" t="s">
        <v>5225</v>
      </c>
      <c r="C18" s="1" t="s">
        <v>318</v>
      </c>
      <c r="D18" s="2" t="str">
        <f>"1555-0265"</f>
        <v>1555-0265</v>
      </c>
      <c r="F18" s="2" t="str">
        <f>"2008 Sep"</f>
        <v>2008 Sep</v>
      </c>
      <c r="G18" s="3">
        <v>3</v>
      </c>
      <c r="H18" s="3">
        <v>3</v>
      </c>
      <c r="I18" s="3">
        <v>331</v>
      </c>
      <c r="K18" s="2">
        <v>19211945</v>
      </c>
      <c r="L18" s="1" t="s">
        <v>5226</v>
      </c>
      <c r="M18" s="1" t="s">
        <v>322</v>
      </c>
      <c r="N18" s="2" t="s">
        <v>21</v>
      </c>
      <c r="O18" s="1" t="s">
        <v>5227</v>
      </c>
      <c r="Q18" s="2" t="s">
        <v>5228</v>
      </c>
      <c r="R18" s="6" t="s">
        <v>5229</v>
      </c>
    </row>
    <row r="19" spans="1:18" ht="90" x14ac:dyDescent="0.25">
      <c r="A19" s="1" t="s">
        <v>5230</v>
      </c>
      <c r="B19" s="1" t="s">
        <v>5231</v>
      </c>
      <c r="C19" s="1" t="s">
        <v>921</v>
      </c>
      <c r="D19" s="2" t="str">
        <f>"1466-447X"</f>
        <v>1466-447X</v>
      </c>
      <c r="F19" s="2" t="str">
        <f>"2008 Dec"</f>
        <v>2008 Dec</v>
      </c>
      <c r="G19" s="3">
        <v>26</v>
      </c>
      <c r="H19" s="3">
        <v>14</v>
      </c>
      <c r="I19" s="3">
        <v>1477</v>
      </c>
      <c r="K19" s="2">
        <v>18949661</v>
      </c>
      <c r="L19" s="1" t="s">
        <v>5232</v>
      </c>
      <c r="M19" s="1" t="s">
        <v>923</v>
      </c>
      <c r="N19" s="2" t="s">
        <v>924</v>
      </c>
      <c r="O19" s="1" t="s">
        <v>5233</v>
      </c>
      <c r="Q19" s="2" t="s">
        <v>5234</v>
      </c>
      <c r="R19" s="6" t="s">
        <v>5235</v>
      </c>
    </row>
    <row r="20" spans="1:18" ht="90" x14ac:dyDescent="0.25">
      <c r="A20" s="1" t="s">
        <v>5236</v>
      </c>
      <c r="B20" s="1" t="s">
        <v>5237</v>
      </c>
      <c r="C20" s="1" t="s">
        <v>696</v>
      </c>
      <c r="D20" s="2" t="str">
        <f>"0172-4622"</f>
        <v>0172-4622</v>
      </c>
      <c r="F20" s="2" t="str">
        <f>"2008 Dec"</f>
        <v>2008 Dec</v>
      </c>
      <c r="G20" s="3">
        <v>29</v>
      </c>
      <c r="H20" s="3">
        <v>12</v>
      </c>
      <c r="I20" s="3">
        <v>1003</v>
      </c>
      <c r="K20" s="2">
        <v>18615388</v>
      </c>
      <c r="L20" s="1" t="s">
        <v>5238</v>
      </c>
      <c r="M20" s="1" t="s">
        <v>698</v>
      </c>
      <c r="N20" s="2" t="s">
        <v>646</v>
      </c>
      <c r="O20" s="1" t="s">
        <v>5239</v>
      </c>
      <c r="Q20" s="2" t="s">
        <v>5240</v>
      </c>
      <c r="R20" s="6" t="s">
        <v>5241</v>
      </c>
    </row>
    <row r="21" spans="1:18" ht="30" x14ac:dyDescent="0.25">
      <c r="A21" s="1" t="s">
        <v>5242</v>
      </c>
      <c r="B21" s="1" t="s">
        <v>5243</v>
      </c>
      <c r="C21" s="1" t="s">
        <v>82</v>
      </c>
      <c r="D21" s="2" t="str">
        <f>"1600-0838"</f>
        <v>1600-0838</v>
      </c>
      <c r="F21" s="2" t="str">
        <f>"2008 Aug"</f>
        <v>2008 Aug</v>
      </c>
      <c r="G21" s="3" t="s">
        <v>5244</v>
      </c>
      <c r="I21" s="3">
        <v>85</v>
      </c>
      <c r="K21" s="2">
        <v>18665956</v>
      </c>
      <c r="L21" s="1" t="s">
        <v>5245</v>
      </c>
      <c r="M21" s="1" t="s">
        <v>86</v>
      </c>
      <c r="N21" s="2" t="s">
        <v>21</v>
      </c>
      <c r="O21" s="1" t="s">
        <v>5246</v>
      </c>
      <c r="Q21" s="2" t="s">
        <v>5247</v>
      </c>
      <c r="R21" s="6" t="s">
        <v>5248</v>
      </c>
    </row>
    <row r="22" spans="1:18" ht="45" x14ac:dyDescent="0.25">
      <c r="A22" s="1" t="s">
        <v>5249</v>
      </c>
      <c r="B22" s="1" t="s">
        <v>5250</v>
      </c>
      <c r="C22" s="1" t="s">
        <v>466</v>
      </c>
      <c r="D22" s="2" t="str">
        <f>"1533-4287"</f>
        <v>1533-4287</v>
      </c>
      <c r="F22" s="2" t="str">
        <f>"2008 Sep"</f>
        <v>2008 Sep</v>
      </c>
      <c r="G22" s="3">
        <v>22</v>
      </c>
      <c r="H22" s="3">
        <v>5</v>
      </c>
      <c r="I22" s="3">
        <v>1633</v>
      </c>
      <c r="K22" s="2">
        <v>18714221</v>
      </c>
      <c r="L22" s="1" t="s">
        <v>5251</v>
      </c>
      <c r="M22" s="1" t="s">
        <v>468</v>
      </c>
      <c r="N22" s="2" t="s">
        <v>21</v>
      </c>
      <c r="O22" s="1" t="s">
        <v>5252</v>
      </c>
      <c r="Q22" s="2" t="s">
        <v>5253</v>
      </c>
      <c r="R22" s="6" t="s">
        <v>5254</v>
      </c>
    </row>
    <row r="23" spans="1:18" ht="120" x14ac:dyDescent="0.25">
      <c r="A23" s="1" t="s">
        <v>5255</v>
      </c>
      <c r="B23" s="1" t="s">
        <v>5256</v>
      </c>
      <c r="C23" s="1" t="s">
        <v>466</v>
      </c>
      <c r="D23" s="2" t="str">
        <f>"1533-4287"</f>
        <v>1533-4287</v>
      </c>
      <c r="F23" s="2" t="str">
        <f>"2008 May"</f>
        <v>2008 May</v>
      </c>
      <c r="G23" s="3">
        <v>22</v>
      </c>
      <c r="H23" s="3">
        <v>3</v>
      </c>
      <c r="I23" s="3">
        <v>758</v>
      </c>
      <c r="K23" s="2">
        <v>18438243</v>
      </c>
      <c r="L23" s="1" t="s">
        <v>5257</v>
      </c>
      <c r="M23" s="1" t="s">
        <v>468</v>
      </c>
      <c r="N23" s="2" t="s">
        <v>924</v>
      </c>
      <c r="O23" s="1" t="s">
        <v>5258</v>
      </c>
      <c r="Q23" s="2" t="s">
        <v>5259</v>
      </c>
      <c r="R23" s="6" t="s">
        <v>5260</v>
      </c>
    </row>
    <row r="24" spans="1:18" ht="75" x14ac:dyDescent="0.25">
      <c r="A24" s="1" t="s">
        <v>5261</v>
      </c>
      <c r="B24" s="1" t="s">
        <v>5262</v>
      </c>
      <c r="C24" s="1" t="s">
        <v>46</v>
      </c>
      <c r="D24" s="2" t="str">
        <f>"1439-6319"</f>
        <v>1439-6319</v>
      </c>
      <c r="F24" s="2" t="str">
        <f>"2008 Jul"</f>
        <v>2008 Jul</v>
      </c>
      <c r="G24" s="3">
        <v>103</v>
      </c>
      <c r="H24" s="3">
        <v>4</v>
      </c>
      <c r="I24" s="3">
        <v>477</v>
      </c>
      <c r="K24" s="2">
        <v>18351377</v>
      </c>
      <c r="L24" s="1" t="s">
        <v>5263</v>
      </c>
      <c r="M24" s="1" t="s">
        <v>50</v>
      </c>
      <c r="N24" s="2" t="s">
        <v>21</v>
      </c>
      <c r="O24" s="1" t="s">
        <v>5264</v>
      </c>
      <c r="Q24" s="2" t="s">
        <v>5265</v>
      </c>
      <c r="R24" s="6" t="s">
        <v>5266</v>
      </c>
    </row>
    <row r="25" spans="1:18" ht="60" x14ac:dyDescent="0.25">
      <c r="A25" s="1" t="s">
        <v>5267</v>
      </c>
      <c r="B25" s="1" t="s">
        <v>5268</v>
      </c>
      <c r="C25" s="1" t="s">
        <v>55</v>
      </c>
      <c r="D25" s="2" t="str">
        <f>"1440-2440"</f>
        <v>1440-2440</v>
      </c>
      <c r="F25" s="2" t="str">
        <f>"2008 Jun"</f>
        <v>2008 Jun</v>
      </c>
      <c r="G25" s="3">
        <v>11</v>
      </c>
      <c r="H25" s="3">
        <v>3</v>
      </c>
      <c r="I25" s="3">
        <v>329</v>
      </c>
      <c r="K25" s="2">
        <v>17543581</v>
      </c>
      <c r="L25" s="1" t="s">
        <v>5269</v>
      </c>
      <c r="M25" s="1" t="s">
        <v>59</v>
      </c>
      <c r="N25" s="2" t="s">
        <v>21</v>
      </c>
      <c r="O25" s="1" t="s">
        <v>5270</v>
      </c>
      <c r="Q25" s="2" t="s">
        <v>5271</v>
      </c>
      <c r="R25" s="6" t="s">
        <v>5272</v>
      </c>
    </row>
    <row r="26" spans="1:18" ht="60" x14ac:dyDescent="0.25">
      <c r="A26" s="1" t="s">
        <v>5273</v>
      </c>
      <c r="B26" s="1" t="s">
        <v>5274</v>
      </c>
      <c r="C26" s="1" t="s">
        <v>921</v>
      </c>
      <c r="D26" s="2" t="str">
        <f>"0264-0414"</f>
        <v>0264-0414</v>
      </c>
      <c r="F26" s="2" t="str">
        <f>"2008 Mar"</f>
        <v>2008 Mar</v>
      </c>
      <c r="G26" s="3">
        <v>26</v>
      </c>
      <c r="H26" s="3">
        <v>5</v>
      </c>
      <c r="I26" s="3">
        <v>543</v>
      </c>
      <c r="K26" s="2">
        <v>18274951</v>
      </c>
      <c r="L26" s="1" t="s">
        <v>5275</v>
      </c>
      <c r="M26" s="1" t="s">
        <v>923</v>
      </c>
      <c r="N26" s="2" t="s">
        <v>21</v>
      </c>
      <c r="O26" s="1" t="s">
        <v>5276</v>
      </c>
      <c r="Q26" s="2" t="s">
        <v>5277</v>
      </c>
      <c r="R26" s="6" t="s">
        <v>5278</v>
      </c>
    </row>
    <row r="27" spans="1:18" ht="45" x14ac:dyDescent="0.25">
      <c r="A27" s="1" t="s">
        <v>5279</v>
      </c>
      <c r="B27" s="1" t="s">
        <v>952</v>
      </c>
      <c r="C27" s="1" t="s">
        <v>36</v>
      </c>
      <c r="D27" s="2" t="str">
        <f>"1526-484X"</f>
        <v>1526-484X</v>
      </c>
      <c r="F27" s="2" t="str">
        <f>"2008 Feb"</f>
        <v>2008 Feb</v>
      </c>
      <c r="G27" s="3">
        <v>18</v>
      </c>
      <c r="H27" s="3">
        <v>1</v>
      </c>
      <c r="I27" s="3">
        <v>96</v>
      </c>
      <c r="K27" s="2">
        <v>18320711</v>
      </c>
      <c r="L27" s="1" t="s">
        <v>5280</v>
      </c>
      <c r="M27" s="1" t="s">
        <v>40</v>
      </c>
      <c r="N27" s="2" t="s">
        <v>21</v>
      </c>
      <c r="O27" s="1" t="s">
        <v>5281</v>
      </c>
      <c r="R27" s="6" t="s">
        <v>5282</v>
      </c>
    </row>
    <row r="28" spans="1:18" ht="105" x14ac:dyDescent="0.25">
      <c r="A28" s="1" t="s">
        <v>5283</v>
      </c>
      <c r="B28" s="1" t="s">
        <v>5284</v>
      </c>
      <c r="C28" s="1" t="s">
        <v>797</v>
      </c>
      <c r="D28" s="2" t="str">
        <f>"0195-9131"</f>
        <v>0195-9131</v>
      </c>
      <c r="F28" s="2" t="str">
        <f>"2008 Apr"</f>
        <v>2008 Apr</v>
      </c>
      <c r="G28" s="3">
        <v>40</v>
      </c>
      <c r="H28" s="3">
        <v>4</v>
      </c>
      <c r="I28" s="3">
        <v>593</v>
      </c>
      <c r="K28" s="2">
        <v>18317390</v>
      </c>
      <c r="L28" s="1" t="s">
        <v>5285</v>
      </c>
      <c r="M28" s="1" t="s">
        <v>156</v>
      </c>
      <c r="N28" s="2" t="s">
        <v>21</v>
      </c>
      <c r="O28" s="1" t="s">
        <v>5286</v>
      </c>
      <c r="Q28" s="2" t="s">
        <v>5287</v>
      </c>
      <c r="R28" s="6" t="s">
        <v>5288</v>
      </c>
    </row>
    <row r="29" spans="1:18" ht="90" x14ac:dyDescent="0.25">
      <c r="A29" s="1" t="s">
        <v>5289</v>
      </c>
      <c r="B29" s="1" t="s">
        <v>5268</v>
      </c>
      <c r="C29" s="1" t="s">
        <v>102</v>
      </c>
      <c r="D29" s="2" t="str">
        <f>"1473-0480"</f>
        <v>1473-0480</v>
      </c>
      <c r="F29" s="2" t="str">
        <f>"2008 May"</f>
        <v>2008 May</v>
      </c>
      <c r="G29" s="3">
        <v>42</v>
      </c>
      <c r="H29" s="3">
        <v>5</v>
      </c>
      <c r="I29" s="3">
        <v>334</v>
      </c>
      <c r="K29" s="2">
        <v>18070805</v>
      </c>
      <c r="L29" s="1" t="s">
        <v>5290</v>
      </c>
      <c r="M29" s="1" t="s">
        <v>106</v>
      </c>
      <c r="N29" s="2" t="s">
        <v>21</v>
      </c>
      <c r="O29" s="1" t="s">
        <v>5291</v>
      </c>
      <c r="Q29" s="2" t="s">
        <v>5292</v>
      </c>
      <c r="R29" s="6" t="s">
        <v>5293</v>
      </c>
    </row>
    <row r="30" spans="1:18" ht="105" x14ac:dyDescent="0.25">
      <c r="A30" s="1" t="s">
        <v>5294</v>
      </c>
      <c r="B30" s="1" t="s">
        <v>5295</v>
      </c>
      <c r="C30" s="1" t="s">
        <v>921</v>
      </c>
      <c r="D30" s="2" t="str">
        <f>"0264-0414"</f>
        <v>0264-0414</v>
      </c>
      <c r="F30" s="2" t="str">
        <f>"2008 Sep"</f>
        <v>2008 Sep</v>
      </c>
      <c r="G30" s="3">
        <v>26</v>
      </c>
      <c r="H30" s="3">
        <v>11</v>
      </c>
      <c r="I30" s="3">
        <v>1135</v>
      </c>
      <c r="K30" s="2">
        <v>18608847</v>
      </c>
      <c r="L30" s="1" t="s">
        <v>5296</v>
      </c>
      <c r="M30" s="1" t="s">
        <v>923</v>
      </c>
      <c r="N30" s="2" t="s">
        <v>21</v>
      </c>
      <c r="O30" s="1" t="s">
        <v>5297</v>
      </c>
      <c r="Q30" s="2" t="s">
        <v>5298</v>
      </c>
      <c r="R30" s="6" t="s">
        <v>5299</v>
      </c>
    </row>
    <row r="31" spans="1:18" ht="45" x14ac:dyDescent="0.25">
      <c r="A31" s="1" t="s">
        <v>5300</v>
      </c>
      <c r="B31" s="1" t="s">
        <v>5301</v>
      </c>
      <c r="C31" s="1" t="s">
        <v>318</v>
      </c>
      <c r="D31" s="2" t="str">
        <f>"1555-0265"</f>
        <v>1555-0265</v>
      </c>
      <c r="F31" s="2" t="str">
        <f>"2008 Sep"</f>
        <v>2008 Sep</v>
      </c>
      <c r="G31" s="3">
        <v>3</v>
      </c>
      <c r="H31" s="3">
        <v>3</v>
      </c>
      <c r="I31" s="3">
        <v>397</v>
      </c>
      <c r="K31" s="2">
        <v>19211951</v>
      </c>
      <c r="L31" s="1" t="s">
        <v>5302</v>
      </c>
      <c r="M31" s="1" t="s">
        <v>322</v>
      </c>
      <c r="N31" s="2" t="s">
        <v>21</v>
      </c>
      <c r="O31" s="1" t="s">
        <v>5303</v>
      </c>
      <c r="Q31" s="2" t="s">
        <v>5304</v>
      </c>
      <c r="R31" s="6" t="s">
        <v>5305</v>
      </c>
    </row>
    <row r="32" spans="1:18" ht="90" x14ac:dyDescent="0.25">
      <c r="A32" s="1" t="s">
        <v>5306</v>
      </c>
      <c r="B32" s="1" t="s">
        <v>5307</v>
      </c>
      <c r="C32" s="1" t="s">
        <v>112</v>
      </c>
      <c r="D32" s="2" t="str">
        <f>"1050-642X"</f>
        <v>1050-642X</v>
      </c>
      <c r="F32" s="2" t="str">
        <f>"2008 Mar"</f>
        <v>2008 Mar</v>
      </c>
      <c r="G32" s="3">
        <v>18</v>
      </c>
      <c r="H32" s="3">
        <v>2</v>
      </c>
      <c r="I32" s="3">
        <v>159</v>
      </c>
      <c r="K32" s="2">
        <v>18332692</v>
      </c>
      <c r="L32" s="1" t="s">
        <v>5308</v>
      </c>
      <c r="M32" s="1" t="s">
        <v>116</v>
      </c>
      <c r="N32" s="2" t="s">
        <v>21</v>
      </c>
      <c r="O32" s="1" t="s">
        <v>5309</v>
      </c>
      <c r="Q32" s="2" t="s">
        <v>5310</v>
      </c>
      <c r="R32" s="6" t="s">
        <v>5311</v>
      </c>
    </row>
  </sheetData>
  <hyperlinks>
    <hyperlink ref="R2" r:id="rId1" xr:uid="{C78D3B46-EDC8-422D-95C5-A9DE471272D0}"/>
    <hyperlink ref="R3" r:id="rId2" xr:uid="{272A3CB3-E186-47AF-A483-54898D1F9143}"/>
    <hyperlink ref="R4" r:id="rId3" xr:uid="{2DB6C064-1B3C-4C14-B827-1B4902FFEE04}"/>
    <hyperlink ref="R5" r:id="rId4" xr:uid="{AA0ED580-0EC4-43E4-8343-0D4C9BBE14AC}"/>
    <hyperlink ref="R6" r:id="rId5" xr:uid="{4F1AF680-FF46-474C-8A42-AEAB6F583EB6}"/>
    <hyperlink ref="R7" r:id="rId6" xr:uid="{CB486B8B-9585-48A6-AA30-F533C70C5900}"/>
    <hyperlink ref="R8" r:id="rId7" xr:uid="{8040DF9C-3D68-4D39-868E-BDA60D3D6194}"/>
    <hyperlink ref="R9" r:id="rId8" xr:uid="{040789C8-A1FD-4557-99B5-2695789D4E6D}"/>
    <hyperlink ref="R10" r:id="rId9" xr:uid="{22410D8A-8B31-4B73-83B2-DF67D98B50D0}"/>
    <hyperlink ref="R11" r:id="rId10" xr:uid="{7054A959-B1DF-4ACC-8A2E-5705E44E92EE}"/>
    <hyperlink ref="R12" r:id="rId11" xr:uid="{89EF5A48-AB9E-4319-86DD-C17495CDAC7D}"/>
    <hyperlink ref="R13" r:id="rId12" xr:uid="{BADAEC50-3106-49AB-B422-72A87612ECD5}"/>
    <hyperlink ref="R14" r:id="rId13" xr:uid="{2D2F38B3-A184-4BEE-A569-2847D95409F8}"/>
    <hyperlink ref="R15" r:id="rId14" xr:uid="{7167CDFF-C3C5-4420-BC69-34ED2CBF3E12}"/>
    <hyperlink ref="R16" r:id="rId15" xr:uid="{C7FE32D9-A832-470A-9675-74AC8CC08A5F}"/>
    <hyperlink ref="R17" r:id="rId16" xr:uid="{DF082503-1B1E-48FB-9FF2-126363D88932}"/>
    <hyperlink ref="R18" r:id="rId17" xr:uid="{904C0529-3561-4644-BA54-DDB040265969}"/>
    <hyperlink ref="R19" r:id="rId18" xr:uid="{A311CCC5-F355-4FF4-851E-DD25ECE5F26A}"/>
    <hyperlink ref="R20" r:id="rId19" xr:uid="{49AE0810-EACF-48E0-93AB-23B604DADE46}"/>
    <hyperlink ref="R21" r:id="rId20" xr:uid="{C61454D5-E502-434A-A1B3-B50E0999E812}"/>
    <hyperlink ref="R22" r:id="rId21" xr:uid="{BB7DE3CE-999F-43AE-B0A8-622686880EAF}"/>
    <hyperlink ref="R23" r:id="rId22" xr:uid="{969CC992-3559-46C7-9422-151CEFE26420}"/>
    <hyperlink ref="R24" r:id="rId23" xr:uid="{220AC862-814F-4AFE-B46E-0EF5A40DEEA0}"/>
    <hyperlink ref="R25" r:id="rId24" xr:uid="{699D134A-EFFA-49AE-9119-8B561A11B039}"/>
    <hyperlink ref="R26" r:id="rId25" xr:uid="{C7E42A4B-9C9C-4610-9D59-A9B5B1DB88E9}"/>
    <hyperlink ref="R27" r:id="rId26" xr:uid="{5DD7AA94-D093-446E-A35D-C60E66918D82}"/>
    <hyperlink ref="R28" r:id="rId27" xr:uid="{EFBB95CB-D8C9-46EB-A11C-C23DA252CC06}"/>
    <hyperlink ref="R29" r:id="rId28" xr:uid="{03E65E09-70AC-4353-8474-B80B58CEEE12}"/>
    <hyperlink ref="R30" r:id="rId29" xr:uid="{85FFE39C-C429-4409-9BCB-CD4B6B7A6984}"/>
    <hyperlink ref="R31" r:id="rId30" xr:uid="{71C57B6C-BAA3-4E91-9651-AF9E710F2F1F}"/>
    <hyperlink ref="R32" r:id="rId31" xr:uid="{6D4CF62D-B271-48D9-80A9-5E7E1E93910C}"/>
  </hyperlinks>
  <pageMargins left="0.7" right="0.7" top="0.75" bottom="0.75" header="0.3" footer="0.3"/>
  <headerFooter>
    <oddHeader>&amp;C&amp;"Calibri"&amp;12&amp;KFF0000 OFFICIAL&amp;1#_x000D_</oddHeader>
  </headerFooter>
  <tableParts count="1">
    <tablePart r:id="rId3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R27"/>
  <sheetViews>
    <sheetView workbookViewId="0">
      <selection activeCell="C17" sqref="C17"/>
    </sheetView>
  </sheetViews>
  <sheetFormatPr defaultColWidth="8.7109375" defaultRowHeight="15" x14ac:dyDescent="0.25"/>
  <cols>
    <col min="1" max="1" width="33.42578125" style="1" customWidth="1"/>
    <col min="2" max="2" width="26.7109375" style="1" customWidth="1"/>
    <col min="3" max="3" width="38.140625" style="1" customWidth="1"/>
    <col min="4" max="4" width="9.42578125" style="2" bestFit="1" customWidth="1"/>
    <col min="5" max="5" width="7.140625"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33.140625" style="2" bestFit="1" customWidth="1"/>
    <col min="13" max="13" width="21.85546875" style="1" customWidth="1"/>
    <col min="14" max="14" width="19.42578125" style="1" customWidth="1"/>
    <col min="15" max="15" width="42.42578125" style="1" customWidth="1"/>
    <col min="16" max="16" width="11.140625" style="2" hidden="1" customWidth="1"/>
    <col min="17" max="17" width="30" style="2" customWidth="1"/>
    <col min="18" max="18" width="27.425781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1" t="s">
        <v>9</v>
      </c>
      <c r="N1" s="1" t="s">
        <v>10</v>
      </c>
      <c r="O1" s="1" t="s">
        <v>11</v>
      </c>
      <c r="P1" s="2" t="s">
        <v>779</v>
      </c>
      <c r="Q1" s="2" t="s">
        <v>12</v>
      </c>
      <c r="R1" s="2" t="s">
        <v>13</v>
      </c>
    </row>
    <row r="2" spans="1:18" ht="90" x14ac:dyDescent="0.25">
      <c r="A2" s="1" t="s">
        <v>5312</v>
      </c>
      <c r="B2" s="1" t="s">
        <v>5313</v>
      </c>
      <c r="C2" s="1" t="s">
        <v>16</v>
      </c>
      <c r="D2" s="2" t="str">
        <f>"1476-3141"</f>
        <v>1476-3141</v>
      </c>
      <c r="F2" s="2" t="str">
        <f>"2007 Sep"</f>
        <v>2007 Sep</v>
      </c>
      <c r="G2" s="3">
        <v>6</v>
      </c>
      <c r="H2" s="3">
        <v>3</v>
      </c>
      <c r="I2" s="3">
        <v>334</v>
      </c>
      <c r="K2" s="2">
        <v>17933196</v>
      </c>
      <c r="L2" s="2" t="s">
        <v>5314</v>
      </c>
      <c r="M2" s="1" t="s">
        <v>20</v>
      </c>
      <c r="N2" s="1" t="s">
        <v>924</v>
      </c>
      <c r="O2" s="1" t="s">
        <v>5315</v>
      </c>
      <c r="Q2" s="2" t="s">
        <v>5316</v>
      </c>
      <c r="R2" s="6" t="s">
        <v>5317</v>
      </c>
    </row>
    <row r="3" spans="1:18" ht="75" x14ac:dyDescent="0.25">
      <c r="A3" s="1" t="s">
        <v>5318</v>
      </c>
      <c r="B3" s="1" t="s">
        <v>5319</v>
      </c>
      <c r="C3" s="1" t="s">
        <v>55</v>
      </c>
      <c r="D3" s="2" t="str">
        <f>"1440-2440"</f>
        <v>1440-2440</v>
      </c>
      <c r="F3" s="2" t="str">
        <f>"2007 Aug"</f>
        <v>2007 Aug</v>
      </c>
      <c r="G3" s="3">
        <v>10</v>
      </c>
      <c r="H3" s="3">
        <v>4</v>
      </c>
      <c r="I3" s="3">
        <v>193</v>
      </c>
      <c r="K3" s="2">
        <v>17000134</v>
      </c>
      <c r="L3" s="2" t="s">
        <v>5320</v>
      </c>
      <c r="M3" s="1" t="s">
        <v>59</v>
      </c>
      <c r="N3" s="1" t="s">
        <v>21</v>
      </c>
      <c r="O3" s="1" t="s">
        <v>5321</v>
      </c>
      <c r="Q3" s="2" t="s">
        <v>5322</v>
      </c>
      <c r="R3" s="6" t="s">
        <v>5323</v>
      </c>
    </row>
    <row r="4" spans="1:18" ht="120" x14ac:dyDescent="0.25">
      <c r="A4" s="1" t="s">
        <v>5324</v>
      </c>
      <c r="B4" s="1" t="s">
        <v>5325</v>
      </c>
      <c r="C4" s="1" t="s">
        <v>102</v>
      </c>
      <c r="D4" s="2" t="str">
        <f>"1473-0480"</f>
        <v>1473-0480</v>
      </c>
      <c r="F4" s="2" t="str">
        <f>"2007 Aug"</f>
        <v>2007 Aug</v>
      </c>
      <c r="G4" s="3">
        <v>41</v>
      </c>
      <c r="H4" s="3">
        <v>8</v>
      </c>
      <c r="I4" s="3">
        <v>531</v>
      </c>
      <c r="K4" s="2">
        <v>17472999</v>
      </c>
      <c r="L4" s="2" t="s">
        <v>5326</v>
      </c>
      <c r="M4" s="1" t="s">
        <v>106</v>
      </c>
      <c r="N4" s="1" t="s">
        <v>21</v>
      </c>
      <c r="O4" s="1" t="s">
        <v>5327</v>
      </c>
      <c r="Q4" s="2" t="s">
        <v>5328</v>
      </c>
      <c r="R4" s="6" t="s">
        <v>5329</v>
      </c>
    </row>
    <row r="5" spans="1:18" ht="60" x14ac:dyDescent="0.25">
      <c r="A5" s="1" t="s">
        <v>5330</v>
      </c>
      <c r="B5" s="1" t="s">
        <v>5331</v>
      </c>
      <c r="C5" s="1" t="s">
        <v>318</v>
      </c>
      <c r="D5" s="2" t="str">
        <f>"1555-0265"</f>
        <v>1555-0265</v>
      </c>
      <c r="F5" s="2" t="str">
        <f>"2007 Mar"</f>
        <v>2007 Mar</v>
      </c>
      <c r="G5" s="3">
        <v>2</v>
      </c>
      <c r="H5" s="3">
        <v>1</v>
      </c>
      <c r="I5" s="3">
        <v>93</v>
      </c>
      <c r="K5" s="2">
        <v>19255457</v>
      </c>
      <c r="L5" s="2" t="s">
        <v>5332</v>
      </c>
      <c r="M5" s="1" t="s">
        <v>322</v>
      </c>
      <c r="N5" s="1" t="s">
        <v>21</v>
      </c>
      <c r="O5" s="1" t="s">
        <v>5333</v>
      </c>
      <c r="Q5" s="2" t="s">
        <v>5334</v>
      </c>
      <c r="R5" s="6" t="s">
        <v>5335</v>
      </c>
    </row>
    <row r="6" spans="1:18" ht="60" x14ac:dyDescent="0.25">
      <c r="A6" s="1" t="s">
        <v>5336</v>
      </c>
      <c r="B6" s="1" t="s">
        <v>5268</v>
      </c>
      <c r="C6" s="1" t="s">
        <v>102</v>
      </c>
      <c r="D6" s="2" t="str">
        <f>"1473-0480"</f>
        <v>1473-0480</v>
      </c>
      <c r="F6" s="2" t="str">
        <f>"2007 Jan"</f>
        <v>2007 Jan</v>
      </c>
      <c r="G6" s="3">
        <v>41</v>
      </c>
      <c r="H6" s="3">
        <v>1</v>
      </c>
      <c r="I6" s="3">
        <v>41</v>
      </c>
      <c r="K6" s="2">
        <v>17062653</v>
      </c>
      <c r="L6" s="2" t="s">
        <v>5337</v>
      </c>
      <c r="M6" s="1" t="s">
        <v>106</v>
      </c>
      <c r="N6" s="1" t="s">
        <v>21</v>
      </c>
      <c r="O6" s="1" t="s">
        <v>5338</v>
      </c>
      <c r="Q6" s="2" t="s">
        <v>5339</v>
      </c>
      <c r="R6" s="6" t="s">
        <v>5340</v>
      </c>
    </row>
    <row r="7" spans="1:18" ht="150" x14ac:dyDescent="0.25">
      <c r="A7" s="1" t="s">
        <v>5341</v>
      </c>
      <c r="B7" s="1" t="s">
        <v>5342</v>
      </c>
      <c r="C7" s="1" t="s">
        <v>318</v>
      </c>
      <c r="D7" s="2" t="str">
        <f>"1555-0265"</f>
        <v>1555-0265</v>
      </c>
      <c r="F7" s="2" t="str">
        <f>"2007 Dec"</f>
        <v>2007 Dec</v>
      </c>
      <c r="G7" s="3">
        <v>2</v>
      </c>
      <c r="H7" s="3">
        <v>4</v>
      </c>
      <c r="I7" s="3">
        <v>423</v>
      </c>
      <c r="K7" s="2">
        <v>19171960</v>
      </c>
      <c r="L7" s="2" t="s">
        <v>5343</v>
      </c>
      <c r="M7" s="1" t="s">
        <v>322</v>
      </c>
      <c r="N7" s="1" t="s">
        <v>924</v>
      </c>
      <c r="O7" s="1" t="s">
        <v>5344</v>
      </c>
      <c r="Q7" s="2" t="s">
        <v>5345</v>
      </c>
      <c r="R7" s="6" t="s">
        <v>5346</v>
      </c>
    </row>
    <row r="8" spans="1:18" ht="75" x14ac:dyDescent="0.25">
      <c r="A8" s="1" t="s">
        <v>5347</v>
      </c>
      <c r="B8" s="1" t="s">
        <v>5172</v>
      </c>
      <c r="C8" s="1" t="s">
        <v>16</v>
      </c>
      <c r="D8" s="2" t="str">
        <f>"1476-3141"</f>
        <v>1476-3141</v>
      </c>
      <c r="F8" s="2" t="str">
        <f>"2007 May"</f>
        <v>2007 May</v>
      </c>
      <c r="G8" s="3">
        <v>6</v>
      </c>
      <c r="H8" s="3">
        <v>2</v>
      </c>
      <c r="I8" s="3">
        <v>155</v>
      </c>
      <c r="K8" s="2">
        <v>17892093</v>
      </c>
      <c r="L8" s="2" t="s">
        <v>5348</v>
      </c>
      <c r="M8" s="1" t="s">
        <v>20</v>
      </c>
      <c r="N8" s="1" t="s">
        <v>4764</v>
      </c>
      <c r="O8" s="1" t="s">
        <v>5349</v>
      </c>
      <c r="Q8" s="2" t="s">
        <v>5350</v>
      </c>
      <c r="R8" s="6" t="s">
        <v>5351</v>
      </c>
    </row>
    <row r="9" spans="1:18" ht="75" x14ac:dyDescent="0.25">
      <c r="A9" s="1" t="s">
        <v>5352</v>
      </c>
      <c r="B9" s="1" t="s">
        <v>5353</v>
      </c>
      <c r="C9" s="1" t="s">
        <v>797</v>
      </c>
      <c r="D9" s="2" t="str">
        <f>"0195-9131"</f>
        <v>0195-9131</v>
      </c>
      <c r="F9" s="2" t="str">
        <f>"2007 Nov"</f>
        <v>2007 Nov</v>
      </c>
      <c r="G9" s="3">
        <v>39</v>
      </c>
      <c r="H9" s="3">
        <v>11</v>
      </c>
      <c r="I9" s="3">
        <v>1918</v>
      </c>
      <c r="K9" s="2">
        <v>17986898</v>
      </c>
      <c r="L9" s="2" t="s">
        <v>5354</v>
      </c>
      <c r="M9" s="1" t="s">
        <v>156</v>
      </c>
      <c r="N9" s="1" t="s">
        <v>21</v>
      </c>
      <c r="O9" s="1" t="s">
        <v>5355</v>
      </c>
      <c r="Q9" s="2" t="s">
        <v>5356</v>
      </c>
      <c r="R9" s="6" t="s">
        <v>5357</v>
      </c>
    </row>
    <row r="10" spans="1:18" ht="105" x14ac:dyDescent="0.25">
      <c r="A10" s="1" t="s">
        <v>5358</v>
      </c>
      <c r="B10" s="1" t="s">
        <v>5359</v>
      </c>
      <c r="C10" s="1" t="s">
        <v>318</v>
      </c>
      <c r="D10" s="2" t="str">
        <f>"1555-0265"</f>
        <v>1555-0265</v>
      </c>
      <c r="F10" s="2" t="str">
        <f>"2007 Sep"</f>
        <v>2007 Sep</v>
      </c>
      <c r="G10" s="3">
        <v>2</v>
      </c>
      <c r="H10" s="3">
        <v>3</v>
      </c>
      <c r="I10" s="3">
        <v>292</v>
      </c>
      <c r="K10" s="2">
        <v>19168929</v>
      </c>
      <c r="L10" s="2" t="s">
        <v>5360</v>
      </c>
      <c r="M10" s="1" t="s">
        <v>322</v>
      </c>
      <c r="N10" s="1" t="s">
        <v>924</v>
      </c>
      <c r="O10" s="1" t="s">
        <v>5361</v>
      </c>
      <c r="Q10" s="2" t="s">
        <v>5362</v>
      </c>
      <c r="R10" s="6" t="s">
        <v>5363</v>
      </c>
    </row>
    <row r="11" spans="1:18" ht="90" x14ac:dyDescent="0.25">
      <c r="A11" s="1" t="s">
        <v>5364</v>
      </c>
      <c r="B11" s="1" t="s">
        <v>5365</v>
      </c>
      <c r="C11" s="1" t="s">
        <v>102</v>
      </c>
      <c r="D11" s="2" t="str">
        <f>"1473-0480"</f>
        <v>1473-0480</v>
      </c>
      <c r="F11" s="2" t="str">
        <f>"2007 Sep"</f>
        <v>2007 Sep</v>
      </c>
      <c r="G11" s="3">
        <v>41</v>
      </c>
      <c r="H11" s="3">
        <v>9</v>
      </c>
      <c r="I11" s="3">
        <v>569</v>
      </c>
      <c r="K11" s="2">
        <v>17473002</v>
      </c>
      <c r="L11" s="2" t="s">
        <v>5366</v>
      </c>
      <c r="M11" s="1" t="s">
        <v>106</v>
      </c>
      <c r="N11" s="1" t="s">
        <v>21</v>
      </c>
      <c r="O11" s="1" t="s">
        <v>5367</v>
      </c>
      <c r="Q11" s="2" t="s">
        <v>5368</v>
      </c>
      <c r="R11" s="6" t="s">
        <v>5369</v>
      </c>
    </row>
    <row r="12" spans="1:18" ht="90" x14ac:dyDescent="0.25">
      <c r="A12" s="1" t="s">
        <v>5370</v>
      </c>
      <c r="B12" s="1" t="s">
        <v>5325</v>
      </c>
      <c r="C12" s="1" t="s">
        <v>444</v>
      </c>
      <c r="D12" s="2" t="str">
        <f>"0112-1642"</f>
        <v>0112-1642</v>
      </c>
      <c r="F12" s="2" t="str">
        <f>"2007"</f>
        <v>2007</v>
      </c>
      <c r="G12" s="3">
        <v>37</v>
      </c>
      <c r="H12" s="3">
        <v>3</v>
      </c>
      <c r="I12" s="3">
        <v>199</v>
      </c>
      <c r="K12" s="2">
        <v>17326696</v>
      </c>
      <c r="L12" s="2" t="s">
        <v>5371</v>
      </c>
      <c r="M12" s="1" t="s">
        <v>446</v>
      </c>
      <c r="N12" s="1" t="s">
        <v>21</v>
      </c>
      <c r="O12" s="1" t="s">
        <v>5372</v>
      </c>
      <c r="Q12" s="2" t="s">
        <v>5373</v>
      </c>
      <c r="R12" s="6" t="s">
        <v>5374</v>
      </c>
    </row>
    <row r="13" spans="1:18" ht="90" x14ac:dyDescent="0.25">
      <c r="A13" s="1" t="s">
        <v>5375</v>
      </c>
      <c r="B13" s="1" t="s">
        <v>5376</v>
      </c>
      <c r="C13" s="1" t="s">
        <v>318</v>
      </c>
      <c r="D13" s="2" t="str">
        <f>"1555-0265"</f>
        <v>1555-0265</v>
      </c>
      <c r="F13" s="2" t="str">
        <f>"2007 Mar"</f>
        <v>2007 Mar</v>
      </c>
      <c r="G13" s="3">
        <v>2</v>
      </c>
      <c r="H13" s="3">
        <v>1</v>
      </c>
      <c r="I13" s="3">
        <v>58</v>
      </c>
      <c r="K13" s="2">
        <v>19255455</v>
      </c>
      <c r="L13" s="2" t="s">
        <v>5377</v>
      </c>
      <c r="M13" s="1" t="s">
        <v>322</v>
      </c>
      <c r="N13" s="1" t="s">
        <v>924</v>
      </c>
      <c r="O13" s="1" t="s">
        <v>5378</v>
      </c>
      <c r="Q13" s="2" t="s">
        <v>5379</v>
      </c>
      <c r="R13" s="6" t="s">
        <v>5380</v>
      </c>
    </row>
    <row r="14" spans="1:18" ht="105" x14ac:dyDescent="0.25">
      <c r="A14" s="1" t="s">
        <v>5381</v>
      </c>
      <c r="B14" s="1" t="s">
        <v>5382</v>
      </c>
      <c r="C14" s="1" t="s">
        <v>797</v>
      </c>
      <c r="D14" s="2" t="str">
        <f>"0195-9131"</f>
        <v>0195-9131</v>
      </c>
      <c r="F14" s="2" t="str">
        <f>"2007 Feb"</f>
        <v>2007 Feb</v>
      </c>
      <c r="G14" s="3">
        <v>39</v>
      </c>
      <c r="H14" s="3">
        <v>2</v>
      </c>
      <c r="I14" s="3">
        <v>323</v>
      </c>
      <c r="K14" s="2">
        <v>17277597</v>
      </c>
      <c r="L14" s="2" t="s">
        <v>5383</v>
      </c>
      <c r="M14" s="1" t="s">
        <v>156</v>
      </c>
      <c r="N14" s="1" t="s">
        <v>21</v>
      </c>
      <c r="O14" s="1" t="s">
        <v>5384</v>
      </c>
      <c r="Q14" s="2" t="s">
        <v>5385</v>
      </c>
      <c r="R14" s="6" t="s">
        <v>5386</v>
      </c>
    </row>
    <row r="15" spans="1:18" ht="60" x14ac:dyDescent="0.25">
      <c r="A15" s="1" t="s">
        <v>5387</v>
      </c>
      <c r="B15" s="1" t="s">
        <v>5388</v>
      </c>
      <c r="C15" s="1" t="s">
        <v>797</v>
      </c>
      <c r="D15" s="2" t="str">
        <f>"0195-9131"</f>
        <v>0195-9131</v>
      </c>
      <c r="F15" s="2" t="str">
        <f>"2007 Jan"</f>
        <v>2007 Jan</v>
      </c>
      <c r="G15" s="3">
        <v>39</v>
      </c>
      <c r="H15" s="3">
        <v>1</v>
      </c>
      <c r="I15" s="3">
        <v>184</v>
      </c>
      <c r="K15" s="2">
        <v>17218901</v>
      </c>
      <c r="L15" s="2" t="s">
        <v>5389</v>
      </c>
      <c r="M15" s="1" t="s">
        <v>156</v>
      </c>
      <c r="N15" s="1" t="s">
        <v>21</v>
      </c>
      <c r="O15" s="1" t="s">
        <v>5390</v>
      </c>
      <c r="Q15" s="2" t="s">
        <v>5391</v>
      </c>
      <c r="R15" s="6" t="s">
        <v>5392</v>
      </c>
    </row>
    <row r="16" spans="1:18" ht="60" x14ac:dyDescent="0.25">
      <c r="A16" s="1" t="s">
        <v>5393</v>
      </c>
      <c r="B16" s="1" t="s">
        <v>5394</v>
      </c>
      <c r="C16" s="1" t="s">
        <v>46</v>
      </c>
      <c r="D16" s="2" t="str">
        <f>"1439-6319"</f>
        <v>1439-6319</v>
      </c>
      <c r="F16" s="2" t="str">
        <f>"2007 Oct"</f>
        <v>2007 Oct</v>
      </c>
      <c r="G16" s="3">
        <v>101</v>
      </c>
      <c r="H16" s="3">
        <v>3</v>
      </c>
      <c r="I16" s="3">
        <v>287</v>
      </c>
      <c r="K16" s="2">
        <v>17562069</v>
      </c>
      <c r="L16" s="2" t="s">
        <v>5395</v>
      </c>
      <c r="M16" s="1" t="s">
        <v>50</v>
      </c>
      <c r="N16" s="1" t="s">
        <v>924</v>
      </c>
      <c r="O16" s="1" t="s">
        <v>5396</v>
      </c>
      <c r="Q16" s="2" t="s">
        <v>5397</v>
      </c>
      <c r="R16" s="6" t="s">
        <v>5398</v>
      </c>
    </row>
    <row r="17" spans="1:18" ht="225" x14ac:dyDescent="0.25">
      <c r="A17" s="1" t="s">
        <v>5399</v>
      </c>
      <c r="B17" s="1" t="s">
        <v>5400</v>
      </c>
      <c r="C17" s="1" t="s">
        <v>102</v>
      </c>
      <c r="D17" s="2" t="str">
        <f>"1473-0480"</f>
        <v>1473-0480</v>
      </c>
      <c r="F17" s="2" t="str">
        <f>"2007 Aug"</f>
        <v>2007 Aug</v>
      </c>
      <c r="G17" s="3">
        <v>41</v>
      </c>
      <c r="H17" s="3">
        <v>8</v>
      </c>
      <c r="I17" s="3">
        <v>501</v>
      </c>
      <c r="K17" s="2">
        <v>17341587</v>
      </c>
      <c r="L17" s="2" t="s">
        <v>5401</v>
      </c>
      <c r="M17" s="1" t="s">
        <v>106</v>
      </c>
      <c r="N17" s="1" t="s">
        <v>21</v>
      </c>
      <c r="O17" s="1" t="s">
        <v>5402</v>
      </c>
      <c r="Q17" s="2" t="s">
        <v>5403</v>
      </c>
      <c r="R17" s="6" t="s">
        <v>5404</v>
      </c>
    </row>
    <row r="18" spans="1:18" ht="90" x14ac:dyDescent="0.25">
      <c r="A18" s="1" t="s">
        <v>5405</v>
      </c>
      <c r="B18" s="1" t="s">
        <v>952</v>
      </c>
      <c r="C18" s="1" t="s">
        <v>5406</v>
      </c>
      <c r="D18" s="2" t="str">
        <f>"1537-890X"</f>
        <v>1537-890X</v>
      </c>
      <c r="F18" s="2" t="str">
        <f>"2007 Jun"</f>
        <v>2007 Jun</v>
      </c>
      <c r="G18" s="3">
        <v>6</v>
      </c>
      <c r="H18" s="3">
        <v>3</v>
      </c>
      <c r="I18" s="3">
        <v>137</v>
      </c>
      <c r="K18" s="2">
        <v>19202658</v>
      </c>
      <c r="L18" s="2" t="s">
        <v>5407</v>
      </c>
      <c r="M18" s="1" t="s">
        <v>5408</v>
      </c>
      <c r="N18" s="1" t="s">
        <v>21</v>
      </c>
      <c r="O18" s="1" t="s">
        <v>5409</v>
      </c>
      <c r="R18" s="6" t="s">
        <v>5410</v>
      </c>
    </row>
    <row r="19" spans="1:18" ht="135" x14ac:dyDescent="0.25">
      <c r="A19" s="1" t="s">
        <v>5411</v>
      </c>
      <c r="B19" s="1" t="s">
        <v>5412</v>
      </c>
      <c r="C19" s="1" t="s">
        <v>797</v>
      </c>
      <c r="D19" s="2" t="str">
        <f>"0195-9131"</f>
        <v>0195-9131</v>
      </c>
      <c r="F19" s="2" t="str">
        <f>"2007 Sep"</f>
        <v>2007 Sep</v>
      </c>
      <c r="G19" s="3">
        <v>39</v>
      </c>
      <c r="H19" s="3">
        <v>9</v>
      </c>
      <c r="I19" s="3">
        <v>1600</v>
      </c>
      <c r="K19" s="2">
        <v>17805094</v>
      </c>
      <c r="L19" s="2" t="s">
        <v>5413</v>
      </c>
      <c r="M19" s="1" t="s">
        <v>156</v>
      </c>
      <c r="N19" s="1" t="s">
        <v>21</v>
      </c>
      <c r="O19" s="1" t="s">
        <v>5414</v>
      </c>
      <c r="Q19" s="2" t="s">
        <v>5415</v>
      </c>
      <c r="R19" s="6" t="s">
        <v>5416</v>
      </c>
    </row>
    <row r="20" spans="1:18" ht="150" x14ac:dyDescent="0.25">
      <c r="A20" s="1" t="s">
        <v>5417</v>
      </c>
      <c r="B20" s="1" t="s">
        <v>5418</v>
      </c>
      <c r="C20" s="1" t="s">
        <v>921</v>
      </c>
      <c r="D20" s="2" t="str">
        <f>"0264-0414"</f>
        <v>0264-0414</v>
      </c>
      <c r="F20" s="2" t="str">
        <f>"2007"</f>
        <v>2007</v>
      </c>
      <c r="G20" s="3" t="s">
        <v>5419</v>
      </c>
      <c r="I20" s="3" t="s">
        <v>5420</v>
      </c>
      <c r="K20" s="2">
        <v>18049981</v>
      </c>
      <c r="L20" s="2" t="s">
        <v>5421</v>
      </c>
      <c r="M20" s="1" t="s">
        <v>923</v>
      </c>
      <c r="N20" s="1" t="s">
        <v>1173</v>
      </c>
      <c r="O20" s="1" t="s">
        <v>5422</v>
      </c>
      <c r="Q20" s="2" t="s">
        <v>5423</v>
      </c>
      <c r="R20" s="6" t="s">
        <v>5424</v>
      </c>
    </row>
    <row r="21" spans="1:18" ht="75" x14ac:dyDescent="0.25">
      <c r="A21" s="1" t="s">
        <v>5425</v>
      </c>
      <c r="B21" s="1" t="s">
        <v>952</v>
      </c>
      <c r="C21" s="1" t="s">
        <v>444</v>
      </c>
      <c r="D21" s="2" t="str">
        <f>"0112-1642"</f>
        <v>0112-1642</v>
      </c>
      <c r="F21" s="2" t="str">
        <f>"2007"</f>
        <v>2007</v>
      </c>
      <c r="G21" s="3">
        <v>37</v>
      </c>
      <c r="H21" s="8">
        <v>44685</v>
      </c>
      <c r="I21" s="3">
        <v>344</v>
      </c>
      <c r="K21" s="2">
        <v>17465604</v>
      </c>
      <c r="L21" s="2" t="s">
        <v>5426</v>
      </c>
      <c r="M21" s="1" t="s">
        <v>446</v>
      </c>
      <c r="N21" s="1" t="s">
        <v>21</v>
      </c>
      <c r="O21" s="1" t="s">
        <v>5427</v>
      </c>
      <c r="Q21" s="2" t="s">
        <v>5428</v>
      </c>
      <c r="R21" s="6" t="s">
        <v>5429</v>
      </c>
    </row>
    <row r="22" spans="1:18" ht="105" x14ac:dyDescent="0.25">
      <c r="A22" s="1" t="s">
        <v>5430</v>
      </c>
      <c r="B22" s="1" t="s">
        <v>5431</v>
      </c>
      <c r="C22" s="1" t="s">
        <v>921</v>
      </c>
      <c r="D22" s="2" t="str">
        <f>"0264-0414"</f>
        <v>0264-0414</v>
      </c>
      <c r="F22" s="2" t="str">
        <f>"2007 Dec"</f>
        <v>2007 Dec</v>
      </c>
      <c r="G22" s="3">
        <v>25</v>
      </c>
      <c r="H22" s="3">
        <v>14</v>
      </c>
      <c r="I22" s="3">
        <v>1577</v>
      </c>
      <c r="K22" s="2">
        <v>17852663</v>
      </c>
      <c r="L22" s="2" t="s">
        <v>5432</v>
      </c>
      <c r="M22" s="1" t="s">
        <v>923</v>
      </c>
      <c r="N22" s="1" t="s">
        <v>21</v>
      </c>
      <c r="O22" s="1" t="s">
        <v>5433</v>
      </c>
      <c r="Q22" s="2" t="s">
        <v>5434</v>
      </c>
      <c r="R22" s="6" t="s">
        <v>5435</v>
      </c>
    </row>
    <row r="23" spans="1:18" ht="105" x14ac:dyDescent="0.25">
      <c r="A23" s="1" t="s">
        <v>5436</v>
      </c>
      <c r="B23" s="1" t="s">
        <v>5437</v>
      </c>
      <c r="C23" s="1" t="s">
        <v>318</v>
      </c>
      <c r="D23" s="2" t="str">
        <f>"1555-0265"</f>
        <v>1555-0265</v>
      </c>
      <c r="F23" s="2" t="str">
        <f>"2007 Dec"</f>
        <v>2007 Dec</v>
      </c>
      <c r="G23" s="3">
        <v>2</v>
      </c>
      <c r="H23" s="3">
        <v>4</v>
      </c>
      <c r="I23" s="3">
        <v>360</v>
      </c>
      <c r="K23" s="2">
        <v>19171954</v>
      </c>
      <c r="L23" s="2" t="s">
        <v>5438</v>
      </c>
      <c r="M23" s="1" t="s">
        <v>322</v>
      </c>
      <c r="N23" s="1" t="s">
        <v>646</v>
      </c>
      <c r="O23" s="1" t="s">
        <v>5439</v>
      </c>
      <c r="Q23" s="2" t="s">
        <v>5440</v>
      </c>
      <c r="R23" s="6" t="s">
        <v>5441</v>
      </c>
    </row>
    <row r="24" spans="1:18" ht="90" x14ac:dyDescent="0.25">
      <c r="A24" s="1" t="s">
        <v>5442</v>
      </c>
      <c r="B24" s="1" t="s">
        <v>5443</v>
      </c>
      <c r="C24" s="1" t="s">
        <v>112</v>
      </c>
      <c r="D24" s="2" t="str">
        <f>"1050-642X"</f>
        <v>1050-642X</v>
      </c>
      <c r="F24" s="2" t="str">
        <f>"2007 Jul"</f>
        <v>2007 Jul</v>
      </c>
      <c r="G24" s="3">
        <v>17</v>
      </c>
      <c r="H24" s="3">
        <v>4</v>
      </c>
      <c r="I24" s="3">
        <v>328</v>
      </c>
      <c r="K24" s="2">
        <v>17620793</v>
      </c>
      <c r="L24" s="2" t="s">
        <v>5444</v>
      </c>
      <c r="M24" s="1" t="s">
        <v>116</v>
      </c>
      <c r="N24" s="1" t="s">
        <v>2054</v>
      </c>
      <c r="O24" s="1" t="s">
        <v>5445</v>
      </c>
      <c r="R24" s="6" t="s">
        <v>5446</v>
      </c>
    </row>
    <row r="25" spans="1:18" ht="90" x14ac:dyDescent="0.25">
      <c r="A25" s="1" t="s">
        <v>5447</v>
      </c>
      <c r="B25" s="1" t="s">
        <v>5448</v>
      </c>
      <c r="C25" s="1" t="s">
        <v>46</v>
      </c>
      <c r="D25" s="2" t="str">
        <f>"1439-6327"</f>
        <v>1439-6327</v>
      </c>
      <c r="F25" s="2" t="str">
        <f>"2007 Dec"</f>
        <v>2007 Dec</v>
      </c>
      <c r="G25" s="3">
        <v>102</v>
      </c>
      <c r="H25" s="3">
        <v>1</v>
      </c>
      <c r="I25" s="3">
        <v>45</v>
      </c>
      <c r="K25" s="2">
        <v>17882451</v>
      </c>
      <c r="L25" s="2" t="s">
        <v>5449</v>
      </c>
      <c r="M25" s="1" t="s">
        <v>50</v>
      </c>
      <c r="N25" s="1" t="s">
        <v>21</v>
      </c>
      <c r="O25" s="1" t="s">
        <v>5450</v>
      </c>
      <c r="Q25" s="2" t="s">
        <v>5451</v>
      </c>
      <c r="R25" s="6" t="s">
        <v>5452</v>
      </c>
    </row>
    <row r="26" spans="1:18" ht="90" x14ac:dyDescent="0.25">
      <c r="A26" s="1" t="s">
        <v>5453</v>
      </c>
      <c r="B26" s="1" t="s">
        <v>5454</v>
      </c>
      <c r="C26" s="1" t="s">
        <v>466</v>
      </c>
      <c r="D26" s="2" t="str">
        <f>"1064-8011"</f>
        <v>1064-8011</v>
      </c>
      <c r="F26" s="2" t="str">
        <f>"2007 Aug"</f>
        <v>2007 Aug</v>
      </c>
      <c r="G26" s="3">
        <v>21</v>
      </c>
      <c r="H26" s="3">
        <v>3</v>
      </c>
      <c r="I26" s="3">
        <v>697</v>
      </c>
      <c r="K26" s="2">
        <v>17685683</v>
      </c>
      <c r="L26" s="2" t="s">
        <v>5455</v>
      </c>
      <c r="M26" s="1" t="s">
        <v>468</v>
      </c>
      <c r="N26" s="1" t="s">
        <v>21</v>
      </c>
      <c r="O26" s="1" t="s">
        <v>5456</v>
      </c>
      <c r="Q26" s="2" t="s">
        <v>5457</v>
      </c>
      <c r="R26" s="6" t="s">
        <v>5458</v>
      </c>
    </row>
    <row r="27" spans="1:18" ht="105" x14ac:dyDescent="0.25">
      <c r="A27" s="1" t="s">
        <v>5459</v>
      </c>
      <c r="B27" s="1" t="s">
        <v>5460</v>
      </c>
      <c r="C27" s="1" t="s">
        <v>318</v>
      </c>
      <c r="D27" s="2" t="str">
        <f>"1555-0265"</f>
        <v>1555-0265</v>
      </c>
      <c r="F27" s="2" t="str">
        <f>"2007 Sep"</f>
        <v>2007 Sep</v>
      </c>
      <c r="G27" s="3">
        <v>2</v>
      </c>
      <c r="H27" s="3">
        <v>3</v>
      </c>
      <c r="I27" s="3">
        <v>327</v>
      </c>
      <c r="K27" s="2">
        <v>19168933</v>
      </c>
      <c r="L27" s="2" t="s">
        <v>5461</v>
      </c>
      <c r="M27" s="1" t="s">
        <v>322</v>
      </c>
      <c r="N27" s="1" t="s">
        <v>2054</v>
      </c>
      <c r="O27" s="1" t="s">
        <v>5462</v>
      </c>
      <c r="R27" s="6" t="s">
        <v>5463</v>
      </c>
    </row>
  </sheetData>
  <hyperlinks>
    <hyperlink ref="R2" r:id="rId1" xr:uid="{98F876C3-EB26-4B36-BE09-0B61AFDF62D2}"/>
    <hyperlink ref="R3" r:id="rId2" xr:uid="{EC03483C-2E91-4878-86BA-412376C5897A}"/>
    <hyperlink ref="R4" r:id="rId3" xr:uid="{361414CA-F8D1-4457-BC31-F1D9AB722BC0}"/>
    <hyperlink ref="R5" r:id="rId4" xr:uid="{A7AA256B-E79E-4C06-8219-F529855E30B5}"/>
    <hyperlink ref="R6" r:id="rId5" xr:uid="{8E16EFD7-D255-4D08-8469-1CE8CED2D396}"/>
    <hyperlink ref="R7" r:id="rId6" xr:uid="{B1E6E7FB-8FA1-4FF3-9AB1-CF472E56462F}"/>
    <hyperlink ref="R8" r:id="rId7" xr:uid="{73807DB7-999C-40A5-B559-712505088101}"/>
    <hyperlink ref="R9" r:id="rId8" xr:uid="{DD062801-592D-4E00-AD8B-F96F83817C03}"/>
    <hyperlink ref="R10" r:id="rId9" xr:uid="{6F64CBCB-A99F-4614-AB89-907CB84F6284}"/>
    <hyperlink ref="R11" r:id="rId10" xr:uid="{0BD8F317-4D33-492C-818D-777C33EFAD2B}"/>
    <hyperlink ref="R12" r:id="rId11" xr:uid="{AC028988-4C46-4B68-9ADD-4B8EF35B8BB9}"/>
    <hyperlink ref="R13" r:id="rId12" xr:uid="{C5F6E9EC-B178-4771-87C0-FD8465880DF3}"/>
    <hyperlink ref="R14" r:id="rId13" xr:uid="{F9E1FB30-3C55-4FB0-8628-113A286D6998}"/>
    <hyperlink ref="R15" r:id="rId14" xr:uid="{45D027EA-778F-4BB0-873E-DA54447099DC}"/>
    <hyperlink ref="R16" r:id="rId15" xr:uid="{0D99E635-9654-4145-A1C2-FE8B40641C2F}"/>
    <hyperlink ref="R17" r:id="rId16" xr:uid="{49D9B893-430B-4ECE-BD55-74522C213EB4}"/>
    <hyperlink ref="R18" r:id="rId17" xr:uid="{9F3B3327-BF81-4870-AAB8-BD8722DF7174}"/>
    <hyperlink ref="R19" r:id="rId18" xr:uid="{EADBF5D9-61C4-4FD3-8BC4-F3C5F90EF771}"/>
    <hyperlink ref="R20" r:id="rId19" xr:uid="{0E01EF4B-9F63-4DC9-A8DC-BDE5A7BF26CB}"/>
    <hyperlink ref="R21" r:id="rId20" xr:uid="{FCD6126C-A908-4C43-87E9-417D4D155C56}"/>
    <hyperlink ref="R22" r:id="rId21" xr:uid="{EA79549D-ED8C-4187-AF98-B06590BD8DE8}"/>
    <hyperlink ref="R23" r:id="rId22" xr:uid="{7D9AD630-5C79-453E-BB8B-AECE513C1CA2}"/>
    <hyperlink ref="R24" r:id="rId23" xr:uid="{017C430E-EEAD-4719-8C16-DCAD260ADFCC}"/>
    <hyperlink ref="R25" r:id="rId24" xr:uid="{797E6CAC-3A5C-4629-8649-0C99F8234CB5}"/>
    <hyperlink ref="R26" r:id="rId25" xr:uid="{E9BF4D41-3B21-446C-AB6A-0E097CC440D9}"/>
    <hyperlink ref="R27" r:id="rId26" xr:uid="{8B062475-D8C3-432B-89D0-D371101D7269}"/>
  </hyperlinks>
  <pageMargins left="0.7" right="0.7" top="0.75" bottom="0.75" header="0.3" footer="0.3"/>
  <headerFooter>
    <oddHeader>&amp;C&amp;"Calibri"&amp;12&amp;KFF0000 OFFICIAL&amp;1#_x000D_</oddHeader>
  </headerFooter>
  <tableParts count="1">
    <tablePart r:id="rId27"/>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R31"/>
  <sheetViews>
    <sheetView workbookViewId="0">
      <selection activeCell="R32" sqref="R32"/>
    </sheetView>
  </sheetViews>
  <sheetFormatPr defaultColWidth="8.7109375" defaultRowHeight="15" x14ac:dyDescent="0.25"/>
  <cols>
    <col min="1" max="1" width="34.7109375" style="1" customWidth="1"/>
    <col min="2" max="2" width="29.140625" style="1" customWidth="1"/>
    <col min="3" max="3" width="33.140625" style="1" customWidth="1"/>
    <col min="4" max="4" width="9.42578125" style="2" bestFit="1" customWidth="1"/>
    <col min="5" max="5" width="10.85546875" style="2" bestFit="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33.42578125" style="2" bestFit="1" customWidth="1"/>
    <col min="13" max="13" width="21.140625" style="1" customWidth="1"/>
    <col min="14" max="14" width="22.42578125" style="1" customWidth="1"/>
    <col min="15" max="15" width="30.7109375" style="1" customWidth="1"/>
    <col min="16" max="16" width="11.140625" style="2" hidden="1" customWidth="1"/>
    <col min="17" max="17" width="29.42578125" style="2" customWidth="1"/>
    <col min="18" max="18" width="28.28515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1" t="s">
        <v>9</v>
      </c>
      <c r="N1" s="1" t="s">
        <v>10</v>
      </c>
      <c r="O1" s="1" t="s">
        <v>11</v>
      </c>
      <c r="P1" s="2" t="s">
        <v>779</v>
      </c>
      <c r="Q1" s="2" t="s">
        <v>12</v>
      </c>
      <c r="R1" s="2" t="s">
        <v>13</v>
      </c>
    </row>
    <row r="2" spans="1:18" ht="90" x14ac:dyDescent="0.25">
      <c r="A2" s="1" t="s">
        <v>5464</v>
      </c>
      <c r="B2" s="1" t="s">
        <v>5465</v>
      </c>
      <c r="C2" s="1" t="s">
        <v>102</v>
      </c>
      <c r="D2" s="2" t="str">
        <f>"1473-0480"</f>
        <v>1473-0480</v>
      </c>
      <c r="F2" s="2" t="str">
        <f>"2006 Jan"</f>
        <v>2006 Jan</v>
      </c>
      <c r="G2" s="3">
        <v>40</v>
      </c>
      <c r="H2" s="3">
        <v>1</v>
      </c>
      <c r="I2" s="3">
        <v>55</v>
      </c>
      <c r="K2" s="2">
        <v>16371492</v>
      </c>
      <c r="L2" s="2" t="s">
        <v>5466</v>
      </c>
      <c r="M2" s="1" t="s">
        <v>106</v>
      </c>
      <c r="N2" s="1" t="s">
        <v>21</v>
      </c>
      <c r="O2" s="1" t="s">
        <v>5467</v>
      </c>
      <c r="Q2" s="2" t="s">
        <v>5468</v>
      </c>
      <c r="R2" s="9" t="s">
        <v>5469</v>
      </c>
    </row>
    <row r="3" spans="1:18" ht="90" x14ac:dyDescent="0.25">
      <c r="A3" s="1" t="s">
        <v>5470</v>
      </c>
      <c r="B3" s="1" t="s">
        <v>5471</v>
      </c>
      <c r="C3" s="1" t="s">
        <v>921</v>
      </c>
      <c r="D3" s="2" t="str">
        <f>"0264-0414"</f>
        <v>0264-0414</v>
      </c>
      <c r="F3" s="2" t="str">
        <f>"2006 Sep"</f>
        <v>2006 Sep</v>
      </c>
      <c r="G3" s="3">
        <v>24</v>
      </c>
      <c r="H3" s="3">
        <v>9</v>
      </c>
      <c r="I3" s="3">
        <v>919</v>
      </c>
      <c r="K3" s="2">
        <v>16882626</v>
      </c>
      <c r="L3" s="2" t="s">
        <v>5472</v>
      </c>
      <c r="M3" s="1" t="s">
        <v>923</v>
      </c>
      <c r="N3" s="1" t="s">
        <v>21</v>
      </c>
      <c r="O3" s="1" t="s">
        <v>5473</v>
      </c>
      <c r="Q3" s="2" t="s">
        <v>5474</v>
      </c>
      <c r="R3" s="9" t="s">
        <v>5475</v>
      </c>
    </row>
    <row r="4" spans="1:18" ht="60" x14ac:dyDescent="0.25">
      <c r="A4" s="1" t="s">
        <v>5476</v>
      </c>
      <c r="F4" s="2" t="str">
        <f>"20060101"</f>
        <v>20060101</v>
      </c>
      <c r="K4" s="2" t="s">
        <v>5477</v>
      </c>
      <c r="M4" s="1" t="s">
        <v>5478</v>
      </c>
      <c r="N4" s="1" t="s">
        <v>5479</v>
      </c>
      <c r="O4" s="1" t="s">
        <v>5480</v>
      </c>
      <c r="R4" s="9" t="s">
        <v>5481</v>
      </c>
    </row>
    <row r="5" spans="1:18" ht="120" x14ac:dyDescent="0.25">
      <c r="A5" s="1" t="s">
        <v>5482</v>
      </c>
      <c r="B5" s="1" t="s">
        <v>5483</v>
      </c>
      <c r="C5" s="1" t="s">
        <v>55</v>
      </c>
      <c r="D5" s="2" t="str">
        <f>"1440-2440"</f>
        <v>1440-2440</v>
      </c>
      <c r="F5" s="2" t="str">
        <f>"2006 Aug"</f>
        <v>2006 Aug</v>
      </c>
      <c r="G5" s="3">
        <v>9</v>
      </c>
      <c r="H5" s="3">
        <v>4</v>
      </c>
      <c r="I5" s="3">
        <v>342</v>
      </c>
      <c r="K5" s="2">
        <v>16844413</v>
      </c>
      <c r="L5" s="2" t="s">
        <v>5484</v>
      </c>
      <c r="M5" s="1" t="s">
        <v>59</v>
      </c>
      <c r="N5" s="1" t="s">
        <v>4764</v>
      </c>
      <c r="O5" s="1" t="s">
        <v>5485</v>
      </c>
      <c r="Q5" s="2" t="s">
        <v>5486</v>
      </c>
      <c r="R5" s="9" t="s">
        <v>5487</v>
      </c>
    </row>
    <row r="6" spans="1:18" ht="195" x14ac:dyDescent="0.25">
      <c r="A6" s="1" t="s">
        <v>5488</v>
      </c>
      <c r="B6" s="1" t="s">
        <v>5489</v>
      </c>
      <c r="C6" s="1" t="s">
        <v>466</v>
      </c>
      <c r="D6" s="2" t="str">
        <f>"1064-8011"</f>
        <v>1064-8011</v>
      </c>
      <c r="F6" s="2" t="str">
        <f>"2006 Aug"</f>
        <v>2006 Aug</v>
      </c>
      <c r="G6" s="3">
        <v>20</v>
      </c>
      <c r="H6" s="3">
        <v>3</v>
      </c>
      <c r="I6" s="3">
        <v>620</v>
      </c>
      <c r="K6" s="2">
        <v>16937976</v>
      </c>
      <c r="L6" s="2" t="s">
        <v>5490</v>
      </c>
      <c r="M6" s="1" t="s">
        <v>468</v>
      </c>
      <c r="N6" s="1" t="s">
        <v>924</v>
      </c>
      <c r="O6" s="1" t="s">
        <v>5491</v>
      </c>
      <c r="Q6" s="2" t="s">
        <v>5492</v>
      </c>
      <c r="R6" s="9" t="s">
        <v>5493</v>
      </c>
    </row>
    <row r="7" spans="1:18" ht="60" x14ac:dyDescent="0.25">
      <c r="A7" s="1" t="s">
        <v>5494</v>
      </c>
      <c r="F7" s="2" t="str">
        <f>"20060101"</f>
        <v>20060101</v>
      </c>
      <c r="K7" s="2" t="s">
        <v>5495</v>
      </c>
      <c r="M7" s="1" t="s">
        <v>5478</v>
      </c>
      <c r="N7" s="1" t="s">
        <v>5496</v>
      </c>
      <c r="O7" s="1" t="s">
        <v>5497</v>
      </c>
      <c r="R7" s="9" t="s">
        <v>5498</v>
      </c>
    </row>
    <row r="8" spans="1:18" ht="75" x14ac:dyDescent="0.25">
      <c r="A8" s="1" t="s">
        <v>5499</v>
      </c>
      <c r="B8" s="1" t="s">
        <v>5500</v>
      </c>
      <c r="E8" s="2" t="str">
        <f>"1921156163"</f>
        <v>1921156163</v>
      </c>
      <c r="F8" s="2" t="str">
        <f>"20060101"</f>
        <v>20060101</v>
      </c>
      <c r="K8" s="2" t="s">
        <v>5501</v>
      </c>
      <c r="M8" s="1" t="s">
        <v>5502</v>
      </c>
      <c r="N8" s="1" t="s">
        <v>5479</v>
      </c>
      <c r="O8" s="1" t="s">
        <v>5503</v>
      </c>
      <c r="Q8" s="2" t="s">
        <v>5504</v>
      </c>
      <c r="R8" s="9" t="s">
        <v>5505</v>
      </c>
    </row>
    <row r="9" spans="1:18" ht="75" x14ac:dyDescent="0.25">
      <c r="A9" s="1" t="s">
        <v>5506</v>
      </c>
      <c r="B9" s="1" t="s">
        <v>5268</v>
      </c>
      <c r="C9" s="1" t="s">
        <v>102</v>
      </c>
      <c r="D9" s="2" t="str">
        <f>"1473-0480"</f>
        <v>1473-0480</v>
      </c>
      <c r="F9" s="2" t="str">
        <f>"2006 Jun"</f>
        <v>2006 Jun</v>
      </c>
      <c r="G9" s="3">
        <v>40</v>
      </c>
      <c r="H9" s="3">
        <v>6</v>
      </c>
      <c r="I9" s="3">
        <v>541</v>
      </c>
      <c r="K9" s="2">
        <v>16547143</v>
      </c>
      <c r="L9" s="2" t="s">
        <v>5507</v>
      </c>
      <c r="M9" s="1" t="s">
        <v>106</v>
      </c>
      <c r="N9" s="1" t="s">
        <v>21</v>
      </c>
      <c r="O9" s="1" t="s">
        <v>5508</v>
      </c>
      <c r="Q9" s="2" t="s">
        <v>5509</v>
      </c>
      <c r="R9" s="9" t="s">
        <v>5510</v>
      </c>
    </row>
    <row r="10" spans="1:18" ht="165" x14ac:dyDescent="0.25">
      <c r="A10" s="1" t="s">
        <v>5511</v>
      </c>
      <c r="B10" s="1" t="s">
        <v>5512</v>
      </c>
      <c r="C10" s="1" t="s">
        <v>444</v>
      </c>
      <c r="D10" s="2" t="str">
        <f>"0112-1642"</f>
        <v>0112-1642</v>
      </c>
      <c r="F10" s="2" t="str">
        <f>"2006"</f>
        <v>2006</v>
      </c>
      <c r="G10" s="3">
        <v>36</v>
      </c>
      <c r="H10" s="3">
        <v>8</v>
      </c>
      <c r="I10" s="3">
        <v>671</v>
      </c>
      <c r="K10" s="2">
        <v>16869709</v>
      </c>
      <c r="L10" s="2" t="s">
        <v>5513</v>
      </c>
      <c r="M10" s="1" t="s">
        <v>446</v>
      </c>
      <c r="N10" s="1" t="s">
        <v>21</v>
      </c>
      <c r="O10" s="1" t="s">
        <v>5514</v>
      </c>
      <c r="Q10" s="2" t="s">
        <v>5515</v>
      </c>
      <c r="R10" s="9" t="s">
        <v>5516</v>
      </c>
    </row>
    <row r="11" spans="1:18" ht="90" x14ac:dyDescent="0.25">
      <c r="A11" s="1" t="s">
        <v>5517</v>
      </c>
      <c r="B11" s="1" t="s">
        <v>5518</v>
      </c>
      <c r="C11" s="1" t="s">
        <v>466</v>
      </c>
      <c r="D11" s="2" t="str">
        <f>"1064-8011"</f>
        <v>1064-8011</v>
      </c>
      <c r="F11" s="2" t="str">
        <f>"2006 Feb"</f>
        <v>2006 Feb</v>
      </c>
      <c r="G11" s="3">
        <v>20</v>
      </c>
      <c r="H11" s="3">
        <v>1</v>
      </c>
      <c r="I11" s="3">
        <v>172</v>
      </c>
      <c r="K11" s="2">
        <v>16503678</v>
      </c>
      <c r="L11" s="2" t="s">
        <v>5519</v>
      </c>
      <c r="M11" s="1" t="s">
        <v>468</v>
      </c>
      <c r="N11" s="1" t="s">
        <v>21</v>
      </c>
      <c r="O11" s="1" t="s">
        <v>5520</v>
      </c>
      <c r="Q11" s="2" t="s">
        <v>5521</v>
      </c>
      <c r="R11" s="9" t="s">
        <v>5522</v>
      </c>
    </row>
    <row r="12" spans="1:18" ht="75" x14ac:dyDescent="0.25">
      <c r="A12" s="1" t="s">
        <v>5523</v>
      </c>
      <c r="B12" s="1" t="s">
        <v>5524</v>
      </c>
      <c r="C12" s="1" t="s">
        <v>921</v>
      </c>
      <c r="D12" s="2" t="str">
        <f>"0264-0414"</f>
        <v>0264-0414</v>
      </c>
      <c r="F12" s="2" t="str">
        <f>"2006 Jul"</f>
        <v>2006 Jul</v>
      </c>
      <c r="G12" s="3">
        <v>24</v>
      </c>
      <c r="H12" s="3">
        <v>7</v>
      </c>
      <c r="I12" s="3">
        <v>675</v>
      </c>
      <c r="K12" s="2">
        <v>16766497</v>
      </c>
      <c r="L12" s="2" t="s">
        <v>5525</v>
      </c>
      <c r="M12" s="1" t="s">
        <v>923</v>
      </c>
      <c r="N12" s="1" t="s">
        <v>21</v>
      </c>
      <c r="O12" s="1" t="s">
        <v>5526</v>
      </c>
      <c r="Q12" s="2" t="s">
        <v>5527</v>
      </c>
      <c r="R12" s="9" t="s">
        <v>5528</v>
      </c>
    </row>
    <row r="13" spans="1:18" ht="210" x14ac:dyDescent="0.25">
      <c r="A13" s="1" t="s">
        <v>5529</v>
      </c>
      <c r="B13" s="1" t="s">
        <v>2550</v>
      </c>
      <c r="C13" s="1" t="s">
        <v>5530</v>
      </c>
      <c r="D13" s="2" t="str">
        <f>"1363-1950"</f>
        <v>1363-1950</v>
      </c>
      <c r="F13" s="2" t="str">
        <f>"2006 Jul"</f>
        <v>2006 Jul</v>
      </c>
      <c r="G13" s="3">
        <v>9</v>
      </c>
      <c r="H13" s="3">
        <v>4</v>
      </c>
      <c r="I13" s="3">
        <v>476</v>
      </c>
      <c r="K13" s="2">
        <v>16778580</v>
      </c>
      <c r="L13" s="2" t="s">
        <v>5531</v>
      </c>
      <c r="M13" s="1" t="s">
        <v>156</v>
      </c>
      <c r="N13" s="1" t="s">
        <v>21</v>
      </c>
      <c r="O13" s="1" t="s">
        <v>5532</v>
      </c>
      <c r="Q13" s="2" t="s">
        <v>5533</v>
      </c>
      <c r="R13" s="9" t="s">
        <v>5534</v>
      </c>
    </row>
    <row r="14" spans="1:18" ht="105" x14ac:dyDescent="0.25">
      <c r="A14" s="1" t="s">
        <v>5535</v>
      </c>
      <c r="B14" s="1" t="s">
        <v>5536</v>
      </c>
      <c r="C14" s="1" t="s">
        <v>797</v>
      </c>
      <c r="D14" s="2" t="str">
        <f>"0195-9131"</f>
        <v>0195-9131</v>
      </c>
      <c r="F14" s="2" t="str">
        <f>"2006 Jan"</f>
        <v>2006 Jan</v>
      </c>
      <c r="G14" s="3">
        <v>38</v>
      </c>
      <c r="H14" s="3">
        <v>1</v>
      </c>
      <c r="I14" s="3">
        <v>138</v>
      </c>
      <c r="K14" s="2">
        <v>16394966</v>
      </c>
      <c r="L14" s="2" t="s">
        <v>5537</v>
      </c>
      <c r="M14" s="1" t="s">
        <v>156</v>
      </c>
      <c r="N14" s="1" t="s">
        <v>21</v>
      </c>
      <c r="O14" s="1" t="s">
        <v>5538</v>
      </c>
      <c r="Q14" s="2" t="s">
        <v>5539</v>
      </c>
      <c r="R14" s="9" t="s">
        <v>5540</v>
      </c>
    </row>
    <row r="15" spans="1:18" ht="150" x14ac:dyDescent="0.25">
      <c r="A15" s="1" t="s">
        <v>5541</v>
      </c>
      <c r="B15" s="1" t="s">
        <v>5542</v>
      </c>
      <c r="C15" s="1" t="s">
        <v>545</v>
      </c>
      <c r="D15" s="2" t="str">
        <f>"8750-7587"</f>
        <v>8750-7587</v>
      </c>
      <c r="F15" s="2" t="str">
        <f>"2006 Nov"</f>
        <v>2006 Nov</v>
      </c>
      <c r="G15" s="3">
        <v>101</v>
      </c>
      <c r="H15" s="3">
        <v>5</v>
      </c>
      <c r="I15" s="3">
        <v>1386</v>
      </c>
      <c r="K15" s="2">
        <v>16794028</v>
      </c>
      <c r="L15" s="2" t="s">
        <v>5543</v>
      </c>
      <c r="M15" s="1" t="s">
        <v>547</v>
      </c>
      <c r="N15" s="1" t="s">
        <v>21</v>
      </c>
      <c r="O15" s="1" t="s">
        <v>5544</v>
      </c>
      <c r="Q15" s="2" t="s">
        <v>5545</v>
      </c>
      <c r="R15" s="9" t="s">
        <v>5546</v>
      </c>
    </row>
    <row r="16" spans="1:18" ht="75" x14ac:dyDescent="0.25">
      <c r="A16" s="1" t="s">
        <v>5547</v>
      </c>
      <c r="B16" s="1" t="s">
        <v>5548</v>
      </c>
      <c r="C16" s="1" t="s">
        <v>318</v>
      </c>
      <c r="D16" s="2" t="str">
        <f>"1555-0265"</f>
        <v>1555-0265</v>
      </c>
      <c r="F16" s="2" t="str">
        <f>"2006 Mar"</f>
        <v>2006 Mar</v>
      </c>
      <c r="G16" s="3">
        <v>1</v>
      </c>
      <c r="H16" s="3">
        <v>1</v>
      </c>
      <c r="I16" s="3">
        <v>14</v>
      </c>
      <c r="K16" s="2">
        <v>19114734</v>
      </c>
      <c r="L16" s="2" t="s">
        <v>5549</v>
      </c>
      <c r="M16" s="1" t="s">
        <v>322</v>
      </c>
      <c r="N16" s="1" t="s">
        <v>21</v>
      </c>
      <c r="O16" s="1" t="s">
        <v>5550</v>
      </c>
      <c r="Q16" s="2" t="s">
        <v>5551</v>
      </c>
      <c r="R16" s="9" t="s">
        <v>5552</v>
      </c>
    </row>
    <row r="17" spans="1:18" ht="90" x14ac:dyDescent="0.25">
      <c r="A17" s="1" t="s">
        <v>5553</v>
      </c>
      <c r="B17" s="1" t="s">
        <v>5554</v>
      </c>
      <c r="C17" s="1" t="s">
        <v>102</v>
      </c>
      <c r="D17" s="2" t="str">
        <f>"1473-0480"</f>
        <v>1473-0480</v>
      </c>
      <c r="F17" s="2" t="str">
        <f>"2006 Feb"</f>
        <v>2006 Feb</v>
      </c>
      <c r="G17" s="3">
        <v>40</v>
      </c>
      <c r="H17" s="3">
        <v>2</v>
      </c>
      <c r="I17" s="3">
        <v>139</v>
      </c>
      <c r="K17" s="2">
        <v>16432001</v>
      </c>
      <c r="L17" s="2" t="s">
        <v>5555</v>
      </c>
      <c r="M17" s="1" t="s">
        <v>106</v>
      </c>
      <c r="N17" s="1" t="s">
        <v>21</v>
      </c>
      <c r="O17" s="1" t="s">
        <v>5556</v>
      </c>
      <c r="Q17" s="2" t="s">
        <v>5557</v>
      </c>
      <c r="R17" s="9" t="s">
        <v>5558</v>
      </c>
    </row>
    <row r="18" spans="1:18" ht="105" x14ac:dyDescent="0.25">
      <c r="A18" s="1" t="s">
        <v>5559</v>
      </c>
      <c r="B18" s="1" t="s">
        <v>5560</v>
      </c>
      <c r="C18" s="1" t="s">
        <v>112</v>
      </c>
      <c r="D18" s="2" t="str">
        <f>"1050-642X"</f>
        <v>1050-642X</v>
      </c>
      <c r="F18" s="2" t="str">
        <f>"2006 Mar"</f>
        <v>2006 Mar</v>
      </c>
      <c r="G18" s="3">
        <v>16</v>
      </c>
      <c r="H18" s="3">
        <v>2</v>
      </c>
      <c r="I18" s="3">
        <v>117</v>
      </c>
      <c r="K18" s="2">
        <v>16603880</v>
      </c>
      <c r="L18" s="2" t="s">
        <v>5561</v>
      </c>
      <c r="M18" s="1" t="s">
        <v>116</v>
      </c>
      <c r="N18" s="1" t="s">
        <v>21</v>
      </c>
      <c r="O18" s="1" t="s">
        <v>5562</v>
      </c>
      <c r="Q18" s="2" t="s">
        <v>5563</v>
      </c>
      <c r="R18" s="9" t="s">
        <v>5564</v>
      </c>
    </row>
    <row r="19" spans="1:18" ht="135" x14ac:dyDescent="0.25">
      <c r="A19" s="1" t="s">
        <v>5565</v>
      </c>
      <c r="B19" s="1" t="s">
        <v>5566</v>
      </c>
      <c r="C19" s="1" t="s">
        <v>318</v>
      </c>
      <c r="D19" s="2" t="str">
        <f>"1555-0265"</f>
        <v>1555-0265</v>
      </c>
      <c r="F19" s="2" t="str">
        <f>"2006 Mar"</f>
        <v>2006 Mar</v>
      </c>
      <c r="G19" s="3">
        <v>1</v>
      </c>
      <c r="H19" s="3">
        <v>1</v>
      </c>
      <c r="I19" s="3">
        <v>65</v>
      </c>
      <c r="K19" s="2">
        <v>19114740</v>
      </c>
      <c r="L19" s="2" t="s">
        <v>5567</v>
      </c>
      <c r="M19" s="1" t="s">
        <v>322</v>
      </c>
      <c r="N19" s="1" t="s">
        <v>2054</v>
      </c>
      <c r="O19" s="1" t="s">
        <v>5568</v>
      </c>
      <c r="R19" s="9" t="s">
        <v>5569</v>
      </c>
    </row>
    <row r="20" spans="1:18" ht="75" x14ac:dyDescent="0.25">
      <c r="A20" s="1" t="s">
        <v>5570</v>
      </c>
      <c r="B20" s="1" t="s">
        <v>5571</v>
      </c>
      <c r="C20" s="1" t="s">
        <v>55</v>
      </c>
      <c r="D20" s="2" t="str">
        <f>"1440-2440"</f>
        <v>1440-2440</v>
      </c>
      <c r="F20" s="2" t="str">
        <f>"2006 May"</f>
        <v>2006 May</v>
      </c>
      <c r="G20" s="3">
        <v>9</v>
      </c>
      <c r="H20" s="8">
        <v>44593</v>
      </c>
      <c r="I20" s="3">
        <v>143</v>
      </c>
      <c r="K20" s="2">
        <v>16580878</v>
      </c>
      <c r="L20" s="2" t="s">
        <v>5572</v>
      </c>
      <c r="M20" s="1" t="s">
        <v>59</v>
      </c>
      <c r="N20" s="1" t="s">
        <v>21</v>
      </c>
      <c r="O20" s="1" t="s">
        <v>5573</v>
      </c>
      <c r="Q20" s="2" t="s">
        <v>5574</v>
      </c>
      <c r="R20" s="9" t="s">
        <v>5575</v>
      </c>
    </row>
    <row r="21" spans="1:18" ht="120" x14ac:dyDescent="0.25">
      <c r="A21" s="1" t="s">
        <v>5576</v>
      </c>
      <c r="B21" s="1" t="s">
        <v>5577</v>
      </c>
      <c r="C21" s="1" t="s">
        <v>318</v>
      </c>
      <c r="D21" s="2" t="str">
        <f>"1555-0265"</f>
        <v>1555-0265</v>
      </c>
      <c r="F21" s="2" t="str">
        <f>"2006 Dec"</f>
        <v>2006 Dec</v>
      </c>
      <c r="G21" s="3">
        <v>1</v>
      </c>
      <c r="H21" s="3">
        <v>4</v>
      </c>
      <c r="I21" s="3">
        <v>324</v>
      </c>
      <c r="K21" s="2">
        <v>19124890</v>
      </c>
      <c r="L21" s="2" t="s">
        <v>5578</v>
      </c>
      <c r="M21" s="1" t="s">
        <v>322</v>
      </c>
      <c r="N21" s="1" t="s">
        <v>21</v>
      </c>
      <c r="O21" s="1" t="s">
        <v>5579</v>
      </c>
      <c r="Q21" s="2" t="s">
        <v>5580</v>
      </c>
      <c r="R21" s="9" t="s">
        <v>5581</v>
      </c>
    </row>
    <row r="22" spans="1:18" ht="180" x14ac:dyDescent="0.25">
      <c r="A22" s="1" t="s">
        <v>5582</v>
      </c>
      <c r="B22" s="1" t="s">
        <v>5583</v>
      </c>
      <c r="C22" s="1" t="s">
        <v>36</v>
      </c>
      <c r="D22" s="2" t="str">
        <f>"1526-484X"</f>
        <v>1526-484X</v>
      </c>
      <c r="F22" s="2" t="str">
        <f>"2006 Feb"</f>
        <v>2006 Feb</v>
      </c>
      <c r="G22" s="3">
        <v>16</v>
      </c>
      <c r="H22" s="3">
        <v>1</v>
      </c>
      <c r="I22" s="3">
        <v>108</v>
      </c>
      <c r="K22" s="2">
        <v>16676707</v>
      </c>
      <c r="L22" s="2" t="s">
        <v>5584</v>
      </c>
      <c r="M22" s="1" t="s">
        <v>40</v>
      </c>
      <c r="N22" s="1" t="s">
        <v>2054</v>
      </c>
      <c r="O22" s="1" t="s">
        <v>5585</v>
      </c>
      <c r="Q22" s="2" t="s">
        <v>5586</v>
      </c>
      <c r="R22" s="9" t="s">
        <v>5587</v>
      </c>
    </row>
    <row r="23" spans="1:18" ht="60" x14ac:dyDescent="0.25">
      <c r="A23" s="1" t="s">
        <v>5588</v>
      </c>
      <c r="B23" s="1" t="s">
        <v>5589</v>
      </c>
      <c r="C23" s="1" t="s">
        <v>318</v>
      </c>
      <c r="D23" s="2" t="str">
        <f>"1555-0265"</f>
        <v>1555-0265</v>
      </c>
      <c r="F23" s="2" t="str">
        <f>"2006 Mar"</f>
        <v>2006 Mar</v>
      </c>
      <c r="G23" s="3">
        <v>1</v>
      </c>
      <c r="H23" s="3">
        <v>1</v>
      </c>
      <c r="I23" s="3">
        <v>58</v>
      </c>
      <c r="K23" s="2">
        <v>19114738</v>
      </c>
      <c r="L23" s="2" t="s">
        <v>5590</v>
      </c>
      <c r="M23" s="1" t="s">
        <v>322</v>
      </c>
      <c r="N23" s="1" t="s">
        <v>21</v>
      </c>
      <c r="O23" s="1" t="s">
        <v>5591</v>
      </c>
      <c r="R23" s="9" t="s">
        <v>5592</v>
      </c>
    </row>
    <row r="24" spans="1:18" ht="120" x14ac:dyDescent="0.25">
      <c r="A24" s="1" t="s">
        <v>5593</v>
      </c>
      <c r="B24" s="1" t="s">
        <v>5594</v>
      </c>
      <c r="C24" s="1" t="s">
        <v>466</v>
      </c>
      <c r="D24" s="2" t="str">
        <f>"1064-8011"</f>
        <v>1064-8011</v>
      </c>
      <c r="F24" s="2" t="str">
        <f>"2006 Nov"</f>
        <v>2006 Nov</v>
      </c>
      <c r="G24" s="3">
        <v>20</v>
      </c>
      <c r="H24" s="3">
        <v>4</v>
      </c>
      <c r="I24" s="3">
        <v>947</v>
      </c>
      <c r="K24" s="2">
        <v>17149987</v>
      </c>
      <c r="L24" s="2" t="s">
        <v>5595</v>
      </c>
      <c r="M24" s="1" t="s">
        <v>468</v>
      </c>
      <c r="N24" s="1" t="s">
        <v>21</v>
      </c>
      <c r="O24" s="1" t="s">
        <v>5596</v>
      </c>
      <c r="Q24" s="2" t="s">
        <v>5597</v>
      </c>
      <c r="R24" s="9" t="s">
        <v>5598</v>
      </c>
    </row>
    <row r="25" spans="1:18" ht="75" x14ac:dyDescent="0.25">
      <c r="A25" s="1" t="s">
        <v>5599</v>
      </c>
      <c r="B25" s="1" t="s">
        <v>5600</v>
      </c>
      <c r="C25" s="1" t="s">
        <v>466</v>
      </c>
      <c r="D25" s="2" t="str">
        <f>"1064-8011"</f>
        <v>1064-8011</v>
      </c>
      <c r="F25" s="2" t="str">
        <f>"2006 Feb"</f>
        <v>2006 Feb</v>
      </c>
      <c r="G25" s="3">
        <v>20</v>
      </c>
      <c r="H25" s="3">
        <v>1</v>
      </c>
      <c r="I25" s="3">
        <v>208</v>
      </c>
      <c r="K25" s="2">
        <v>16506864</v>
      </c>
      <c r="L25" s="2" t="s">
        <v>5601</v>
      </c>
      <c r="M25" s="1" t="s">
        <v>468</v>
      </c>
      <c r="N25" s="1" t="s">
        <v>21</v>
      </c>
      <c r="O25" s="1" t="s">
        <v>5602</v>
      </c>
      <c r="Q25" s="2" t="s">
        <v>5603</v>
      </c>
      <c r="R25" s="9" t="s">
        <v>5604</v>
      </c>
    </row>
    <row r="26" spans="1:18" ht="120" x14ac:dyDescent="0.25">
      <c r="A26" s="1" t="s">
        <v>5605</v>
      </c>
      <c r="B26" s="1" t="s">
        <v>5606</v>
      </c>
      <c r="C26" s="1" t="s">
        <v>921</v>
      </c>
      <c r="D26" s="2" t="str">
        <f>"0264-0414"</f>
        <v>0264-0414</v>
      </c>
      <c r="F26" s="2" t="str">
        <f>"2006 Aug"</f>
        <v>2006 Aug</v>
      </c>
      <c r="G26" s="3">
        <v>24</v>
      </c>
      <c r="H26" s="3">
        <v>8</v>
      </c>
      <c r="I26" s="3">
        <v>807</v>
      </c>
      <c r="K26" s="2">
        <v>16815774</v>
      </c>
      <c r="L26" s="2" t="s">
        <v>5607</v>
      </c>
      <c r="M26" s="1" t="s">
        <v>923</v>
      </c>
      <c r="N26" s="1" t="s">
        <v>21</v>
      </c>
      <c r="O26" s="1" t="s">
        <v>5608</v>
      </c>
      <c r="Q26" s="2" t="s">
        <v>5609</v>
      </c>
      <c r="R26" s="9" t="s">
        <v>5610</v>
      </c>
    </row>
    <row r="27" spans="1:18" ht="75" x14ac:dyDescent="0.25">
      <c r="A27" s="1" t="s">
        <v>5611</v>
      </c>
      <c r="B27" s="1" t="s">
        <v>5612</v>
      </c>
      <c r="C27" s="1" t="s">
        <v>466</v>
      </c>
      <c r="D27" s="2" t="str">
        <f>"1064-8011"</f>
        <v>1064-8011</v>
      </c>
      <c r="F27" s="2" t="str">
        <f>"2006 May"</f>
        <v>2006 May</v>
      </c>
      <c r="G27" s="3">
        <v>20</v>
      </c>
      <c r="H27" s="3">
        <v>2</v>
      </c>
      <c r="I27" s="3">
        <v>246</v>
      </c>
      <c r="K27" s="2">
        <v>16686548</v>
      </c>
      <c r="L27" s="2" t="s">
        <v>5613</v>
      </c>
      <c r="M27" s="1" t="s">
        <v>468</v>
      </c>
      <c r="N27" s="1" t="s">
        <v>924</v>
      </c>
      <c r="O27" s="1" t="s">
        <v>5614</v>
      </c>
      <c r="Q27" s="2" t="s">
        <v>5615</v>
      </c>
      <c r="R27" s="9" t="s">
        <v>5616</v>
      </c>
    </row>
    <row r="28" spans="1:18" ht="120" x14ac:dyDescent="0.25">
      <c r="A28" s="1" t="s">
        <v>5617</v>
      </c>
      <c r="B28" s="1" t="s">
        <v>5618</v>
      </c>
      <c r="C28" s="1" t="s">
        <v>318</v>
      </c>
      <c r="D28" s="2" t="str">
        <f>"1555-0265"</f>
        <v>1555-0265</v>
      </c>
      <c r="F28" s="2" t="str">
        <f>"2006 Mar"</f>
        <v>2006 Mar</v>
      </c>
      <c r="G28" s="3">
        <v>1</v>
      </c>
      <c r="H28" s="3">
        <v>1</v>
      </c>
      <c r="I28" s="3">
        <v>27</v>
      </c>
      <c r="K28" s="2">
        <v>19114735</v>
      </c>
      <c r="L28" s="2" t="s">
        <v>5619</v>
      </c>
      <c r="M28" s="1" t="s">
        <v>322</v>
      </c>
      <c r="N28" s="1" t="s">
        <v>21</v>
      </c>
      <c r="O28" s="1" t="s">
        <v>5620</v>
      </c>
      <c r="Q28" s="2" t="s">
        <v>5621</v>
      </c>
      <c r="R28" s="9" t="s">
        <v>5622</v>
      </c>
    </row>
    <row r="29" spans="1:18" ht="165" x14ac:dyDescent="0.25">
      <c r="A29" s="1" t="s">
        <v>5623</v>
      </c>
      <c r="B29" s="1" t="s">
        <v>5624</v>
      </c>
      <c r="C29" s="1" t="s">
        <v>797</v>
      </c>
      <c r="D29" s="2" t="str">
        <f>"0195-9131"</f>
        <v>0195-9131</v>
      </c>
      <c r="F29" s="2" t="str">
        <f>"2006 Jun"</f>
        <v>2006 Jun</v>
      </c>
      <c r="G29" s="3">
        <v>38</v>
      </c>
      <c r="H29" s="3">
        <v>6</v>
      </c>
      <c r="I29" s="3">
        <v>1187</v>
      </c>
      <c r="K29" s="2">
        <v>16775562</v>
      </c>
      <c r="L29" s="2" t="s">
        <v>5625</v>
      </c>
      <c r="M29" s="1" t="s">
        <v>156</v>
      </c>
      <c r="N29" s="1" t="s">
        <v>924</v>
      </c>
      <c r="O29" s="1" t="s">
        <v>5626</v>
      </c>
      <c r="Q29" s="2" t="s">
        <v>5627</v>
      </c>
      <c r="R29" s="9" t="s">
        <v>5628</v>
      </c>
    </row>
    <row r="30" spans="1:18" ht="45" x14ac:dyDescent="0.25">
      <c r="A30" s="1" t="s">
        <v>5629</v>
      </c>
      <c r="B30" s="1" t="s">
        <v>5630</v>
      </c>
      <c r="C30" s="1" t="s">
        <v>112</v>
      </c>
      <c r="D30" s="2" t="str">
        <f>"1050-642X"</f>
        <v>1050-642X</v>
      </c>
      <c r="F30" s="2" t="str">
        <f>"2006 May"</f>
        <v>2006 May</v>
      </c>
      <c r="G30" s="3">
        <v>16</v>
      </c>
      <c r="H30" s="3">
        <v>3</v>
      </c>
      <c r="I30" s="3">
        <v>280</v>
      </c>
      <c r="K30" s="2">
        <v>16778558</v>
      </c>
      <c r="L30" s="2" t="s">
        <v>5631</v>
      </c>
      <c r="M30" s="1" t="s">
        <v>116</v>
      </c>
      <c r="N30" s="1" t="s">
        <v>21</v>
      </c>
      <c r="R30" s="9" t="s">
        <v>5632</v>
      </c>
    </row>
    <row r="31" spans="1:18" ht="150" x14ac:dyDescent="0.25">
      <c r="A31" s="1" t="s">
        <v>5633</v>
      </c>
      <c r="B31" s="1" t="s">
        <v>5634</v>
      </c>
      <c r="C31" s="1" t="s">
        <v>102</v>
      </c>
      <c r="D31" s="2" t="str">
        <f>"1473-0480"</f>
        <v>1473-0480</v>
      </c>
      <c r="F31" s="2" t="str">
        <f>"2006 Mar"</f>
        <v>2006 Mar</v>
      </c>
      <c r="G31" s="3">
        <v>40</v>
      </c>
      <c r="H31" s="3">
        <v>3</v>
      </c>
      <c r="I31" s="3">
        <v>208</v>
      </c>
      <c r="K31" s="2">
        <v>16505075</v>
      </c>
      <c r="L31" s="2" t="s">
        <v>5635</v>
      </c>
      <c r="M31" s="1" t="s">
        <v>106</v>
      </c>
      <c r="N31" s="1" t="s">
        <v>21</v>
      </c>
      <c r="O31" s="1" t="s">
        <v>5636</v>
      </c>
      <c r="Q31" s="2" t="s">
        <v>5637</v>
      </c>
      <c r="R31" s="9" t="s">
        <v>5638</v>
      </c>
    </row>
  </sheetData>
  <hyperlinks>
    <hyperlink ref="R2" r:id="rId1" xr:uid="{E3ABB96A-430A-4EF6-B917-785D61B8E98A}"/>
    <hyperlink ref="R3" r:id="rId2" xr:uid="{7896C4AE-5CA4-4153-903F-39D77654206B}"/>
    <hyperlink ref="R4" r:id="rId3" xr:uid="{ED16334F-8812-4C6B-88BC-8D8A0D96B8A9}"/>
    <hyperlink ref="R5" r:id="rId4" xr:uid="{6B2D4CFB-797F-4803-988F-668AC157978B}"/>
    <hyperlink ref="R6" r:id="rId5" xr:uid="{61C26E45-F309-4435-AAD9-2AB21F570C03}"/>
    <hyperlink ref="R7" r:id="rId6" xr:uid="{14014974-AF3A-49D0-92D9-CA0D060E9992}"/>
    <hyperlink ref="R8" r:id="rId7" xr:uid="{611F6A4D-0E75-43DE-9737-73E6DA82648A}"/>
    <hyperlink ref="R9" r:id="rId8" xr:uid="{8A1CCC54-E412-4E99-9288-C375104307C2}"/>
    <hyperlink ref="R10" r:id="rId9" xr:uid="{FA3242BE-D4E5-479D-A755-A6B6268A81D5}"/>
    <hyperlink ref="R11" r:id="rId10" xr:uid="{F0BE51A7-EA25-4D4D-8FF5-963B4D1AD557}"/>
    <hyperlink ref="R12" r:id="rId11" xr:uid="{E9D42F99-5B2B-47E6-8D2D-A22E147A1783}"/>
    <hyperlink ref="R13" r:id="rId12" xr:uid="{8A89B67A-30A8-47A0-B42F-E4B4F8112DB2}"/>
    <hyperlink ref="R14" r:id="rId13" xr:uid="{B0EC4504-0754-411C-BD32-48021C703994}"/>
    <hyperlink ref="R15" r:id="rId14" xr:uid="{6EDD7769-8980-4E14-AB18-9BCB3FAA8879}"/>
    <hyperlink ref="R16" r:id="rId15" xr:uid="{25B94D2F-7603-4BEE-BDBD-28D399442FF6}"/>
    <hyperlink ref="R17" r:id="rId16" xr:uid="{CF074ADB-F5D1-4449-AF4C-8CFF354F383E}"/>
    <hyperlink ref="R18" r:id="rId17" xr:uid="{802CA38B-4364-435A-B7EF-AE5596685F18}"/>
    <hyperlink ref="R19" r:id="rId18" xr:uid="{30A6BF33-FCE2-49EA-AD5D-BD169EDB1BCB}"/>
    <hyperlink ref="R20" r:id="rId19" xr:uid="{EF4FC061-DBCC-4E5F-B9FC-A90FA27F85A7}"/>
    <hyperlink ref="R21" r:id="rId20" xr:uid="{43819378-0667-4A0D-A553-614F0DC2B66E}"/>
    <hyperlink ref="R22" r:id="rId21" xr:uid="{2A55081D-F8B0-4ACB-9A7C-1473D15056FD}"/>
    <hyperlink ref="R23" r:id="rId22" xr:uid="{02825AA9-69F3-41CB-B49D-E86B5385D420}"/>
    <hyperlink ref="R24" r:id="rId23" xr:uid="{E10BB5F7-E7BA-4A2A-ADCE-74610A25EAD2}"/>
    <hyperlink ref="R25" r:id="rId24" xr:uid="{8B5B3DDF-9576-4697-8ECE-E98BB11727E2}"/>
    <hyperlink ref="R26" r:id="rId25" xr:uid="{543E39A1-CA66-419E-A36B-FA66886B354F}"/>
    <hyperlink ref="R27" r:id="rId26" xr:uid="{77CC8E42-18C2-476A-A899-AFEB4F143176}"/>
    <hyperlink ref="R28" r:id="rId27" xr:uid="{EBC41ECF-33F0-418C-B630-6EE511541A0B}"/>
    <hyperlink ref="R29" r:id="rId28" xr:uid="{2C5FB479-88C7-421E-B249-3C240B7750CD}"/>
    <hyperlink ref="R30" r:id="rId29" xr:uid="{D433C4C5-07CA-4CB5-9BF0-BBA70E113E2C}"/>
    <hyperlink ref="R31" r:id="rId30" xr:uid="{16D88D47-7125-43BC-AAC5-CFE538C4833A}"/>
  </hyperlinks>
  <pageMargins left="0.7" right="0.7" top="0.75" bottom="0.75" header="0.3" footer="0.3"/>
  <headerFooter>
    <oddHeader>&amp;C&amp;"Calibri"&amp;12&amp;KFF0000 OFFICIAL&amp;1#_x000D_</oddHeader>
  </headerFooter>
  <tableParts count="1">
    <tablePart r:id="rId3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R28"/>
  <sheetViews>
    <sheetView workbookViewId="0">
      <selection activeCell="C2" sqref="C2"/>
    </sheetView>
  </sheetViews>
  <sheetFormatPr defaultColWidth="8.7109375" defaultRowHeight="15" x14ac:dyDescent="0.25"/>
  <cols>
    <col min="1" max="1" width="37.7109375" style="1" customWidth="1"/>
    <col min="2" max="2" width="33.28515625" style="1" customWidth="1"/>
    <col min="3" max="3" width="30.42578125" style="1" customWidth="1"/>
    <col min="4" max="4" width="9.42578125" style="2" bestFit="1" customWidth="1"/>
    <col min="5" max="5" width="10.85546875" style="2" bestFit="1" customWidth="1"/>
    <col min="6" max="6" width="17.28515625" style="2" bestFit="1" customWidth="1"/>
    <col min="7" max="7" width="10.42578125" style="2" bestFit="1" customWidth="1"/>
    <col min="8" max="8" width="7.42578125" style="2" bestFit="1" customWidth="1"/>
    <col min="9" max="9" width="11.42578125" style="2" bestFit="1" customWidth="1"/>
    <col min="10" max="10" width="12.42578125" style="2" hidden="1" customWidth="1"/>
    <col min="11" max="11" width="18.42578125" style="2" hidden="1" customWidth="1"/>
    <col min="12" max="12" width="21.7109375" style="1" customWidth="1"/>
    <col min="13" max="13" width="30.140625" style="1" bestFit="1" customWidth="1"/>
    <col min="14" max="14" width="18.42578125" style="1" customWidth="1"/>
    <col min="15" max="15" width="42.85546875" style="1" customWidth="1"/>
    <col min="16" max="16" width="11.140625" style="2" hidden="1" customWidth="1"/>
    <col min="17" max="17" width="29.42578125" style="2" customWidth="1"/>
    <col min="18" max="18" width="28.42578125" style="2" customWidth="1"/>
    <col min="19" max="16384" width="8.7109375" style="2"/>
  </cols>
  <sheetData>
    <row r="1" spans="1:18" x14ac:dyDescent="0.25">
      <c r="A1" s="1" t="s">
        <v>0</v>
      </c>
      <c r="B1" s="1" t="s">
        <v>1</v>
      </c>
      <c r="C1" s="1" t="s">
        <v>2</v>
      </c>
      <c r="D1" s="2" t="s">
        <v>3</v>
      </c>
      <c r="E1" s="2" t="s">
        <v>1486</v>
      </c>
      <c r="F1" s="2" t="s">
        <v>4</v>
      </c>
      <c r="G1" s="2" t="s">
        <v>5</v>
      </c>
      <c r="H1" s="2" t="s">
        <v>6</v>
      </c>
      <c r="I1" s="2" t="s">
        <v>7</v>
      </c>
      <c r="J1" s="2" t="s">
        <v>140</v>
      </c>
      <c r="K1" s="2" t="s">
        <v>141</v>
      </c>
      <c r="L1" s="1" t="s">
        <v>8</v>
      </c>
      <c r="M1" s="1" t="s">
        <v>9</v>
      </c>
      <c r="N1" s="1" t="s">
        <v>10</v>
      </c>
      <c r="O1" s="1" t="s">
        <v>11</v>
      </c>
      <c r="P1" s="2" t="s">
        <v>779</v>
      </c>
      <c r="Q1" s="2" t="s">
        <v>12</v>
      </c>
      <c r="R1" s="2" t="s">
        <v>13</v>
      </c>
    </row>
    <row r="2" spans="1:18" ht="135" x14ac:dyDescent="0.25">
      <c r="A2" s="1" t="s">
        <v>5639</v>
      </c>
      <c r="B2" s="1" t="s">
        <v>5640</v>
      </c>
      <c r="C2" s="1" t="s">
        <v>797</v>
      </c>
      <c r="D2" s="2" t="str">
        <f>"0195-9131"</f>
        <v>0195-9131</v>
      </c>
      <c r="F2" s="2" t="str">
        <f>"2005 May"</f>
        <v>2005 May</v>
      </c>
      <c r="G2" s="2">
        <v>37</v>
      </c>
      <c r="H2" s="2">
        <v>5</v>
      </c>
      <c r="I2" s="2">
        <v>860</v>
      </c>
      <c r="K2" s="2">
        <v>15870642</v>
      </c>
      <c r="L2" s="1" t="s">
        <v>5641</v>
      </c>
      <c r="M2" s="1" t="s">
        <v>156</v>
      </c>
      <c r="N2" s="1" t="s">
        <v>21</v>
      </c>
      <c r="O2" s="1" t="s">
        <v>5642</v>
      </c>
      <c r="Q2" s="2" t="s">
        <v>5643</v>
      </c>
      <c r="R2" s="9" t="s">
        <v>5644</v>
      </c>
    </row>
    <row r="3" spans="1:18" ht="120" x14ac:dyDescent="0.25">
      <c r="A3" s="1" t="s">
        <v>5645</v>
      </c>
      <c r="B3" s="1" t="s">
        <v>5646</v>
      </c>
      <c r="C3" s="1" t="s">
        <v>102</v>
      </c>
      <c r="D3" s="2" t="str">
        <f>"1473-0480"</f>
        <v>1473-0480</v>
      </c>
      <c r="F3" s="2" t="str">
        <f>"2005 Oct"</f>
        <v>2005 Oct</v>
      </c>
      <c r="G3" s="2">
        <v>39</v>
      </c>
      <c r="H3" s="2">
        <v>10</v>
      </c>
      <c r="I3" s="2">
        <v>752</v>
      </c>
      <c r="K3" s="2">
        <v>16183773</v>
      </c>
      <c r="L3" s="1" t="s">
        <v>5647</v>
      </c>
      <c r="M3" s="1" t="s">
        <v>106</v>
      </c>
      <c r="N3" s="1" t="s">
        <v>21</v>
      </c>
      <c r="O3" s="1" t="s">
        <v>5648</v>
      </c>
      <c r="Q3" s="2" t="s">
        <v>5649</v>
      </c>
      <c r="R3" s="9" t="s">
        <v>5650</v>
      </c>
    </row>
    <row r="4" spans="1:18" ht="75" x14ac:dyDescent="0.25">
      <c r="A4" s="1" t="s">
        <v>5651</v>
      </c>
      <c r="B4" s="1" t="s">
        <v>5652</v>
      </c>
      <c r="C4" s="1" t="s">
        <v>545</v>
      </c>
      <c r="D4" s="2" t="str">
        <f>"8750-7587"</f>
        <v>8750-7587</v>
      </c>
      <c r="F4" s="2" t="str">
        <f>"2005 Nov"</f>
        <v>2005 Nov</v>
      </c>
      <c r="G4" s="2">
        <v>99</v>
      </c>
      <c r="H4" s="2">
        <v>5</v>
      </c>
      <c r="I4" s="2">
        <v>2055</v>
      </c>
      <c r="K4" s="2">
        <v>16227464</v>
      </c>
      <c r="L4" s="1" t="s">
        <v>5653</v>
      </c>
      <c r="M4" s="1" t="s">
        <v>547</v>
      </c>
      <c r="N4" s="1" t="s">
        <v>21</v>
      </c>
      <c r="O4" s="1" t="s">
        <v>5654</v>
      </c>
      <c r="R4" s="9" t="s">
        <v>5655</v>
      </c>
    </row>
    <row r="5" spans="1:18" ht="45" x14ac:dyDescent="0.25">
      <c r="A5" s="1" t="s">
        <v>5656</v>
      </c>
      <c r="F5" s="2" t="str">
        <f>"20050101"</f>
        <v>20050101</v>
      </c>
      <c r="K5" s="2" t="s">
        <v>5657</v>
      </c>
      <c r="M5" s="1" t="s">
        <v>5478</v>
      </c>
      <c r="N5" s="1" t="s">
        <v>5479</v>
      </c>
      <c r="O5" s="1" t="s">
        <v>5658</v>
      </c>
      <c r="Q5" s="2" t="s">
        <v>5659</v>
      </c>
      <c r="R5" s="9" t="s">
        <v>5660</v>
      </c>
    </row>
    <row r="6" spans="1:18" ht="120" x14ac:dyDescent="0.25">
      <c r="A6" s="1" t="s">
        <v>5661</v>
      </c>
      <c r="B6" s="1" t="s">
        <v>5662</v>
      </c>
      <c r="C6" s="1" t="s">
        <v>36</v>
      </c>
      <c r="D6" s="2" t="str">
        <f>"1526-484X"</f>
        <v>1526-484X</v>
      </c>
      <c r="F6" s="2" t="str">
        <f>"2005 Dec"</f>
        <v>2005 Dec</v>
      </c>
      <c r="G6" s="2">
        <v>15</v>
      </c>
      <c r="H6" s="2">
        <v>6</v>
      </c>
      <c r="I6" s="2">
        <v>573</v>
      </c>
      <c r="K6" s="2">
        <v>16521844</v>
      </c>
      <c r="L6" s="1" t="s">
        <v>5663</v>
      </c>
      <c r="M6" s="1" t="s">
        <v>40</v>
      </c>
      <c r="N6" s="1" t="s">
        <v>3421</v>
      </c>
      <c r="O6" s="1" t="s">
        <v>5664</v>
      </c>
      <c r="Q6" s="2" t="s">
        <v>5665</v>
      </c>
      <c r="R6" s="9" t="s">
        <v>5666</v>
      </c>
    </row>
    <row r="7" spans="1:18" ht="90" x14ac:dyDescent="0.25">
      <c r="A7" s="1" t="s">
        <v>5667</v>
      </c>
      <c r="B7" s="1" t="s">
        <v>5668</v>
      </c>
      <c r="C7" s="1" t="s">
        <v>102</v>
      </c>
      <c r="D7" s="2" t="str">
        <f>"1473-0480"</f>
        <v>1473-0480</v>
      </c>
      <c r="F7" s="2" t="str">
        <f>"2005 Feb"</f>
        <v>2005 Feb</v>
      </c>
      <c r="G7" s="2">
        <v>39</v>
      </c>
      <c r="H7" s="2">
        <v>2</v>
      </c>
      <c r="I7" s="2">
        <v>84</v>
      </c>
      <c r="K7" s="2">
        <v>15665203</v>
      </c>
      <c r="L7" s="1" t="s">
        <v>5669</v>
      </c>
      <c r="M7" s="1" t="s">
        <v>106</v>
      </c>
      <c r="N7" s="1" t="s">
        <v>646</v>
      </c>
      <c r="O7" s="1" t="s">
        <v>5670</v>
      </c>
      <c r="Q7" s="2" t="s">
        <v>5671</v>
      </c>
      <c r="R7" s="9" t="s">
        <v>5672</v>
      </c>
    </row>
    <row r="8" spans="1:18" ht="105" x14ac:dyDescent="0.25">
      <c r="A8" s="1" t="s">
        <v>5673</v>
      </c>
      <c r="B8" s="1" t="s">
        <v>5674</v>
      </c>
      <c r="C8" s="1" t="s">
        <v>545</v>
      </c>
      <c r="D8" s="2" t="str">
        <f>"8750-7587"</f>
        <v>8750-7587</v>
      </c>
      <c r="F8" s="2" t="str">
        <f>"2005 Nov"</f>
        <v>2005 Nov</v>
      </c>
      <c r="G8" s="2">
        <v>99</v>
      </c>
      <c r="H8" s="2">
        <v>5</v>
      </c>
      <c r="I8" s="2">
        <v>1745</v>
      </c>
      <c r="K8" s="2">
        <v>15976358</v>
      </c>
      <c r="L8" s="1" t="s">
        <v>5675</v>
      </c>
      <c r="M8" s="1" t="s">
        <v>547</v>
      </c>
      <c r="N8" s="1" t="s">
        <v>21</v>
      </c>
      <c r="O8" s="1" t="s">
        <v>5676</v>
      </c>
      <c r="Q8" s="2" t="s">
        <v>5677</v>
      </c>
      <c r="R8" s="9" t="s">
        <v>5678</v>
      </c>
    </row>
    <row r="9" spans="1:18" ht="30" x14ac:dyDescent="0.25">
      <c r="A9" s="1" t="s">
        <v>5679</v>
      </c>
      <c r="B9" s="1" t="s">
        <v>5680</v>
      </c>
      <c r="C9" s="1" t="s">
        <v>5681</v>
      </c>
      <c r="D9" s="2" t="str">
        <f>"1474-547X"</f>
        <v>1474-547X</v>
      </c>
      <c r="F9" s="2" t="str">
        <f>"2005 Dec"</f>
        <v>2005 Dec</v>
      </c>
      <c r="G9" s="2" t="s">
        <v>5682</v>
      </c>
      <c r="I9" s="2" t="s">
        <v>5683</v>
      </c>
      <c r="K9" s="2">
        <v>16360738</v>
      </c>
      <c r="L9" s="1" t="s">
        <v>5684</v>
      </c>
      <c r="M9" s="1" t="s">
        <v>1835</v>
      </c>
      <c r="N9" s="1" t="s">
        <v>21</v>
      </c>
      <c r="O9" s="1" t="s">
        <v>5685</v>
      </c>
      <c r="R9" s="9" t="s">
        <v>5686</v>
      </c>
    </row>
    <row r="10" spans="1:18" ht="60" x14ac:dyDescent="0.25">
      <c r="A10" s="1" t="s">
        <v>5687</v>
      </c>
      <c r="B10" s="1" t="s">
        <v>5571</v>
      </c>
      <c r="C10" s="1" t="s">
        <v>55</v>
      </c>
      <c r="D10" s="2" t="str">
        <f>"1440-2440"</f>
        <v>1440-2440</v>
      </c>
      <c r="F10" s="2" t="str">
        <f>"2005 Sep"</f>
        <v>2005 Sep</v>
      </c>
      <c r="G10" s="2">
        <v>8</v>
      </c>
      <c r="H10" s="2">
        <v>3</v>
      </c>
      <c r="I10" s="2">
        <v>321</v>
      </c>
      <c r="K10" s="2">
        <v>16248473</v>
      </c>
      <c r="L10" s="1" t="s">
        <v>5688</v>
      </c>
      <c r="M10" s="1" t="s">
        <v>59</v>
      </c>
      <c r="N10" s="1" t="s">
        <v>21</v>
      </c>
      <c r="O10" s="1" t="s">
        <v>5689</v>
      </c>
      <c r="Q10" s="2" t="s">
        <v>5690</v>
      </c>
      <c r="R10" s="9" t="s">
        <v>5691</v>
      </c>
    </row>
    <row r="11" spans="1:18" ht="150" x14ac:dyDescent="0.25">
      <c r="A11" s="1" t="s">
        <v>5692</v>
      </c>
      <c r="B11" s="1" t="s">
        <v>5693</v>
      </c>
      <c r="C11" s="1" t="s">
        <v>102</v>
      </c>
      <c r="D11" s="2" t="str">
        <f>"1473-0480"</f>
        <v>1473-0480</v>
      </c>
      <c r="F11" s="2" t="str">
        <f>"2005 Jan"</f>
        <v>2005 Jan</v>
      </c>
      <c r="G11" s="2">
        <v>39</v>
      </c>
      <c r="H11" s="2">
        <v>1</v>
      </c>
      <c r="I11" s="2" t="s">
        <v>5694</v>
      </c>
      <c r="K11" s="2">
        <v>15618325</v>
      </c>
      <c r="L11" s="1" t="s">
        <v>5695</v>
      </c>
      <c r="M11" s="1" t="s">
        <v>106</v>
      </c>
      <c r="N11" s="1" t="s">
        <v>2054</v>
      </c>
      <c r="O11" s="1" t="s">
        <v>5696</v>
      </c>
      <c r="Q11" s="2" t="s">
        <v>5697</v>
      </c>
      <c r="R11" s="9" t="s">
        <v>5698</v>
      </c>
    </row>
    <row r="12" spans="1:18" ht="75" x14ac:dyDescent="0.25">
      <c r="A12" s="1" t="s">
        <v>5699</v>
      </c>
      <c r="B12" s="1" t="s">
        <v>5700</v>
      </c>
      <c r="C12" s="1" t="s">
        <v>5701</v>
      </c>
      <c r="D12" s="2" t="str">
        <f>"0306-6800"</f>
        <v>0306-6800</v>
      </c>
      <c r="F12" s="2" t="str">
        <f>"2005 Feb"</f>
        <v>2005 Feb</v>
      </c>
      <c r="G12" s="2">
        <v>31</v>
      </c>
      <c r="H12" s="2">
        <v>2</v>
      </c>
      <c r="I12" s="2">
        <v>115</v>
      </c>
      <c r="K12" s="2">
        <v>15681682</v>
      </c>
      <c r="L12" s="1" t="s">
        <v>5702</v>
      </c>
      <c r="M12" s="1" t="s">
        <v>106</v>
      </c>
      <c r="N12" s="1" t="s">
        <v>21</v>
      </c>
      <c r="O12" s="1" t="s">
        <v>5703</v>
      </c>
      <c r="R12" s="9" t="s">
        <v>5704</v>
      </c>
    </row>
    <row r="13" spans="1:18" ht="60" x14ac:dyDescent="0.25">
      <c r="A13" s="1" t="s">
        <v>5705</v>
      </c>
      <c r="B13" s="1" t="s">
        <v>5706</v>
      </c>
      <c r="C13" s="1" t="s">
        <v>797</v>
      </c>
      <c r="D13" s="2" t="str">
        <f>"0195-9131"</f>
        <v>0195-9131</v>
      </c>
      <c r="F13" s="2" t="str">
        <f>"2005 Aug"</f>
        <v>2005 Aug</v>
      </c>
      <c r="G13" s="2">
        <v>37</v>
      </c>
      <c r="H13" s="2">
        <v>8</v>
      </c>
      <c r="I13" s="2">
        <v>1387</v>
      </c>
      <c r="K13" s="2">
        <v>16118587</v>
      </c>
      <c r="L13" s="1" t="s">
        <v>5707</v>
      </c>
      <c r="M13" s="1" t="s">
        <v>156</v>
      </c>
      <c r="N13" s="1" t="s">
        <v>21</v>
      </c>
      <c r="O13" s="1" t="s">
        <v>5708</v>
      </c>
      <c r="Q13" s="2" t="s">
        <v>5709</v>
      </c>
      <c r="R13" s="9" t="s">
        <v>5710</v>
      </c>
    </row>
    <row r="14" spans="1:18" ht="45" x14ac:dyDescent="0.25">
      <c r="A14" s="1" t="s">
        <v>5711</v>
      </c>
      <c r="B14" s="1" t="s">
        <v>5712</v>
      </c>
      <c r="E14" s="2" t="str">
        <f>"1740130707"</f>
        <v>1740130707</v>
      </c>
      <c r="F14" s="2" t="str">
        <f>"20050101"</f>
        <v>20050101</v>
      </c>
      <c r="K14" s="2" t="s">
        <v>5713</v>
      </c>
      <c r="M14" s="1" t="s">
        <v>5478</v>
      </c>
      <c r="N14" s="1" t="s">
        <v>5479</v>
      </c>
      <c r="O14" s="1" t="s">
        <v>5714</v>
      </c>
      <c r="R14" s="9" t="s">
        <v>5715</v>
      </c>
    </row>
    <row r="15" spans="1:18" ht="105" x14ac:dyDescent="0.25">
      <c r="A15" s="1" t="s">
        <v>5716</v>
      </c>
      <c r="B15" s="1" t="s">
        <v>5717</v>
      </c>
      <c r="C15" s="1" t="s">
        <v>112</v>
      </c>
      <c r="D15" s="2" t="str">
        <f>"1050-642X"</f>
        <v>1050-642X</v>
      </c>
      <c r="F15" s="2" t="str">
        <f>"2005 Jul"</f>
        <v>2005 Jul</v>
      </c>
      <c r="G15" s="2">
        <v>15</v>
      </c>
      <c r="H15" s="2">
        <v>4</v>
      </c>
      <c r="I15" s="2">
        <v>246</v>
      </c>
      <c r="K15" s="2">
        <v>16003039</v>
      </c>
      <c r="L15" s="1" t="s">
        <v>5718</v>
      </c>
      <c r="M15" s="1" t="s">
        <v>116</v>
      </c>
      <c r="N15" s="1" t="s">
        <v>21</v>
      </c>
      <c r="O15" s="1" t="s">
        <v>5719</v>
      </c>
      <c r="Q15" s="2" t="s">
        <v>5720</v>
      </c>
      <c r="R15" s="9" t="s">
        <v>5721</v>
      </c>
    </row>
    <row r="16" spans="1:18" ht="45" x14ac:dyDescent="0.25">
      <c r="A16" s="1" t="s">
        <v>5722</v>
      </c>
      <c r="B16" s="1" t="s">
        <v>5723</v>
      </c>
      <c r="E16" s="2" t="str">
        <f>"1740130804"</f>
        <v>1740130804</v>
      </c>
      <c r="F16" s="2" t="str">
        <f>"20050101"</f>
        <v>20050101</v>
      </c>
      <c r="K16" s="2" t="s">
        <v>5724</v>
      </c>
      <c r="M16" s="1" t="s">
        <v>5478</v>
      </c>
      <c r="N16" s="1" t="s">
        <v>5479</v>
      </c>
      <c r="O16" s="1" t="s">
        <v>5725</v>
      </c>
      <c r="R16" s="9" t="s">
        <v>5726</v>
      </c>
    </row>
    <row r="17" spans="1:18" ht="45" x14ac:dyDescent="0.25">
      <c r="A17" s="1" t="s">
        <v>5727</v>
      </c>
      <c r="F17" s="2" t="str">
        <f>"20050101"</f>
        <v>20050101</v>
      </c>
      <c r="K17" s="2" t="s">
        <v>5728</v>
      </c>
      <c r="M17" s="1" t="s">
        <v>5478</v>
      </c>
      <c r="N17" s="1" t="s">
        <v>5479</v>
      </c>
      <c r="O17" s="1" t="s">
        <v>5729</v>
      </c>
      <c r="R17" s="9" t="s">
        <v>5730</v>
      </c>
    </row>
    <row r="18" spans="1:18" ht="120" x14ac:dyDescent="0.25">
      <c r="A18" s="1" t="s">
        <v>5731</v>
      </c>
      <c r="B18" s="1" t="s">
        <v>5732</v>
      </c>
      <c r="C18" s="1" t="s">
        <v>16</v>
      </c>
      <c r="D18" s="2" t="str">
        <f>"1476-3141"</f>
        <v>1476-3141</v>
      </c>
      <c r="F18" s="2" t="str">
        <f>"2005 Jan"</f>
        <v>2005 Jan</v>
      </c>
      <c r="G18" s="2">
        <v>4</v>
      </c>
      <c r="H18" s="2">
        <v>1</v>
      </c>
      <c r="I18" s="2">
        <v>17</v>
      </c>
      <c r="K18" s="2">
        <v>15807374</v>
      </c>
      <c r="L18" s="1" t="s">
        <v>5733</v>
      </c>
      <c r="M18" s="1" t="s">
        <v>20</v>
      </c>
      <c r="N18" s="1" t="s">
        <v>21</v>
      </c>
      <c r="O18" s="1" t="s">
        <v>5734</v>
      </c>
      <c r="Q18" s="2" t="s">
        <v>5735</v>
      </c>
      <c r="R18" s="9" t="s">
        <v>5736</v>
      </c>
    </row>
    <row r="19" spans="1:18" ht="120" x14ac:dyDescent="0.25">
      <c r="A19" s="1" t="s">
        <v>5737</v>
      </c>
      <c r="B19" s="1" t="s">
        <v>5738</v>
      </c>
      <c r="C19" s="1" t="s">
        <v>102</v>
      </c>
      <c r="D19" s="2" t="str">
        <f>"1473-0480"</f>
        <v>1473-0480</v>
      </c>
      <c r="F19" s="2" t="str">
        <f>"2005 Oct"</f>
        <v>2005 Oct</v>
      </c>
      <c r="G19" s="2">
        <v>39</v>
      </c>
      <c r="H19" s="2">
        <v>10</v>
      </c>
      <c r="I19" s="2">
        <v>736</v>
      </c>
      <c r="K19" s="2">
        <v>16183770</v>
      </c>
      <c r="L19" s="1" t="s">
        <v>5739</v>
      </c>
      <c r="M19" s="1" t="s">
        <v>106</v>
      </c>
      <c r="N19" s="1" t="s">
        <v>21</v>
      </c>
      <c r="O19" s="1" t="s">
        <v>5740</v>
      </c>
      <c r="Q19" s="2" t="s">
        <v>5741</v>
      </c>
      <c r="R19" s="9" t="s">
        <v>5742</v>
      </c>
    </row>
    <row r="20" spans="1:18" ht="75" x14ac:dyDescent="0.25">
      <c r="A20" s="1" t="s">
        <v>5743</v>
      </c>
      <c r="B20" s="1" t="s">
        <v>5744</v>
      </c>
      <c r="C20" s="1" t="s">
        <v>46</v>
      </c>
      <c r="D20" s="2" t="str">
        <f>"1439-6319"</f>
        <v>1439-6319</v>
      </c>
      <c r="F20" s="2" t="str">
        <f>"2005 Dec"</f>
        <v>2005 Dec</v>
      </c>
      <c r="G20" s="2">
        <v>95</v>
      </c>
      <c r="H20" s="10">
        <v>44717</v>
      </c>
      <c r="I20" s="2">
        <v>529</v>
      </c>
      <c r="K20" s="2">
        <v>16151832</v>
      </c>
      <c r="L20" s="1" t="s">
        <v>5745</v>
      </c>
      <c r="M20" s="1" t="s">
        <v>50</v>
      </c>
      <c r="N20" s="1" t="s">
        <v>21</v>
      </c>
      <c r="O20" s="1" t="s">
        <v>5746</v>
      </c>
      <c r="Q20" s="2" t="s">
        <v>5747</v>
      </c>
      <c r="R20" s="9" t="s">
        <v>5748</v>
      </c>
    </row>
    <row r="21" spans="1:18" ht="90" x14ac:dyDescent="0.25">
      <c r="A21" s="1" t="s">
        <v>5749</v>
      </c>
      <c r="B21" s="1" t="s">
        <v>5750</v>
      </c>
      <c r="C21" s="1" t="s">
        <v>5751</v>
      </c>
      <c r="D21" s="2" t="str">
        <f>"1087-1640"</f>
        <v>1087-1640</v>
      </c>
      <c r="F21" s="2" t="str">
        <f>"2005 Jul"</f>
        <v>2005 Jul</v>
      </c>
      <c r="G21" s="2">
        <v>9</v>
      </c>
      <c r="H21" s="2">
        <v>3</v>
      </c>
      <c r="I21" s="2">
        <v>332</v>
      </c>
      <c r="K21" s="2">
        <v>16239719</v>
      </c>
      <c r="M21" s="1" t="s">
        <v>322</v>
      </c>
      <c r="N21" s="1" t="s">
        <v>21</v>
      </c>
      <c r="O21" s="1" t="s">
        <v>5752</v>
      </c>
      <c r="Q21" s="2" t="s">
        <v>5753</v>
      </c>
      <c r="R21" s="9" t="s">
        <v>5754</v>
      </c>
    </row>
    <row r="22" spans="1:18" ht="45" x14ac:dyDescent="0.25">
      <c r="A22" s="1" t="s">
        <v>5755</v>
      </c>
      <c r="F22" s="2" t="str">
        <f>"20050101"</f>
        <v>20050101</v>
      </c>
      <c r="K22" s="2" t="s">
        <v>5756</v>
      </c>
      <c r="M22" s="1" t="s">
        <v>5478</v>
      </c>
      <c r="N22" s="1" t="s">
        <v>5479</v>
      </c>
      <c r="O22" s="1" t="s">
        <v>5757</v>
      </c>
      <c r="R22" s="9" t="s">
        <v>5758</v>
      </c>
    </row>
    <row r="23" spans="1:18" ht="45" x14ac:dyDescent="0.25">
      <c r="A23" s="1" t="s">
        <v>5759</v>
      </c>
      <c r="F23" s="2" t="str">
        <f>"20050101"</f>
        <v>20050101</v>
      </c>
      <c r="K23" s="2" t="s">
        <v>5760</v>
      </c>
      <c r="M23" s="1" t="s">
        <v>5478</v>
      </c>
      <c r="N23" s="1" t="s">
        <v>5479</v>
      </c>
      <c r="O23" s="1" t="s">
        <v>5761</v>
      </c>
      <c r="R23" s="9" t="s">
        <v>5762</v>
      </c>
    </row>
    <row r="24" spans="1:18" ht="180" x14ac:dyDescent="0.25">
      <c r="A24" s="1" t="s">
        <v>5763</v>
      </c>
      <c r="B24" s="1" t="s">
        <v>5764</v>
      </c>
      <c r="C24" s="1" t="s">
        <v>46</v>
      </c>
      <c r="D24" s="2" t="str">
        <f>"1439-6319"</f>
        <v>1439-6319</v>
      </c>
      <c r="F24" s="2" t="str">
        <f>"2005 Aug"</f>
        <v>2005 Aug</v>
      </c>
      <c r="G24" s="2">
        <v>94</v>
      </c>
      <c r="H24" s="10">
        <v>44717</v>
      </c>
      <c r="I24" s="2">
        <v>569</v>
      </c>
      <c r="K24" s="2">
        <v>15940534</v>
      </c>
      <c r="L24" s="1" t="s">
        <v>5765</v>
      </c>
      <c r="M24" s="1" t="s">
        <v>50</v>
      </c>
      <c r="N24" s="1" t="s">
        <v>646</v>
      </c>
      <c r="O24" s="1" t="s">
        <v>5766</v>
      </c>
      <c r="Q24" s="2" t="s">
        <v>5767</v>
      </c>
      <c r="R24" s="9" t="s">
        <v>5768</v>
      </c>
    </row>
    <row r="25" spans="1:18" ht="60" x14ac:dyDescent="0.25">
      <c r="A25" s="1" t="s">
        <v>5769</v>
      </c>
      <c r="B25" s="1" t="s">
        <v>5770</v>
      </c>
      <c r="C25" s="1" t="s">
        <v>55</v>
      </c>
      <c r="D25" s="2" t="str">
        <f>"1440-2440"</f>
        <v>1440-2440</v>
      </c>
      <c r="F25" s="2" t="str">
        <f>"2005 Jun"</f>
        <v>2005 Jun</v>
      </c>
      <c r="G25" s="2">
        <v>8</v>
      </c>
      <c r="H25" s="2">
        <v>2</v>
      </c>
      <c r="I25" s="2">
        <v>222</v>
      </c>
      <c r="K25" s="2">
        <v>16075782</v>
      </c>
      <c r="L25" s="1" t="s">
        <v>5771</v>
      </c>
      <c r="M25" s="1" t="s">
        <v>59</v>
      </c>
      <c r="N25" s="1" t="s">
        <v>646</v>
      </c>
      <c r="O25" s="1" t="s">
        <v>5772</v>
      </c>
      <c r="Q25" s="2" t="s">
        <v>5773</v>
      </c>
      <c r="R25" s="9" t="s">
        <v>5774</v>
      </c>
    </row>
    <row r="26" spans="1:18" ht="75" x14ac:dyDescent="0.25">
      <c r="A26" s="1" t="s">
        <v>5775</v>
      </c>
      <c r="B26" s="1" t="s">
        <v>5776</v>
      </c>
      <c r="C26" s="1" t="s">
        <v>55</v>
      </c>
      <c r="D26" s="2" t="str">
        <f>"1440-2440"</f>
        <v>1440-2440</v>
      </c>
      <c r="F26" s="2" t="str">
        <f>"2005 Mar"</f>
        <v>2005 Mar</v>
      </c>
      <c r="G26" s="2">
        <v>8</v>
      </c>
      <c r="H26" s="2">
        <v>1</v>
      </c>
      <c r="I26" s="2">
        <v>52</v>
      </c>
      <c r="K26" s="2">
        <v>15887901</v>
      </c>
      <c r="L26" s="1" t="s">
        <v>5777</v>
      </c>
      <c r="M26" s="1" t="s">
        <v>59</v>
      </c>
      <c r="N26" s="1" t="s">
        <v>646</v>
      </c>
      <c r="O26" s="1" t="s">
        <v>5778</v>
      </c>
      <c r="Q26" s="2" t="s">
        <v>5779</v>
      </c>
      <c r="R26" s="9" t="s">
        <v>5780</v>
      </c>
    </row>
    <row r="27" spans="1:18" ht="30" x14ac:dyDescent="0.25">
      <c r="A27" s="1" t="s">
        <v>5781</v>
      </c>
      <c r="B27" s="1" t="s">
        <v>5782</v>
      </c>
      <c r="C27" s="1" t="s">
        <v>921</v>
      </c>
      <c r="D27" s="2" t="str">
        <f>"0264-0414"</f>
        <v>0264-0414</v>
      </c>
      <c r="F27" s="2" t="str">
        <f>"2005 May"</f>
        <v>2005 May</v>
      </c>
      <c r="G27" s="2">
        <v>23</v>
      </c>
      <c r="H27" s="2">
        <v>5</v>
      </c>
      <c r="I27" s="2">
        <v>523</v>
      </c>
      <c r="K27" s="2">
        <v>16195000</v>
      </c>
      <c r="L27" s="1" t="s">
        <v>5783</v>
      </c>
      <c r="M27" s="1" t="s">
        <v>923</v>
      </c>
      <c r="N27" s="1" t="s">
        <v>21</v>
      </c>
      <c r="O27" s="1" t="s">
        <v>5784</v>
      </c>
      <c r="Q27" s="2" t="s">
        <v>5785</v>
      </c>
      <c r="R27" s="9" t="s">
        <v>5786</v>
      </c>
    </row>
    <row r="28" spans="1:18" ht="120" x14ac:dyDescent="0.25">
      <c r="A28" s="1" t="s">
        <v>5787</v>
      </c>
      <c r="B28" s="1" t="s">
        <v>5788</v>
      </c>
      <c r="C28" s="1" t="s">
        <v>466</v>
      </c>
      <c r="D28" s="2" t="str">
        <f>"1064-8011"</f>
        <v>1064-8011</v>
      </c>
      <c r="F28" s="2" t="str">
        <f>"2005 May"</f>
        <v>2005 May</v>
      </c>
      <c r="G28" s="2">
        <v>19</v>
      </c>
      <c r="H28" s="2">
        <v>2</v>
      </c>
      <c r="I28" s="2">
        <v>382</v>
      </c>
      <c r="K28" s="2">
        <v>15903379</v>
      </c>
      <c r="L28" s="1" t="s">
        <v>5789</v>
      </c>
      <c r="M28" s="1" t="s">
        <v>468</v>
      </c>
      <c r="N28" s="1" t="s">
        <v>646</v>
      </c>
      <c r="O28" s="1" t="s">
        <v>5790</v>
      </c>
      <c r="Q28" s="2" t="s">
        <v>5791</v>
      </c>
      <c r="R28" s="9" t="s">
        <v>5792</v>
      </c>
    </row>
  </sheetData>
  <hyperlinks>
    <hyperlink ref="R2" r:id="rId1" xr:uid="{6CCB4EB8-F654-47E2-8C27-6A833752035A}"/>
    <hyperlink ref="R3" r:id="rId2" xr:uid="{28A4445D-F385-480C-8639-8A60F67D41CD}"/>
    <hyperlink ref="R4" r:id="rId3" xr:uid="{E3B25E5D-C8EA-46CF-A111-E5E4D6BD2383}"/>
    <hyperlink ref="R5" r:id="rId4" xr:uid="{1CD3D7B2-1DF0-4FCF-858A-41E335B1E6F4}"/>
    <hyperlink ref="R6" r:id="rId5" xr:uid="{67D197EB-809E-45D7-9845-DE8DDE3AE67B}"/>
    <hyperlink ref="R7" r:id="rId6" xr:uid="{2AE079E9-E004-4C7B-A838-8444C0DEA39B}"/>
    <hyperlink ref="R8" r:id="rId7" xr:uid="{754C960C-8B52-4537-8D20-FF14B612BFF1}"/>
    <hyperlink ref="R9" r:id="rId8" xr:uid="{05527045-065E-4CE3-B87C-10A04E89D838}"/>
    <hyperlink ref="R10" r:id="rId9" xr:uid="{AA4C5856-D6D0-43CF-B238-9F4705CE3C8D}"/>
    <hyperlink ref="R11" r:id="rId10" xr:uid="{28CCBBE6-9C76-4D10-8AF5-2F520F9D3947}"/>
    <hyperlink ref="R12" r:id="rId11" xr:uid="{EA139E1B-71F1-45E1-8A06-0ACEF28E9A35}"/>
    <hyperlink ref="R13" r:id="rId12" xr:uid="{81E8B489-17DB-4CA1-ACF4-D44AD7778EA0}"/>
    <hyperlink ref="R14" r:id="rId13" xr:uid="{4E6BEB82-325B-4BF6-B12A-EBC0AA29F6A4}"/>
    <hyperlink ref="R15" r:id="rId14" xr:uid="{5795CB11-674F-4CB1-9FF7-57E423B154FD}"/>
    <hyperlink ref="R16" r:id="rId15" xr:uid="{892BCABC-6108-41CF-9CEC-2CB90D533C80}"/>
    <hyperlink ref="R17" r:id="rId16" xr:uid="{DBD1DD71-C6FA-4CA5-9DA0-99AE53643E94}"/>
    <hyperlink ref="R18" r:id="rId17" xr:uid="{B91E5E44-A9DF-4394-8AD1-A026606C8039}"/>
    <hyperlink ref="R19" r:id="rId18" xr:uid="{2764F63C-0F08-4448-A6EF-8E2659A9D960}"/>
    <hyperlink ref="R20" r:id="rId19" xr:uid="{E7DF67E1-A5E1-4EBA-9ECB-05D0A6CD9839}"/>
    <hyperlink ref="R21" r:id="rId20" xr:uid="{50CEF64F-8394-4013-9F26-11BFF9E3570B}"/>
    <hyperlink ref="R22" r:id="rId21" xr:uid="{163396EF-D5C2-41A1-BEE7-0ADC392DE81C}"/>
    <hyperlink ref="R23" r:id="rId22" xr:uid="{67CA0FCA-C9E3-43FD-8355-14D36B05EEC6}"/>
    <hyperlink ref="R24" r:id="rId23" xr:uid="{E8E865D4-E0B9-4646-A19D-9C5F4C52FCE2}"/>
    <hyperlink ref="R25" r:id="rId24" xr:uid="{24454CB9-1BA4-4C0B-9FAF-3398D9E4F725}"/>
    <hyperlink ref="R26" r:id="rId25" xr:uid="{D4A4B18D-0605-4E53-BB40-39D5F1FA2BB0}"/>
    <hyperlink ref="R27" r:id="rId26" xr:uid="{1D6C6404-3634-4401-A68E-788BA5A8DE29}"/>
    <hyperlink ref="R28" r:id="rId27" xr:uid="{837C8F9F-3417-4336-8622-CB0FED0C7876}"/>
  </hyperlinks>
  <pageMargins left="0.7" right="0.7" top="0.75" bottom="0.75" header="0.3" footer="0.3"/>
  <headerFooter>
    <oddHeader>&amp;C&amp;"Calibri"&amp;12&amp;KFF0000 OFFICIAL&amp;1#_x000D_</oddHeader>
  </headerFooter>
  <tableParts count="1">
    <tablePart r:id="rId28"/>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R31"/>
  <sheetViews>
    <sheetView workbookViewId="0">
      <selection activeCell="N2" sqref="N2"/>
    </sheetView>
  </sheetViews>
  <sheetFormatPr defaultColWidth="8.7109375" defaultRowHeight="15" x14ac:dyDescent="0.25"/>
  <cols>
    <col min="1" max="1" width="39.42578125" style="1" customWidth="1"/>
    <col min="2" max="2" width="28.85546875" style="1" customWidth="1"/>
    <col min="3" max="3" width="30.42578125" style="1" customWidth="1"/>
    <col min="4" max="4" width="9.42578125" style="2" bestFit="1" customWidth="1"/>
    <col min="5" max="5" width="10.85546875" style="2" bestFit="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24.42578125" style="1" customWidth="1"/>
    <col min="13" max="13" width="21.85546875" style="1" customWidth="1"/>
    <col min="14" max="14" width="20.28515625" style="1" customWidth="1"/>
    <col min="15" max="15" width="50.42578125" style="1" customWidth="1"/>
    <col min="16" max="16" width="11.140625" style="2" hidden="1" customWidth="1"/>
    <col min="17" max="17" width="28.28515625" style="2" customWidth="1"/>
    <col min="18" max="18" width="27.28515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1" t="s">
        <v>8</v>
      </c>
      <c r="M1" s="1" t="s">
        <v>9</v>
      </c>
      <c r="N1" s="1" t="s">
        <v>10</v>
      </c>
      <c r="O1" s="1" t="s">
        <v>11</v>
      </c>
      <c r="P1" s="2" t="s">
        <v>779</v>
      </c>
      <c r="Q1" s="2" t="s">
        <v>12</v>
      </c>
      <c r="R1" s="2" t="s">
        <v>13</v>
      </c>
    </row>
    <row r="2" spans="1:18" ht="90" x14ac:dyDescent="0.25">
      <c r="A2" s="1" t="s">
        <v>5793</v>
      </c>
      <c r="B2" s="1" t="s">
        <v>5794</v>
      </c>
      <c r="C2" s="1" t="s">
        <v>102</v>
      </c>
      <c r="D2" s="2" t="str">
        <f>"1473-0480"</f>
        <v>1473-0480</v>
      </c>
      <c r="F2" s="2" t="str">
        <f>"2004 Aug"</f>
        <v>2004 Aug</v>
      </c>
      <c r="G2" s="3">
        <v>38</v>
      </c>
      <c r="H2" s="3">
        <v>4</v>
      </c>
      <c r="I2" s="3">
        <v>395</v>
      </c>
      <c r="K2" s="2">
        <v>15273169</v>
      </c>
      <c r="L2" s="1" t="s">
        <v>5795</v>
      </c>
      <c r="M2" s="1" t="s">
        <v>106</v>
      </c>
      <c r="N2" s="1" t="s">
        <v>21</v>
      </c>
      <c r="O2" s="1" t="s">
        <v>5796</v>
      </c>
      <c r="Q2" s="2" t="s">
        <v>5797</v>
      </c>
      <c r="R2" s="9" t="s">
        <v>5798</v>
      </c>
    </row>
    <row r="3" spans="1:18" ht="30" x14ac:dyDescent="0.25">
      <c r="A3" s="1" t="s">
        <v>5799</v>
      </c>
      <c r="F3" s="2" t="str">
        <f>"20040101"</f>
        <v>20040101</v>
      </c>
      <c r="K3" s="2" t="s">
        <v>5800</v>
      </c>
      <c r="M3" s="1" t="s">
        <v>5478</v>
      </c>
      <c r="N3" s="1" t="s">
        <v>5496</v>
      </c>
      <c r="O3" s="1" t="s">
        <v>5801</v>
      </c>
      <c r="Q3" s="2" t="s">
        <v>5802</v>
      </c>
      <c r="R3" s="9" t="s">
        <v>5803</v>
      </c>
    </row>
    <row r="4" spans="1:18" ht="45" x14ac:dyDescent="0.25">
      <c r="A4" s="1" t="s">
        <v>5804</v>
      </c>
      <c r="B4" s="1" t="s">
        <v>5805</v>
      </c>
      <c r="C4" s="1" t="s">
        <v>797</v>
      </c>
      <c r="D4" s="2" t="str">
        <f>"0195-9131"</f>
        <v>0195-9131</v>
      </c>
      <c r="F4" s="2" t="str">
        <f>"2004 Jul"</f>
        <v>2004 Jul</v>
      </c>
      <c r="G4" s="3">
        <v>36</v>
      </c>
      <c r="H4" s="3">
        <v>7</v>
      </c>
      <c r="I4" s="3">
        <v>1252</v>
      </c>
      <c r="K4" s="2">
        <v>15235334</v>
      </c>
      <c r="L4" s="1" t="s">
        <v>5806</v>
      </c>
      <c r="M4" s="1" t="s">
        <v>156</v>
      </c>
      <c r="N4" s="1" t="s">
        <v>924</v>
      </c>
      <c r="O4" s="1" t="s">
        <v>5807</v>
      </c>
      <c r="Q4" s="2" t="s">
        <v>5808</v>
      </c>
      <c r="R4" s="9" t="s">
        <v>5809</v>
      </c>
    </row>
    <row r="5" spans="1:18" ht="90" x14ac:dyDescent="0.25">
      <c r="A5" s="1" t="s">
        <v>5810</v>
      </c>
      <c r="B5" s="1" t="s">
        <v>4847</v>
      </c>
      <c r="C5" s="1" t="s">
        <v>797</v>
      </c>
      <c r="D5" s="2" t="str">
        <f>"0195-9131"</f>
        <v>0195-9131</v>
      </c>
      <c r="F5" s="2" t="str">
        <f>"2004 Feb"</f>
        <v>2004 Feb</v>
      </c>
      <c r="G5" s="3">
        <v>36</v>
      </c>
      <c r="H5" s="3">
        <v>2</v>
      </c>
      <c r="I5" s="3">
        <v>179</v>
      </c>
      <c r="K5" s="2">
        <v>14767236</v>
      </c>
      <c r="L5" s="1" t="s">
        <v>5811</v>
      </c>
      <c r="M5" s="1" t="s">
        <v>156</v>
      </c>
      <c r="N5" s="1" t="s">
        <v>21</v>
      </c>
      <c r="O5" s="1" t="s">
        <v>5812</v>
      </c>
      <c r="R5" s="9" t="s">
        <v>5813</v>
      </c>
    </row>
    <row r="6" spans="1:18" ht="90" x14ac:dyDescent="0.25">
      <c r="A6" s="1" t="s">
        <v>5814</v>
      </c>
      <c r="B6" s="1" t="s">
        <v>5815</v>
      </c>
      <c r="C6" s="1" t="s">
        <v>921</v>
      </c>
      <c r="D6" s="2" t="str">
        <f>"0264-0414"</f>
        <v>0264-0414</v>
      </c>
      <c r="F6" s="2" t="str">
        <f>"2004 Jan"</f>
        <v>2004 Jan</v>
      </c>
      <c r="G6" s="3">
        <v>22</v>
      </c>
      <c r="H6" s="3">
        <v>1</v>
      </c>
      <c r="I6" s="3">
        <v>15</v>
      </c>
      <c r="K6" s="2">
        <v>14971430</v>
      </c>
      <c r="L6" s="1" t="s">
        <v>5816</v>
      </c>
      <c r="M6" s="1" t="s">
        <v>923</v>
      </c>
      <c r="N6" s="1" t="s">
        <v>21</v>
      </c>
      <c r="O6" s="1" t="s">
        <v>5817</v>
      </c>
      <c r="Q6" s="2" t="s">
        <v>5818</v>
      </c>
      <c r="R6" s="9" t="s">
        <v>5819</v>
      </c>
    </row>
    <row r="7" spans="1:18" ht="60" x14ac:dyDescent="0.25">
      <c r="A7" s="1" t="s">
        <v>5820</v>
      </c>
      <c r="B7" s="1" t="s">
        <v>5821</v>
      </c>
      <c r="F7" s="2" t="str">
        <f>"20040101"</f>
        <v>20040101</v>
      </c>
      <c r="K7" s="2" t="s">
        <v>5822</v>
      </c>
      <c r="M7" s="1" t="s">
        <v>5823</v>
      </c>
      <c r="N7" s="1" t="s">
        <v>5479</v>
      </c>
      <c r="O7" s="1" t="s">
        <v>5824</v>
      </c>
      <c r="Q7" s="2" t="s">
        <v>5825</v>
      </c>
      <c r="R7" s="9" t="s">
        <v>5826</v>
      </c>
    </row>
    <row r="8" spans="1:18" ht="60" x14ac:dyDescent="0.25">
      <c r="A8" s="1" t="s">
        <v>5827</v>
      </c>
      <c r="B8" s="1" t="s">
        <v>5828</v>
      </c>
      <c r="C8" s="1" t="s">
        <v>444</v>
      </c>
      <c r="D8" s="2" t="str">
        <f>"0112-1642"</f>
        <v>0112-1642</v>
      </c>
      <c r="F8" s="2" t="str">
        <f>"2004"</f>
        <v>2004</v>
      </c>
      <c r="G8" s="3">
        <v>34</v>
      </c>
      <c r="H8" s="3">
        <v>14</v>
      </c>
      <c r="I8" s="3">
        <v>967</v>
      </c>
      <c r="K8" s="2">
        <v>15571428</v>
      </c>
      <c r="L8" s="1" t="s">
        <v>5829</v>
      </c>
      <c r="M8" s="1" t="s">
        <v>446</v>
      </c>
      <c r="N8" s="1" t="s">
        <v>21</v>
      </c>
      <c r="O8" s="1" t="s">
        <v>5830</v>
      </c>
      <c r="Q8" s="2" t="s">
        <v>5831</v>
      </c>
      <c r="R8" s="9" t="s">
        <v>5832</v>
      </c>
    </row>
    <row r="9" spans="1:18" ht="90" x14ac:dyDescent="0.25">
      <c r="A9" s="1" t="s">
        <v>5833</v>
      </c>
      <c r="B9" s="1" t="s">
        <v>5834</v>
      </c>
      <c r="C9" s="1" t="s">
        <v>545</v>
      </c>
      <c r="D9" s="2" t="str">
        <f>"8750-7587"</f>
        <v>8750-7587</v>
      </c>
      <c r="F9" s="2" t="str">
        <f>"2004 Oct"</f>
        <v>2004 Oct</v>
      </c>
      <c r="G9" s="3">
        <v>97</v>
      </c>
      <c r="H9" s="3">
        <v>4</v>
      </c>
      <c r="I9" s="3">
        <v>1245</v>
      </c>
      <c r="K9" s="2">
        <v>15155717</v>
      </c>
      <c r="L9" s="1" t="s">
        <v>5835</v>
      </c>
      <c r="M9" s="1" t="s">
        <v>547</v>
      </c>
      <c r="N9" s="1" t="s">
        <v>646</v>
      </c>
      <c r="O9" s="1" t="s">
        <v>5836</v>
      </c>
      <c r="Q9" s="2" t="s">
        <v>5837</v>
      </c>
      <c r="R9" s="9" t="s">
        <v>5838</v>
      </c>
    </row>
    <row r="10" spans="1:18" ht="60" x14ac:dyDescent="0.25">
      <c r="A10" s="1" t="s">
        <v>5839</v>
      </c>
      <c r="B10" s="1" t="s">
        <v>5840</v>
      </c>
      <c r="C10" s="1" t="s">
        <v>444</v>
      </c>
      <c r="D10" s="2" t="str">
        <f>"0112-1642"</f>
        <v>0112-1642</v>
      </c>
      <c r="F10" s="2" t="str">
        <f>"2004"</f>
        <v>2004</v>
      </c>
      <c r="G10" s="3">
        <v>34</v>
      </c>
      <c r="H10" s="3">
        <v>7</v>
      </c>
      <c r="I10" s="3">
        <v>465</v>
      </c>
      <c r="K10" s="2">
        <v>15233599</v>
      </c>
      <c r="L10" s="1" t="s">
        <v>5841</v>
      </c>
      <c r="M10" s="1" t="s">
        <v>446</v>
      </c>
      <c r="N10" s="1" t="s">
        <v>21</v>
      </c>
      <c r="O10" s="1" t="s">
        <v>5842</v>
      </c>
      <c r="Q10" s="2" t="s">
        <v>5843</v>
      </c>
      <c r="R10" s="9" t="s">
        <v>5844</v>
      </c>
    </row>
    <row r="11" spans="1:18" ht="45" x14ac:dyDescent="0.25">
      <c r="A11" s="1" t="s">
        <v>5845</v>
      </c>
      <c r="F11" s="2" t="str">
        <f t="shared" ref="F11:F17" si="0">"20040101"</f>
        <v>20040101</v>
      </c>
      <c r="K11" s="2" t="s">
        <v>5846</v>
      </c>
      <c r="M11" s="1" t="s">
        <v>5478</v>
      </c>
      <c r="N11" s="1" t="s">
        <v>5479</v>
      </c>
      <c r="O11" s="1" t="s">
        <v>5847</v>
      </c>
      <c r="R11" s="9" t="s">
        <v>5848</v>
      </c>
    </row>
    <row r="12" spans="1:18" ht="45" x14ac:dyDescent="0.25">
      <c r="A12" s="1" t="s">
        <v>5849</v>
      </c>
      <c r="F12" s="2" t="str">
        <f t="shared" si="0"/>
        <v>20040101</v>
      </c>
      <c r="K12" s="2" t="s">
        <v>5850</v>
      </c>
      <c r="M12" s="1" t="s">
        <v>5478</v>
      </c>
      <c r="N12" s="1" t="s">
        <v>5479</v>
      </c>
      <c r="O12" s="1" t="s">
        <v>5851</v>
      </c>
      <c r="R12" s="9" t="s">
        <v>5852</v>
      </c>
    </row>
    <row r="13" spans="1:18" ht="45" x14ac:dyDescent="0.25">
      <c r="A13" s="1" t="s">
        <v>5853</v>
      </c>
      <c r="F13" s="2" t="str">
        <f t="shared" si="0"/>
        <v>20040101</v>
      </c>
      <c r="K13" s="2" t="s">
        <v>5854</v>
      </c>
      <c r="M13" s="1" t="s">
        <v>5478</v>
      </c>
      <c r="N13" s="1" t="s">
        <v>5479</v>
      </c>
      <c r="O13" s="1" t="s">
        <v>5855</v>
      </c>
      <c r="R13" s="9" t="s">
        <v>5856</v>
      </c>
    </row>
    <row r="14" spans="1:18" ht="45" x14ac:dyDescent="0.25">
      <c r="A14" s="1" t="s">
        <v>5857</v>
      </c>
      <c r="F14" s="2" t="str">
        <f t="shared" si="0"/>
        <v>20040101</v>
      </c>
      <c r="K14" s="2" t="s">
        <v>5858</v>
      </c>
      <c r="M14" s="1" t="s">
        <v>5478</v>
      </c>
      <c r="N14" s="1" t="s">
        <v>5479</v>
      </c>
      <c r="O14" s="1" t="s">
        <v>5859</v>
      </c>
      <c r="R14" s="9" t="s">
        <v>5860</v>
      </c>
    </row>
    <row r="15" spans="1:18" ht="45" x14ac:dyDescent="0.25">
      <c r="A15" s="1" t="s">
        <v>5861</v>
      </c>
      <c r="F15" s="2" t="str">
        <f t="shared" si="0"/>
        <v>20040101</v>
      </c>
      <c r="K15" s="2" t="s">
        <v>5862</v>
      </c>
      <c r="M15" s="1" t="s">
        <v>5478</v>
      </c>
      <c r="N15" s="1" t="s">
        <v>5479</v>
      </c>
      <c r="O15" s="1" t="s">
        <v>5863</v>
      </c>
      <c r="R15" s="9" t="s">
        <v>5864</v>
      </c>
    </row>
    <row r="16" spans="1:18" ht="45" x14ac:dyDescent="0.25">
      <c r="A16" s="1" t="s">
        <v>5865</v>
      </c>
      <c r="F16" s="2" t="str">
        <f t="shared" si="0"/>
        <v>20040101</v>
      </c>
      <c r="K16" s="2" t="s">
        <v>5866</v>
      </c>
      <c r="M16" s="1" t="s">
        <v>5478</v>
      </c>
      <c r="N16" s="1" t="s">
        <v>5479</v>
      </c>
      <c r="O16" s="1" t="s">
        <v>5867</v>
      </c>
      <c r="R16" s="9" t="s">
        <v>5868</v>
      </c>
    </row>
    <row r="17" spans="1:18" ht="45" x14ac:dyDescent="0.25">
      <c r="A17" s="1" t="s">
        <v>5869</v>
      </c>
      <c r="F17" s="2" t="str">
        <f t="shared" si="0"/>
        <v>20040101</v>
      </c>
      <c r="K17" s="2" t="s">
        <v>5870</v>
      </c>
      <c r="M17" s="1" t="s">
        <v>5871</v>
      </c>
      <c r="N17" s="1" t="s">
        <v>5479</v>
      </c>
      <c r="O17" s="1" t="s">
        <v>5872</v>
      </c>
      <c r="R17" s="9" t="s">
        <v>5873</v>
      </c>
    </row>
    <row r="18" spans="1:18" ht="75" x14ac:dyDescent="0.25">
      <c r="A18" s="1" t="s">
        <v>5874</v>
      </c>
      <c r="B18" s="1" t="s">
        <v>5875</v>
      </c>
      <c r="C18" s="1" t="s">
        <v>545</v>
      </c>
      <c r="D18" s="2" t="str">
        <f>"8750-7587"</f>
        <v>8750-7587</v>
      </c>
      <c r="F18" s="2" t="str">
        <f>"2004 Mar"</f>
        <v>2004 Mar</v>
      </c>
      <c r="G18" s="3">
        <v>96</v>
      </c>
      <c r="H18" s="3">
        <v>3</v>
      </c>
      <c r="I18" s="3">
        <v>931</v>
      </c>
      <c r="K18" s="2">
        <v>14607850</v>
      </c>
      <c r="L18" s="1" t="s">
        <v>5876</v>
      </c>
      <c r="M18" s="1" t="s">
        <v>547</v>
      </c>
      <c r="N18" s="1" t="s">
        <v>924</v>
      </c>
      <c r="O18" s="1" t="s">
        <v>5877</v>
      </c>
      <c r="Q18" s="2" t="s">
        <v>5878</v>
      </c>
      <c r="R18" s="9" t="s">
        <v>5879</v>
      </c>
    </row>
    <row r="19" spans="1:18" ht="120" x14ac:dyDescent="0.25">
      <c r="A19" s="1" t="s">
        <v>5880</v>
      </c>
      <c r="B19" s="1" t="s">
        <v>5268</v>
      </c>
      <c r="C19" s="1" t="s">
        <v>112</v>
      </c>
      <c r="D19" s="2" t="str">
        <f>"1050-642X"</f>
        <v>1050-642X</v>
      </c>
      <c r="F19" s="2" t="str">
        <f>"2004 Nov"</f>
        <v>2004 Nov</v>
      </c>
      <c r="G19" s="3">
        <v>14</v>
      </c>
      <c r="H19" s="3">
        <v>6</v>
      </c>
      <c r="I19" s="3">
        <v>357</v>
      </c>
      <c r="K19" s="2">
        <v>15523208</v>
      </c>
      <c r="L19" s="1" t="s">
        <v>5881</v>
      </c>
      <c r="M19" s="1" t="s">
        <v>116</v>
      </c>
      <c r="N19" s="1" t="s">
        <v>2054</v>
      </c>
      <c r="O19" s="1" t="s">
        <v>5882</v>
      </c>
      <c r="R19" s="9" t="s">
        <v>5883</v>
      </c>
    </row>
    <row r="20" spans="1:18" ht="90" x14ac:dyDescent="0.25">
      <c r="A20" s="1" t="s">
        <v>5884</v>
      </c>
      <c r="B20" s="1" t="s">
        <v>5885</v>
      </c>
      <c r="C20" s="1" t="s">
        <v>112</v>
      </c>
      <c r="D20" s="2" t="str">
        <f>"1050-642X"</f>
        <v>1050-642X</v>
      </c>
      <c r="F20" s="2" t="str">
        <f>"2004 Jan"</f>
        <v>2004 Jan</v>
      </c>
      <c r="G20" s="3">
        <v>14</v>
      </c>
      <c r="H20" s="3">
        <v>1</v>
      </c>
      <c r="I20" s="3">
        <v>45</v>
      </c>
      <c r="K20" s="2">
        <v>14712166</v>
      </c>
      <c r="L20" s="1" t="s">
        <v>5886</v>
      </c>
      <c r="M20" s="1" t="s">
        <v>116</v>
      </c>
      <c r="N20" s="1" t="s">
        <v>2054</v>
      </c>
      <c r="O20" s="1" t="s">
        <v>5887</v>
      </c>
      <c r="R20" s="9" t="s">
        <v>5888</v>
      </c>
    </row>
    <row r="21" spans="1:18" ht="90" x14ac:dyDescent="0.25">
      <c r="A21" s="1" t="s">
        <v>5889</v>
      </c>
      <c r="B21" s="1" t="s">
        <v>5890</v>
      </c>
      <c r="C21" s="1" t="s">
        <v>102</v>
      </c>
      <c r="D21" s="2" t="str">
        <f>"1473-0480"</f>
        <v>1473-0480</v>
      </c>
      <c r="F21" s="2" t="str">
        <f>"2004 Dec"</f>
        <v>2004 Dec</v>
      </c>
      <c r="G21" s="3">
        <v>38</v>
      </c>
      <c r="H21" s="3">
        <v>6</v>
      </c>
      <c r="I21" s="3">
        <v>758</v>
      </c>
      <c r="K21" s="2">
        <v>15562176</v>
      </c>
      <c r="L21" s="1" t="s">
        <v>5891</v>
      </c>
      <c r="M21" s="1" t="s">
        <v>106</v>
      </c>
      <c r="N21" s="1" t="s">
        <v>21</v>
      </c>
      <c r="O21" s="1" t="s">
        <v>5892</v>
      </c>
      <c r="Q21" s="2" t="s">
        <v>5893</v>
      </c>
      <c r="R21" s="9" t="s">
        <v>5894</v>
      </c>
    </row>
    <row r="22" spans="1:18" ht="90" x14ac:dyDescent="0.25">
      <c r="A22" s="1" t="s">
        <v>5895</v>
      </c>
      <c r="B22" s="1" t="s">
        <v>5896</v>
      </c>
      <c r="C22" s="1" t="s">
        <v>921</v>
      </c>
      <c r="D22" s="2" t="str">
        <f>"0264-0414"</f>
        <v>0264-0414</v>
      </c>
      <c r="F22" s="2" t="str">
        <f>"2004 Jul"</f>
        <v>2004 Jul</v>
      </c>
      <c r="G22" s="3">
        <v>22</v>
      </c>
      <c r="H22" s="3">
        <v>7</v>
      </c>
      <c r="I22" s="3">
        <v>613</v>
      </c>
      <c r="K22" s="2">
        <v>15370491</v>
      </c>
      <c r="L22" s="1" t="s">
        <v>5897</v>
      </c>
      <c r="M22" s="1" t="s">
        <v>923</v>
      </c>
      <c r="N22" s="1" t="s">
        <v>21</v>
      </c>
      <c r="O22" s="1" t="s">
        <v>5898</v>
      </c>
      <c r="Q22" s="2" t="s">
        <v>5899</v>
      </c>
      <c r="R22" s="9" t="s">
        <v>5900</v>
      </c>
    </row>
    <row r="23" spans="1:18" ht="90" x14ac:dyDescent="0.25">
      <c r="A23" s="1" t="s">
        <v>5901</v>
      </c>
      <c r="B23" s="1" t="s">
        <v>5902</v>
      </c>
      <c r="C23" s="1" t="s">
        <v>921</v>
      </c>
      <c r="D23" s="2" t="str">
        <f>"0264-0414"</f>
        <v>0264-0414</v>
      </c>
      <c r="F23" s="2" t="str">
        <f>"2004 Apr"</f>
        <v>2004 Apr</v>
      </c>
      <c r="G23" s="3">
        <v>22</v>
      </c>
      <c r="H23" s="3">
        <v>4</v>
      </c>
      <c r="I23" s="3">
        <v>339</v>
      </c>
      <c r="K23" s="2">
        <v>15161107</v>
      </c>
      <c r="L23" s="1" t="s">
        <v>5903</v>
      </c>
      <c r="M23" s="1" t="s">
        <v>923</v>
      </c>
      <c r="N23" s="1" t="s">
        <v>924</v>
      </c>
      <c r="O23" s="1" t="s">
        <v>5904</v>
      </c>
      <c r="Q23" s="2" t="s">
        <v>5905</v>
      </c>
      <c r="R23" s="9" t="s">
        <v>5906</v>
      </c>
    </row>
    <row r="24" spans="1:18" ht="75" x14ac:dyDescent="0.25">
      <c r="A24" s="1" t="s">
        <v>5907</v>
      </c>
      <c r="B24" s="1" t="s">
        <v>5840</v>
      </c>
      <c r="C24" s="1" t="s">
        <v>797</v>
      </c>
      <c r="D24" s="2" t="str">
        <f>"0195-9131"</f>
        <v>0195-9131</v>
      </c>
      <c r="F24" s="2" t="str">
        <f>"2004 Nov"</f>
        <v>2004 Nov</v>
      </c>
      <c r="G24" s="3">
        <v>36</v>
      </c>
      <c r="H24" s="3">
        <v>11</v>
      </c>
      <c r="I24" s="3">
        <v>1972</v>
      </c>
      <c r="K24" s="2">
        <v>15514515</v>
      </c>
      <c r="L24" s="1" t="s">
        <v>5908</v>
      </c>
      <c r="M24" s="1" t="s">
        <v>156</v>
      </c>
      <c r="N24" s="1" t="s">
        <v>646</v>
      </c>
      <c r="O24" s="1" t="s">
        <v>5909</v>
      </c>
      <c r="Q24" s="2" t="s">
        <v>5910</v>
      </c>
      <c r="R24" s="9" t="s">
        <v>5911</v>
      </c>
    </row>
    <row r="25" spans="1:18" ht="90" x14ac:dyDescent="0.25">
      <c r="A25" s="1" t="s">
        <v>5912</v>
      </c>
      <c r="B25" s="1" t="s">
        <v>5913</v>
      </c>
      <c r="C25" s="1" t="s">
        <v>112</v>
      </c>
      <c r="D25" s="2" t="str">
        <f>"1050-642X"</f>
        <v>1050-642X</v>
      </c>
      <c r="F25" s="2" t="str">
        <f>"2004 Sep"</f>
        <v>2004 Sep</v>
      </c>
      <c r="G25" s="3">
        <v>14</v>
      </c>
      <c r="H25" s="3">
        <v>5</v>
      </c>
      <c r="I25" s="3">
        <v>300</v>
      </c>
      <c r="K25" s="2">
        <v>15377970</v>
      </c>
      <c r="L25" s="1" t="s">
        <v>5914</v>
      </c>
      <c r="M25" s="1" t="s">
        <v>116</v>
      </c>
      <c r="N25" s="1" t="s">
        <v>646</v>
      </c>
      <c r="O25" s="1" t="s">
        <v>5915</v>
      </c>
      <c r="Q25" s="2" t="s">
        <v>5916</v>
      </c>
      <c r="R25" s="9" t="s">
        <v>5917</v>
      </c>
    </row>
    <row r="26" spans="1:18" ht="45" x14ac:dyDescent="0.25">
      <c r="A26" s="1" t="s">
        <v>5918</v>
      </c>
      <c r="B26" s="1" t="s">
        <v>5919</v>
      </c>
      <c r="E26" s="2" t="str">
        <f>"1741143837"</f>
        <v>1741143837</v>
      </c>
      <c r="F26" s="2" t="str">
        <f>"20040101"</f>
        <v>20040101</v>
      </c>
      <c r="K26" s="2" t="s">
        <v>5920</v>
      </c>
      <c r="M26" s="1" t="s">
        <v>5921</v>
      </c>
      <c r="N26" s="1" t="s">
        <v>5479</v>
      </c>
      <c r="O26" s="1" t="s">
        <v>5922</v>
      </c>
      <c r="Q26" s="2" t="s">
        <v>5923</v>
      </c>
      <c r="R26" s="9" t="s">
        <v>5924</v>
      </c>
    </row>
    <row r="27" spans="1:18" ht="90" x14ac:dyDescent="0.25">
      <c r="A27" s="1" t="s">
        <v>5925</v>
      </c>
      <c r="B27" s="1" t="s">
        <v>5926</v>
      </c>
      <c r="C27" s="1" t="s">
        <v>2322</v>
      </c>
      <c r="D27" s="2" t="str">
        <f>"0022-4707"</f>
        <v>0022-4707</v>
      </c>
      <c r="F27" s="2" t="str">
        <f>"2004 Dec"</f>
        <v>2004 Dec</v>
      </c>
      <c r="G27" s="3">
        <v>44</v>
      </c>
      <c r="H27" s="3">
        <v>4</v>
      </c>
      <c r="I27" s="3">
        <v>361</v>
      </c>
      <c r="K27" s="2">
        <v>15758847</v>
      </c>
      <c r="M27" s="1" t="s">
        <v>2324</v>
      </c>
      <c r="N27" s="1" t="s">
        <v>924</v>
      </c>
      <c r="O27" s="1" t="s">
        <v>5927</v>
      </c>
      <c r="Q27" s="2" t="s">
        <v>5928</v>
      </c>
      <c r="R27" s="9" t="s">
        <v>5929</v>
      </c>
    </row>
    <row r="28" spans="1:18" ht="60" x14ac:dyDescent="0.25">
      <c r="A28" s="1" t="s">
        <v>5930</v>
      </c>
      <c r="B28" s="1" t="s">
        <v>5931</v>
      </c>
      <c r="C28" s="1" t="s">
        <v>921</v>
      </c>
      <c r="D28" s="2" t="str">
        <f>"0264-0414"</f>
        <v>0264-0414</v>
      </c>
      <c r="F28" s="2" t="str">
        <f>"2004 Sep"</f>
        <v>2004 Sep</v>
      </c>
      <c r="G28" s="3">
        <v>22</v>
      </c>
      <c r="H28" s="3">
        <v>9</v>
      </c>
      <c r="I28" s="3">
        <v>843</v>
      </c>
      <c r="K28" s="2">
        <v>15513278</v>
      </c>
      <c r="L28" s="1" t="s">
        <v>5932</v>
      </c>
      <c r="M28" s="1" t="s">
        <v>923</v>
      </c>
      <c r="N28" s="1" t="s">
        <v>924</v>
      </c>
      <c r="O28" s="1" t="s">
        <v>5933</v>
      </c>
      <c r="Q28" s="2" t="s">
        <v>5934</v>
      </c>
      <c r="R28" s="9" t="s">
        <v>5935</v>
      </c>
    </row>
    <row r="29" spans="1:18" ht="150" x14ac:dyDescent="0.25">
      <c r="A29" s="1" t="s">
        <v>5936</v>
      </c>
      <c r="B29" s="1" t="s">
        <v>5268</v>
      </c>
      <c r="C29" s="1" t="s">
        <v>102</v>
      </c>
      <c r="D29" s="2" t="str">
        <f>"1473-0480"</f>
        <v>1473-0480</v>
      </c>
      <c r="F29" s="2" t="str">
        <f>"2004 Aug"</f>
        <v>2004 Aug</v>
      </c>
      <c r="G29" s="3">
        <v>38</v>
      </c>
      <c r="H29" s="3">
        <v>4</v>
      </c>
      <c r="I29" s="3" t="s">
        <v>5937</v>
      </c>
      <c r="K29" s="2">
        <v>15273202</v>
      </c>
      <c r="L29" s="1" t="s">
        <v>5938</v>
      </c>
      <c r="M29" s="1" t="s">
        <v>106</v>
      </c>
      <c r="N29" s="1" t="s">
        <v>2054</v>
      </c>
      <c r="O29" s="1" t="s">
        <v>5939</v>
      </c>
      <c r="Q29" s="2" t="s">
        <v>5940</v>
      </c>
      <c r="R29" s="9" t="s">
        <v>5941</v>
      </c>
    </row>
    <row r="30" spans="1:18" ht="60" x14ac:dyDescent="0.25">
      <c r="A30" s="1" t="s">
        <v>5942</v>
      </c>
      <c r="B30" s="1" t="s">
        <v>5268</v>
      </c>
      <c r="C30" s="1" t="s">
        <v>112</v>
      </c>
      <c r="D30" s="2" t="str">
        <f>"1050-642X"</f>
        <v>1050-642X</v>
      </c>
      <c r="F30" s="2" t="str">
        <f>"2004 May"</f>
        <v>2004 May</v>
      </c>
      <c r="G30" s="3">
        <v>14</v>
      </c>
      <c r="H30" s="3">
        <v>3</v>
      </c>
      <c r="I30" s="3">
        <v>145</v>
      </c>
      <c r="K30" s="2">
        <v>15166903</v>
      </c>
      <c r="L30" s="1" t="s">
        <v>5943</v>
      </c>
      <c r="M30" s="1" t="s">
        <v>116</v>
      </c>
      <c r="N30" s="1" t="s">
        <v>21</v>
      </c>
      <c r="O30" s="1" t="s">
        <v>5944</v>
      </c>
      <c r="Q30" s="2" t="s">
        <v>5945</v>
      </c>
      <c r="R30" s="9" t="s">
        <v>5946</v>
      </c>
    </row>
    <row r="31" spans="1:18" ht="45" x14ac:dyDescent="0.25">
      <c r="A31" s="1" t="s">
        <v>5947</v>
      </c>
      <c r="B31" s="1" t="s">
        <v>5948</v>
      </c>
      <c r="E31" s="2" t="str">
        <f>"1740130626"</f>
        <v>1740130626</v>
      </c>
      <c r="F31" s="2" t="str">
        <f>"20040101"</f>
        <v>20040101</v>
      </c>
      <c r="K31" s="2" t="s">
        <v>5949</v>
      </c>
      <c r="M31" s="1" t="s">
        <v>5478</v>
      </c>
      <c r="N31" s="1" t="s">
        <v>5479</v>
      </c>
      <c r="O31" s="1" t="s">
        <v>5950</v>
      </c>
      <c r="R31" s="9" t="s">
        <v>5951</v>
      </c>
    </row>
  </sheetData>
  <hyperlinks>
    <hyperlink ref="R2" r:id="rId1" xr:uid="{DAE91EBC-DBDD-4B91-9FA3-22ED8FB6C3DE}"/>
    <hyperlink ref="R3" r:id="rId2" xr:uid="{92875808-A13A-4E87-876D-1BCE02BA79DD}"/>
    <hyperlink ref="R4" r:id="rId3" xr:uid="{6EAF5A8A-F91D-4872-A06A-C06B8805CFEE}"/>
    <hyperlink ref="R5" r:id="rId4" xr:uid="{501F4C6A-DE86-424E-8145-49C384F8D68C}"/>
    <hyperlink ref="R6" r:id="rId5" xr:uid="{F2C1953D-E2E5-44A9-B6E6-35DF7619FB7F}"/>
    <hyperlink ref="R7" r:id="rId6" xr:uid="{50005AC8-ACCC-457F-A96A-FD7254B2AA7B}"/>
    <hyperlink ref="R8" r:id="rId7" xr:uid="{75727D33-C5C9-4330-A91D-C470F3E68763}"/>
    <hyperlink ref="R9" r:id="rId8" xr:uid="{A36EA768-7BE2-4B24-9B79-4A5A4E2A46E5}"/>
    <hyperlink ref="R10" r:id="rId9" xr:uid="{1240BF98-F524-43B2-BFB6-C2564E0152B2}"/>
    <hyperlink ref="R11" r:id="rId10" xr:uid="{3A99F5B4-51EC-47D6-96A6-87A28FC47AC8}"/>
    <hyperlink ref="R12" r:id="rId11" xr:uid="{03FE5313-7F5A-4D5C-AFC4-E428B4AC1416}"/>
    <hyperlink ref="R13" r:id="rId12" xr:uid="{FF018D37-7CC5-49A0-B550-10C531FEDCF0}"/>
    <hyperlink ref="R14" r:id="rId13" xr:uid="{00214BE6-E8CF-458B-ACF8-76EE3745B47B}"/>
    <hyperlink ref="R15" r:id="rId14" xr:uid="{CDCF0357-D637-48C9-A19C-B1DDDA696AD5}"/>
    <hyperlink ref="R16" r:id="rId15" xr:uid="{8597EE87-B818-497F-85B4-BC8986CD0F7B}"/>
    <hyperlink ref="R17" r:id="rId16" xr:uid="{55FE5004-8472-4858-A2C3-0E489790FCA9}"/>
    <hyperlink ref="R18" r:id="rId17" xr:uid="{969506D5-A590-4F80-B03E-5BEFB5BAF396}"/>
    <hyperlink ref="R19" r:id="rId18" xr:uid="{726090B1-9B20-4BBE-85C0-62B9E83E00CC}"/>
    <hyperlink ref="R20" r:id="rId19" xr:uid="{DEAE625E-6408-4696-AA10-10D1D3D166CD}"/>
    <hyperlink ref="R21" r:id="rId20" xr:uid="{52144364-E219-4719-A7D5-42EC9D549DEE}"/>
    <hyperlink ref="R22" r:id="rId21" xr:uid="{4BFA215A-21C2-4CD4-984D-BB4C3D83E879}"/>
    <hyperlink ref="R23" r:id="rId22" xr:uid="{B8149365-73D4-4570-BEAC-B8E6A306027D}"/>
    <hyperlink ref="R24" r:id="rId23" xr:uid="{0AF3842C-7F30-499D-A3AB-6199D55C3B89}"/>
    <hyperlink ref="R25" r:id="rId24" xr:uid="{8CDFDF2D-55A4-483D-93B4-DC1E8F801EA0}"/>
    <hyperlink ref="R26" r:id="rId25" xr:uid="{AADA9944-792D-4580-B4FA-B4C3FBD68D43}"/>
    <hyperlink ref="R27" r:id="rId26" xr:uid="{355D99E4-10F3-4DE2-8E17-2B0A6E8F5BD9}"/>
    <hyperlink ref="R28" r:id="rId27" xr:uid="{71F26983-D71F-472A-8314-FB394D5E1B08}"/>
    <hyperlink ref="R29" r:id="rId28" xr:uid="{550945F9-6ABF-430B-9699-6021FDEF2C0D}"/>
    <hyperlink ref="R30" r:id="rId29" xr:uid="{692BF8AF-AC5E-4197-9070-433D4CAAE493}"/>
    <hyperlink ref="R31" r:id="rId30" xr:uid="{2A68C8E8-1DFD-475B-B0D9-03D4074054D9}"/>
  </hyperlinks>
  <pageMargins left="0.7" right="0.7" top="0.75" bottom="0.75" header="0.3" footer="0.3"/>
  <headerFooter>
    <oddHeader>&amp;C&amp;"Calibri"&amp;12&amp;KFF0000 OFFICIAL&amp;1#_x000D_</oddHeader>
  </headerFooter>
  <tableParts count="1">
    <tablePart r:id="rId3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19"/>
  <sheetViews>
    <sheetView workbookViewId="0">
      <selection activeCell="R20" sqref="R20"/>
    </sheetView>
  </sheetViews>
  <sheetFormatPr defaultColWidth="8.7109375" defaultRowHeight="15" x14ac:dyDescent="0.25"/>
  <cols>
    <col min="1" max="1" width="32.85546875" style="1" customWidth="1"/>
    <col min="2" max="2" width="28.140625" style="1" customWidth="1"/>
    <col min="3" max="3" width="35.28515625" style="1" customWidth="1"/>
    <col min="4" max="4" width="9.42578125" style="2" bestFit="1" customWidth="1"/>
    <col min="5" max="5" width="7.140625"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3" width="24.42578125" style="1" customWidth="1"/>
    <col min="14" max="14" width="20.42578125" style="1" customWidth="1"/>
    <col min="15" max="15" width="42.7109375" style="1" customWidth="1"/>
    <col min="16" max="16" width="11.140625" style="2" hidden="1" customWidth="1"/>
    <col min="17" max="17" width="30.42578125" style="2" customWidth="1"/>
    <col min="18" max="18" width="37.2851562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1" t="s">
        <v>8</v>
      </c>
      <c r="M1" s="1" t="s">
        <v>9</v>
      </c>
      <c r="N1" s="1" t="s">
        <v>10</v>
      </c>
      <c r="O1" s="1" t="s">
        <v>11</v>
      </c>
      <c r="P1" s="2" t="s">
        <v>779</v>
      </c>
      <c r="Q1" s="2" t="s">
        <v>12</v>
      </c>
      <c r="R1" s="2" t="s">
        <v>13</v>
      </c>
    </row>
    <row r="2" spans="1:18" ht="60" x14ac:dyDescent="0.25">
      <c r="A2" s="1" t="s">
        <v>5952</v>
      </c>
      <c r="B2" s="1" t="s">
        <v>5782</v>
      </c>
      <c r="C2" s="1" t="s">
        <v>444</v>
      </c>
      <c r="D2" s="2" t="str">
        <f>"0112-1642"</f>
        <v>0112-1642</v>
      </c>
      <c r="F2" s="2" t="str">
        <f>"2003"</f>
        <v>2003</v>
      </c>
      <c r="G2" s="3">
        <v>33</v>
      </c>
      <c r="H2" s="3">
        <v>13</v>
      </c>
      <c r="I2" s="3">
        <v>973</v>
      </c>
      <c r="K2" s="2">
        <v>14606925</v>
      </c>
      <c r="L2" s="1" t="s">
        <v>5953</v>
      </c>
      <c r="M2" s="1" t="s">
        <v>446</v>
      </c>
      <c r="N2" s="1" t="s">
        <v>21</v>
      </c>
      <c r="O2" s="1" t="s">
        <v>5954</v>
      </c>
      <c r="Q2" s="2" t="s">
        <v>5955</v>
      </c>
      <c r="R2" s="9" t="s">
        <v>5956</v>
      </c>
    </row>
    <row r="3" spans="1:18" ht="120" x14ac:dyDescent="0.25">
      <c r="A3" s="1" t="s">
        <v>5957</v>
      </c>
      <c r="B3" s="1" t="s">
        <v>5958</v>
      </c>
      <c r="C3" s="1" t="s">
        <v>797</v>
      </c>
      <c r="D3" s="2" t="str">
        <f>"0195-9131"</f>
        <v>0195-9131</v>
      </c>
      <c r="F3" s="2" t="str">
        <f>"2003 Aug"</f>
        <v>2003 Aug</v>
      </c>
      <c r="G3" s="3">
        <v>35</v>
      </c>
      <c r="H3" s="3">
        <v>8</v>
      </c>
      <c r="I3" s="3">
        <v>1341</v>
      </c>
      <c r="K3" s="2">
        <v>12900688</v>
      </c>
      <c r="L3" s="1" t="s">
        <v>5959</v>
      </c>
      <c r="M3" s="1" t="s">
        <v>156</v>
      </c>
      <c r="N3" s="1" t="s">
        <v>646</v>
      </c>
      <c r="O3" s="1" t="s">
        <v>5960</v>
      </c>
      <c r="Q3" s="2" t="s">
        <v>5961</v>
      </c>
      <c r="R3" s="9" t="s">
        <v>5962</v>
      </c>
    </row>
    <row r="4" spans="1:18" ht="45" x14ac:dyDescent="0.25">
      <c r="A4" s="1" t="s">
        <v>5963</v>
      </c>
      <c r="C4" s="1" t="s">
        <v>5964</v>
      </c>
      <c r="D4" s="2" t="str">
        <f>"14463628"</f>
        <v>14463628</v>
      </c>
      <c r="F4" s="2" t="str">
        <f>"20030101"</f>
        <v>20030101</v>
      </c>
      <c r="H4" s="3">
        <v>29</v>
      </c>
      <c r="I4" s="3">
        <v>62</v>
      </c>
      <c r="J4" s="2">
        <v>5</v>
      </c>
      <c r="K4" s="2" t="s">
        <v>5965</v>
      </c>
      <c r="N4" s="1" t="s">
        <v>157</v>
      </c>
      <c r="O4" s="1" t="s">
        <v>5966</v>
      </c>
      <c r="R4" s="9" t="s">
        <v>5967</v>
      </c>
    </row>
    <row r="5" spans="1:18" ht="120" x14ac:dyDescent="0.25">
      <c r="A5" s="1" t="s">
        <v>5968</v>
      </c>
      <c r="B5" s="1" t="s">
        <v>5969</v>
      </c>
      <c r="C5" s="1" t="s">
        <v>36</v>
      </c>
      <c r="D5" s="2" t="str">
        <f>"1526-484X"</f>
        <v>1526-484X</v>
      </c>
      <c r="F5" s="2" t="str">
        <f>"2003 Sep"</f>
        <v>2003 Sep</v>
      </c>
      <c r="G5" s="3">
        <v>13</v>
      </c>
      <c r="H5" s="3">
        <v>3</v>
      </c>
      <c r="I5" s="3">
        <v>320</v>
      </c>
      <c r="K5" s="2">
        <v>14669932</v>
      </c>
      <c r="L5" s="1" t="s">
        <v>5970</v>
      </c>
      <c r="M5" s="1" t="s">
        <v>40</v>
      </c>
      <c r="N5" s="1" t="s">
        <v>21</v>
      </c>
      <c r="O5" s="1" t="s">
        <v>5971</v>
      </c>
      <c r="Q5" s="2" t="s">
        <v>5972</v>
      </c>
      <c r="R5" s="9" t="s">
        <v>5973</v>
      </c>
    </row>
    <row r="6" spans="1:18" ht="135" x14ac:dyDescent="0.25">
      <c r="A6" s="1" t="s">
        <v>5974</v>
      </c>
      <c r="B6" s="1" t="s">
        <v>5975</v>
      </c>
      <c r="C6" s="1" t="s">
        <v>36</v>
      </c>
      <c r="D6" s="2" t="str">
        <f>"1526-484X"</f>
        <v>1526-484X</v>
      </c>
      <c r="F6" s="2" t="str">
        <f>"2003 Dec"</f>
        <v>2003 Dec</v>
      </c>
      <c r="G6" s="3">
        <v>13</v>
      </c>
      <c r="H6" s="3">
        <v>4</v>
      </c>
      <c r="I6" s="3">
        <v>521</v>
      </c>
      <c r="K6" s="2">
        <v>14967874</v>
      </c>
      <c r="L6" s="1" t="s">
        <v>5976</v>
      </c>
      <c r="M6" s="1" t="s">
        <v>40</v>
      </c>
      <c r="N6" s="1" t="s">
        <v>21</v>
      </c>
      <c r="O6" s="1" t="s">
        <v>5977</v>
      </c>
      <c r="Q6" s="2" t="s">
        <v>5978</v>
      </c>
      <c r="R6" s="9" t="s">
        <v>5979</v>
      </c>
    </row>
    <row r="7" spans="1:18" ht="165" x14ac:dyDescent="0.25">
      <c r="A7" s="1" t="s">
        <v>5980</v>
      </c>
      <c r="B7" s="1" t="s">
        <v>5981</v>
      </c>
      <c r="C7" s="1" t="s">
        <v>545</v>
      </c>
      <c r="D7" s="2" t="str">
        <f>"8750-7587"</f>
        <v>8750-7587</v>
      </c>
      <c r="F7" s="2" t="str">
        <f>"2003 Sep"</f>
        <v>2003 Sep</v>
      </c>
      <c r="G7" s="3">
        <v>95</v>
      </c>
      <c r="H7" s="3">
        <v>3</v>
      </c>
      <c r="I7" s="3">
        <v>983</v>
      </c>
      <c r="K7" s="2">
        <v>12740311</v>
      </c>
      <c r="L7" s="1" t="s">
        <v>5982</v>
      </c>
      <c r="M7" s="1" t="s">
        <v>547</v>
      </c>
      <c r="N7" s="1" t="s">
        <v>646</v>
      </c>
      <c r="O7" s="1" t="s">
        <v>5983</v>
      </c>
      <c r="Q7" s="2" t="s">
        <v>5984</v>
      </c>
      <c r="R7" s="9" t="s">
        <v>5985</v>
      </c>
    </row>
    <row r="8" spans="1:18" ht="45" x14ac:dyDescent="0.25">
      <c r="A8" s="1" t="s">
        <v>5986</v>
      </c>
      <c r="F8" s="2" t="str">
        <f t="shared" ref="F8:F13" si="0">"20030101"</f>
        <v>20030101</v>
      </c>
      <c r="K8" s="2" t="s">
        <v>5987</v>
      </c>
      <c r="M8" s="1" t="s">
        <v>5478</v>
      </c>
      <c r="N8" s="1" t="s">
        <v>5479</v>
      </c>
      <c r="O8" s="1" t="s">
        <v>5988</v>
      </c>
      <c r="R8" s="9" t="s">
        <v>5989</v>
      </c>
    </row>
    <row r="9" spans="1:18" ht="45" x14ac:dyDescent="0.25">
      <c r="A9" s="1" t="s">
        <v>5990</v>
      </c>
      <c r="B9" s="1" t="s">
        <v>5991</v>
      </c>
      <c r="F9" s="2" t="str">
        <f t="shared" si="0"/>
        <v>20030101</v>
      </c>
      <c r="K9" s="2" t="s">
        <v>5992</v>
      </c>
      <c r="M9" s="1" t="s">
        <v>5478</v>
      </c>
      <c r="N9" s="1" t="s">
        <v>5479</v>
      </c>
      <c r="O9" s="1" t="s">
        <v>5993</v>
      </c>
      <c r="R9" s="9" t="s">
        <v>5994</v>
      </c>
    </row>
    <row r="10" spans="1:18" ht="45" x14ac:dyDescent="0.25">
      <c r="A10" s="1" t="s">
        <v>5995</v>
      </c>
      <c r="B10" s="1" t="s">
        <v>5991</v>
      </c>
      <c r="F10" s="2" t="str">
        <f t="shared" si="0"/>
        <v>20030101</v>
      </c>
      <c r="K10" s="2" t="s">
        <v>5996</v>
      </c>
      <c r="M10" s="1" t="s">
        <v>5478</v>
      </c>
      <c r="N10" s="1" t="s">
        <v>5479</v>
      </c>
      <c r="O10" s="1" t="s">
        <v>5997</v>
      </c>
      <c r="R10" s="9" t="s">
        <v>5998</v>
      </c>
    </row>
    <row r="11" spans="1:18" ht="45" x14ac:dyDescent="0.25">
      <c r="A11" s="1" t="s">
        <v>5999</v>
      </c>
      <c r="B11" s="1" t="s">
        <v>6000</v>
      </c>
      <c r="F11" s="2" t="str">
        <f t="shared" si="0"/>
        <v>20030101</v>
      </c>
      <c r="K11" s="2" t="s">
        <v>6001</v>
      </c>
      <c r="M11" s="1" t="s">
        <v>5478</v>
      </c>
      <c r="N11" s="1" t="s">
        <v>5479</v>
      </c>
      <c r="O11" s="1" t="s">
        <v>6002</v>
      </c>
      <c r="R11" s="9" t="s">
        <v>6003</v>
      </c>
    </row>
    <row r="12" spans="1:18" ht="45" x14ac:dyDescent="0.25">
      <c r="A12" s="1" t="s">
        <v>6004</v>
      </c>
      <c r="B12" s="1" t="s">
        <v>6005</v>
      </c>
      <c r="F12" s="2" t="str">
        <f t="shared" si="0"/>
        <v>20030101</v>
      </c>
      <c r="K12" s="2" t="s">
        <v>6006</v>
      </c>
      <c r="M12" s="1" t="s">
        <v>5478</v>
      </c>
      <c r="N12" s="1" t="s">
        <v>5479</v>
      </c>
      <c r="O12" s="1" t="s">
        <v>6007</v>
      </c>
      <c r="R12" s="9" t="s">
        <v>6008</v>
      </c>
    </row>
    <row r="13" spans="1:18" ht="75" x14ac:dyDescent="0.25">
      <c r="A13" s="1" t="s">
        <v>6009</v>
      </c>
      <c r="B13" s="1" t="s">
        <v>6010</v>
      </c>
      <c r="F13" s="2" t="str">
        <f t="shared" si="0"/>
        <v>20030101</v>
      </c>
      <c r="K13" s="2" t="s">
        <v>6011</v>
      </c>
      <c r="M13" s="1" t="s">
        <v>5478</v>
      </c>
      <c r="N13" s="1" t="s">
        <v>5479</v>
      </c>
      <c r="O13" s="1" t="s">
        <v>6012</v>
      </c>
      <c r="Q13" s="2" t="s">
        <v>6013</v>
      </c>
      <c r="R13" s="9" t="s">
        <v>6014</v>
      </c>
    </row>
    <row r="14" spans="1:18" ht="75" x14ac:dyDescent="0.25">
      <c r="A14" s="1" t="s">
        <v>6015</v>
      </c>
      <c r="B14" s="1" t="s">
        <v>6016</v>
      </c>
      <c r="C14" s="1" t="s">
        <v>112</v>
      </c>
      <c r="D14" s="2" t="str">
        <f>"1050-642X"</f>
        <v>1050-642X</v>
      </c>
      <c r="F14" s="2" t="str">
        <f>"2003 Sep"</f>
        <v>2003 Sep</v>
      </c>
      <c r="G14" s="3">
        <v>13</v>
      </c>
      <c r="H14" s="3">
        <v>5</v>
      </c>
      <c r="I14" s="3">
        <v>303</v>
      </c>
      <c r="K14" s="2">
        <v>14501313</v>
      </c>
      <c r="L14" s="1" t="s">
        <v>6017</v>
      </c>
      <c r="M14" s="1" t="s">
        <v>116</v>
      </c>
      <c r="N14" s="1" t="s">
        <v>924</v>
      </c>
      <c r="O14" s="1" t="s">
        <v>6018</v>
      </c>
      <c r="R14" s="9" t="s">
        <v>6019</v>
      </c>
    </row>
    <row r="15" spans="1:18" ht="105" x14ac:dyDescent="0.25">
      <c r="A15" s="1" t="s">
        <v>6020</v>
      </c>
      <c r="B15" s="1" t="s">
        <v>6021</v>
      </c>
      <c r="C15" s="1" t="s">
        <v>6022</v>
      </c>
      <c r="D15" s="2" t="str">
        <f>"0390-6078"</f>
        <v>0390-6078</v>
      </c>
      <c r="F15" s="2" t="str">
        <f>"2003 Mar"</f>
        <v>2003 Mar</v>
      </c>
      <c r="G15" s="3">
        <v>88</v>
      </c>
      <c r="H15" s="3">
        <v>3</v>
      </c>
      <c r="I15" s="3">
        <v>333</v>
      </c>
      <c r="K15" s="2">
        <v>12651273</v>
      </c>
      <c r="M15" s="1" t="s">
        <v>6023</v>
      </c>
      <c r="N15" s="1" t="s">
        <v>646</v>
      </c>
      <c r="O15" s="1" t="s">
        <v>6024</v>
      </c>
      <c r="Q15" s="2" t="s">
        <v>6025</v>
      </c>
      <c r="R15" s="9" t="s">
        <v>6026</v>
      </c>
    </row>
    <row r="16" spans="1:18" ht="105" x14ac:dyDescent="0.25">
      <c r="A16" s="1" t="s">
        <v>6027</v>
      </c>
      <c r="B16" s="1" t="s">
        <v>6028</v>
      </c>
      <c r="C16" s="1" t="s">
        <v>55</v>
      </c>
      <c r="D16" s="2" t="str">
        <f>"1440-2440"</f>
        <v>1440-2440</v>
      </c>
      <c r="F16" s="2" t="str">
        <f>"2003 Dec"</f>
        <v>2003 Dec</v>
      </c>
      <c r="G16" s="3">
        <v>6</v>
      </c>
      <c r="H16" s="3">
        <v>4</v>
      </c>
      <c r="I16" s="3">
        <v>436</v>
      </c>
      <c r="K16" s="2">
        <v>14723393</v>
      </c>
      <c r="L16" s="1" t="s">
        <v>6029</v>
      </c>
      <c r="M16" s="1" t="s">
        <v>59</v>
      </c>
      <c r="N16" s="1" t="s">
        <v>2054</v>
      </c>
      <c r="O16" s="1" t="s">
        <v>6030</v>
      </c>
      <c r="Q16" s="2" t="s">
        <v>6031</v>
      </c>
      <c r="R16" s="9" t="s">
        <v>6032</v>
      </c>
    </row>
    <row r="17" spans="1:18" ht="30" x14ac:dyDescent="0.25">
      <c r="A17" s="1" t="s">
        <v>6033</v>
      </c>
      <c r="C17" s="1" t="s">
        <v>5964</v>
      </c>
      <c r="D17" s="2" t="str">
        <f>"14463628"</f>
        <v>14463628</v>
      </c>
      <c r="F17" s="2" t="str">
        <f>"20030101"</f>
        <v>20030101</v>
      </c>
      <c r="H17" s="3">
        <v>29</v>
      </c>
      <c r="I17" s="3">
        <v>67</v>
      </c>
      <c r="J17" s="2">
        <v>4</v>
      </c>
      <c r="K17" s="2" t="s">
        <v>6034</v>
      </c>
      <c r="N17" s="1" t="s">
        <v>157</v>
      </c>
      <c r="O17" s="1" t="s">
        <v>6035</v>
      </c>
      <c r="R17" s="9" t="s">
        <v>6036</v>
      </c>
    </row>
    <row r="18" spans="1:18" ht="409.5" x14ac:dyDescent="0.25">
      <c r="A18" s="1" t="s">
        <v>6037</v>
      </c>
      <c r="B18" s="1" t="s">
        <v>6038</v>
      </c>
      <c r="C18" s="1" t="s">
        <v>6022</v>
      </c>
      <c r="D18" s="2" t="str">
        <f>"1592-8721"</f>
        <v>1592-8721</v>
      </c>
      <c r="F18" s="2" t="str">
        <f>"2003 Aug"</f>
        <v>2003 Aug</v>
      </c>
      <c r="G18" s="3">
        <v>88</v>
      </c>
      <c r="H18" s="3">
        <v>8</v>
      </c>
      <c r="I18" s="3">
        <v>931</v>
      </c>
      <c r="K18" s="2">
        <v>12935982</v>
      </c>
      <c r="M18" s="1" t="s">
        <v>6023</v>
      </c>
      <c r="N18" s="1" t="s">
        <v>924</v>
      </c>
      <c r="O18" s="1" t="s">
        <v>6039</v>
      </c>
      <c r="Q18" s="2" t="s">
        <v>6040</v>
      </c>
      <c r="R18" s="9" t="s">
        <v>6041</v>
      </c>
    </row>
    <row r="19" spans="1:18" ht="90" x14ac:dyDescent="0.25">
      <c r="A19" s="1" t="s">
        <v>6042</v>
      </c>
      <c r="B19" s="1" t="s">
        <v>6043</v>
      </c>
      <c r="C19" s="1" t="s">
        <v>36</v>
      </c>
      <c r="D19" s="2" t="str">
        <f>"1526-484X"</f>
        <v>1526-484X</v>
      </c>
      <c r="F19" s="2" t="str">
        <f>"2003 Jun"</f>
        <v>2003 Jun</v>
      </c>
      <c r="G19" s="3">
        <v>13</v>
      </c>
      <c r="H19" s="3">
        <v>2</v>
      </c>
      <c r="I19" s="3">
        <v>152</v>
      </c>
      <c r="K19" s="2">
        <v>12945826</v>
      </c>
      <c r="L19" s="1" t="s">
        <v>6044</v>
      </c>
      <c r="M19" s="1" t="s">
        <v>40</v>
      </c>
      <c r="N19" s="1" t="s">
        <v>646</v>
      </c>
      <c r="O19" s="1" t="s">
        <v>6045</v>
      </c>
      <c r="Q19" s="2" t="s">
        <v>6046</v>
      </c>
      <c r="R19" s="9" t="s">
        <v>6047</v>
      </c>
    </row>
  </sheetData>
  <hyperlinks>
    <hyperlink ref="R2" r:id="rId1" xr:uid="{31001AE1-FB22-47F0-BA5B-A939651D10B2}"/>
    <hyperlink ref="R3" r:id="rId2" xr:uid="{55882AFA-701B-4BA6-8D65-E228628F3D2F}"/>
    <hyperlink ref="R4" r:id="rId3" xr:uid="{46DF7706-7E19-4B96-A914-9566061B20FC}"/>
    <hyperlink ref="R5" r:id="rId4" xr:uid="{875D775A-4B34-46D7-B2A7-46B93001136C}"/>
    <hyperlink ref="R6" r:id="rId5" xr:uid="{23F0C5C4-4A19-4D2F-B158-27772AC4F768}"/>
    <hyperlink ref="R7" r:id="rId6" xr:uid="{8F166173-4FEE-469F-A192-FFE6256E5682}"/>
    <hyperlink ref="R8" r:id="rId7" xr:uid="{88DE68CE-BA43-42A7-8A9C-3D228087FC14}"/>
    <hyperlink ref="R9" r:id="rId8" xr:uid="{4E97A592-7BAF-4C39-BD01-6FECA63820AF}"/>
    <hyperlink ref="R10" r:id="rId9" xr:uid="{1DBB51E4-1240-40E7-A8F9-20653D06259A}"/>
    <hyperlink ref="R11" r:id="rId10" xr:uid="{4EC012DC-30E8-4D0B-A59B-B3BF9F07384B}"/>
    <hyperlink ref="R12" r:id="rId11" xr:uid="{0F08AF85-809C-464D-8364-6BC2F684E8CB}"/>
    <hyperlink ref="R13" r:id="rId12" xr:uid="{E0CC155F-1610-477B-A863-64C32DB0BFE7}"/>
    <hyperlink ref="R14" r:id="rId13" xr:uid="{012707C3-34F6-4AB4-BB5A-DA124DE58E27}"/>
    <hyperlink ref="R15" r:id="rId14" xr:uid="{62A2727A-89B4-427B-98C1-87431A715A49}"/>
    <hyperlink ref="R16" r:id="rId15" xr:uid="{AD727EFC-6775-4215-A0B4-7E868AB24B74}"/>
    <hyperlink ref="R17" r:id="rId16" xr:uid="{EEC32DF9-2CFD-4B32-A8F6-467A86311287}"/>
    <hyperlink ref="R18" r:id="rId17" xr:uid="{51EA8117-753E-46F0-B970-80FDD14D9FAC}"/>
    <hyperlink ref="R19" r:id="rId18" xr:uid="{0292FA1D-EA0C-4B8E-97F8-11EFD3AB7B3A}"/>
  </hyperlinks>
  <pageMargins left="0.7" right="0.7" top="0.75" bottom="0.75" header="0.3" footer="0.3"/>
  <headerFooter>
    <oddHeader>&amp;C&amp;"Calibri"&amp;12&amp;KFF0000 OFFICIAL&amp;1#_x000D_</oddHeader>
  </headerFooter>
  <tableParts count="1">
    <tablePart r:id="rId19"/>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R29"/>
  <sheetViews>
    <sheetView workbookViewId="0">
      <selection activeCell="C2" sqref="C2"/>
    </sheetView>
  </sheetViews>
  <sheetFormatPr defaultColWidth="8.7109375" defaultRowHeight="15" x14ac:dyDescent="0.25"/>
  <cols>
    <col min="1" max="1" width="35.28515625" style="1" customWidth="1"/>
    <col min="2" max="2" width="28" style="1" customWidth="1"/>
    <col min="3" max="3" width="36.42578125" style="1" customWidth="1"/>
    <col min="4" max="4" width="9.42578125" style="2" bestFit="1" customWidth="1"/>
    <col min="5" max="5" width="10.85546875" style="2" bestFit="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31.85546875" style="2" bestFit="1" customWidth="1"/>
    <col min="13" max="13" width="26.42578125" style="2" customWidth="1"/>
    <col min="14" max="14" width="21.42578125" style="2" customWidth="1"/>
    <col min="15" max="15" width="34.42578125" style="1" customWidth="1"/>
    <col min="16" max="16" width="11.140625" style="2" hidden="1" customWidth="1"/>
    <col min="17" max="17" width="23.7109375" style="2" customWidth="1"/>
    <col min="18" max="18" width="23.85546875"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2" t="s">
        <v>9</v>
      </c>
      <c r="N1" s="2" t="s">
        <v>10</v>
      </c>
      <c r="O1" s="1" t="s">
        <v>11</v>
      </c>
      <c r="P1" s="2" t="s">
        <v>779</v>
      </c>
      <c r="Q1" s="2" t="s">
        <v>12</v>
      </c>
      <c r="R1" s="2" t="s">
        <v>13</v>
      </c>
    </row>
    <row r="2" spans="1:18" ht="45" x14ac:dyDescent="0.25">
      <c r="A2" s="1" t="s">
        <v>6048</v>
      </c>
      <c r="F2" s="2" t="str">
        <f>"20020101"</f>
        <v>20020101</v>
      </c>
      <c r="K2" s="2" t="s">
        <v>6049</v>
      </c>
      <c r="M2" s="2" t="s">
        <v>5823</v>
      </c>
      <c r="N2" s="2" t="s">
        <v>5479</v>
      </c>
      <c r="O2" s="1" t="s">
        <v>6050</v>
      </c>
      <c r="Q2" s="2" t="s">
        <v>6051</v>
      </c>
      <c r="R2" s="9" t="s">
        <v>6052</v>
      </c>
    </row>
    <row r="3" spans="1:18" ht="30" x14ac:dyDescent="0.25">
      <c r="A3" s="1" t="s">
        <v>6053</v>
      </c>
      <c r="B3" s="1" t="s">
        <v>6054</v>
      </c>
      <c r="F3" s="2" t="str">
        <f>"20020101"</f>
        <v>20020101</v>
      </c>
      <c r="K3" s="2" t="s">
        <v>6055</v>
      </c>
      <c r="M3" s="2" t="s">
        <v>6056</v>
      </c>
      <c r="N3" s="2" t="s">
        <v>5479</v>
      </c>
      <c r="O3" s="1" t="s">
        <v>6057</v>
      </c>
      <c r="R3" s="9" t="s">
        <v>6058</v>
      </c>
    </row>
    <row r="4" spans="1:18" ht="30" x14ac:dyDescent="0.25">
      <c r="A4" s="1" t="s">
        <v>6059</v>
      </c>
      <c r="B4" s="1" t="s">
        <v>6060</v>
      </c>
      <c r="F4" s="2" t="str">
        <f>"20020101"</f>
        <v>20020101</v>
      </c>
      <c r="K4" s="2" t="s">
        <v>6061</v>
      </c>
      <c r="M4" s="2" t="s">
        <v>5478</v>
      </c>
      <c r="N4" s="2" t="s">
        <v>6062</v>
      </c>
      <c r="O4" s="1" t="s">
        <v>6063</v>
      </c>
      <c r="Q4" s="2" t="s">
        <v>6064</v>
      </c>
      <c r="R4" s="9" t="s">
        <v>6065</v>
      </c>
    </row>
    <row r="5" spans="1:18" ht="30" x14ac:dyDescent="0.25">
      <c r="A5" s="1" t="s">
        <v>6059</v>
      </c>
      <c r="B5" s="1" t="s">
        <v>6060</v>
      </c>
      <c r="F5" s="2" t="str">
        <f>"20020101"</f>
        <v>20020101</v>
      </c>
      <c r="K5" s="2" t="s">
        <v>6066</v>
      </c>
      <c r="M5" s="2" t="s">
        <v>5478</v>
      </c>
      <c r="O5" s="1" t="s">
        <v>6057</v>
      </c>
      <c r="Q5" s="2" t="s">
        <v>6064</v>
      </c>
      <c r="R5" s="9" t="s">
        <v>6067</v>
      </c>
    </row>
    <row r="6" spans="1:18" ht="30" x14ac:dyDescent="0.25">
      <c r="A6" s="1" t="s">
        <v>6068</v>
      </c>
      <c r="B6" s="1" t="s">
        <v>6069</v>
      </c>
      <c r="E6" s="2" t="str">
        <f>"0473086743"</f>
        <v>0473086743</v>
      </c>
      <c r="F6" s="2" t="str">
        <f>"20020101"</f>
        <v>20020101</v>
      </c>
      <c r="K6" s="2" t="s">
        <v>6070</v>
      </c>
      <c r="M6" s="2" t="s">
        <v>6071</v>
      </c>
      <c r="N6" s="2" t="s">
        <v>5479</v>
      </c>
      <c r="O6" s="1" t="s">
        <v>6057</v>
      </c>
      <c r="R6" s="9" t="s">
        <v>6072</v>
      </c>
    </row>
    <row r="7" spans="1:18" ht="180" x14ac:dyDescent="0.25">
      <c r="A7" s="1" t="s">
        <v>6073</v>
      </c>
      <c r="B7" s="1" t="s">
        <v>6074</v>
      </c>
      <c r="C7" s="1" t="s">
        <v>36</v>
      </c>
      <c r="D7" s="2" t="str">
        <f>"1526-484X"</f>
        <v>1526-484X</v>
      </c>
      <c r="F7" s="2" t="str">
        <f>"2002 Mar"</f>
        <v>2002 Mar</v>
      </c>
      <c r="G7" s="3">
        <v>12</v>
      </c>
      <c r="H7" s="3">
        <v>1</v>
      </c>
      <c r="I7" s="3">
        <v>33</v>
      </c>
      <c r="K7" s="2">
        <v>11993621</v>
      </c>
      <c r="L7" s="2" t="s">
        <v>6075</v>
      </c>
      <c r="M7" s="2" t="s">
        <v>40</v>
      </c>
      <c r="N7" s="2" t="s">
        <v>646</v>
      </c>
      <c r="O7" s="1" t="s">
        <v>6076</v>
      </c>
      <c r="Q7" s="2" t="s">
        <v>6077</v>
      </c>
      <c r="R7" s="9" t="s">
        <v>6078</v>
      </c>
    </row>
    <row r="8" spans="1:18" ht="210" x14ac:dyDescent="0.25">
      <c r="A8" s="1" t="s">
        <v>6079</v>
      </c>
      <c r="B8" s="1" t="s">
        <v>6080</v>
      </c>
      <c r="C8" s="1" t="s">
        <v>797</v>
      </c>
      <c r="D8" s="2" t="str">
        <f>"0195-9131"</f>
        <v>0195-9131</v>
      </c>
      <c r="F8" s="2" t="str">
        <f>"2002 Jan"</f>
        <v>2002 Jan</v>
      </c>
      <c r="G8" s="3">
        <v>34</v>
      </c>
      <c r="H8" s="3">
        <v>1</v>
      </c>
      <c r="I8" s="3">
        <v>83</v>
      </c>
      <c r="K8" s="2">
        <v>11782652</v>
      </c>
      <c r="L8" s="2" t="s">
        <v>6081</v>
      </c>
      <c r="M8" s="2" t="s">
        <v>156</v>
      </c>
      <c r="N8" s="2" t="s">
        <v>646</v>
      </c>
      <c r="O8" s="1" t="s">
        <v>6082</v>
      </c>
      <c r="Q8" s="2" t="s">
        <v>6083</v>
      </c>
      <c r="R8" s="9" t="s">
        <v>6084</v>
      </c>
    </row>
    <row r="9" spans="1:18" ht="60" x14ac:dyDescent="0.25">
      <c r="A9" s="1" t="s">
        <v>6085</v>
      </c>
      <c r="B9" s="1" t="s">
        <v>6086</v>
      </c>
      <c r="F9" s="2" t="str">
        <f>"20020101"</f>
        <v>20020101</v>
      </c>
      <c r="K9" s="2" t="s">
        <v>6087</v>
      </c>
      <c r="M9" s="2" t="s">
        <v>5823</v>
      </c>
      <c r="O9" s="1" t="s">
        <v>6088</v>
      </c>
      <c r="R9" s="9" t="s">
        <v>6089</v>
      </c>
    </row>
    <row r="10" spans="1:18" ht="60" x14ac:dyDescent="0.25">
      <c r="A10" s="1" t="s">
        <v>6090</v>
      </c>
      <c r="B10" s="1" t="s">
        <v>6091</v>
      </c>
      <c r="C10" s="1" t="s">
        <v>55</v>
      </c>
      <c r="D10" s="2" t="str">
        <f>"1440-2440"</f>
        <v>1440-2440</v>
      </c>
      <c r="F10" s="2" t="str">
        <f>"2002 Sep"</f>
        <v>2002 Sep</v>
      </c>
      <c r="G10" s="3">
        <v>5</v>
      </c>
      <c r="H10" s="3">
        <v>3</v>
      </c>
      <c r="I10" s="3">
        <v>183</v>
      </c>
      <c r="K10" s="2">
        <v>12413035</v>
      </c>
      <c r="L10" s="2" t="s">
        <v>6092</v>
      </c>
      <c r="M10" s="2" t="s">
        <v>59</v>
      </c>
      <c r="N10" s="2" t="s">
        <v>21</v>
      </c>
      <c r="O10" s="1" t="s">
        <v>6093</v>
      </c>
      <c r="Q10" s="2" t="s">
        <v>6094</v>
      </c>
      <c r="R10" s="9" t="s">
        <v>6095</v>
      </c>
    </row>
    <row r="11" spans="1:18" ht="90" x14ac:dyDescent="0.25">
      <c r="A11" s="1" t="s">
        <v>6096</v>
      </c>
      <c r="B11" s="1" t="s">
        <v>6097</v>
      </c>
      <c r="C11" s="1" t="s">
        <v>112</v>
      </c>
      <c r="D11" s="2" t="str">
        <f>"1050-642X"</f>
        <v>1050-642X</v>
      </c>
      <c r="F11" s="2" t="str">
        <f>"2002 May"</f>
        <v>2002 May</v>
      </c>
      <c r="G11" s="3">
        <v>12</v>
      </c>
      <c r="H11" s="3">
        <v>3</v>
      </c>
      <c r="I11" s="3">
        <v>172</v>
      </c>
      <c r="K11" s="2">
        <v>12011725</v>
      </c>
      <c r="L11" s="2" t="s">
        <v>6098</v>
      </c>
      <c r="M11" s="2" t="s">
        <v>116</v>
      </c>
      <c r="N11" s="2" t="s">
        <v>21</v>
      </c>
      <c r="O11" s="1" t="s">
        <v>6099</v>
      </c>
      <c r="Q11" s="2" t="s">
        <v>6100</v>
      </c>
      <c r="R11" s="9" t="s">
        <v>6101</v>
      </c>
    </row>
    <row r="12" spans="1:18" ht="255" x14ac:dyDescent="0.25">
      <c r="A12" s="1" t="s">
        <v>6102</v>
      </c>
      <c r="B12" s="1" t="s">
        <v>6103</v>
      </c>
      <c r="C12" s="1" t="s">
        <v>545</v>
      </c>
      <c r="D12" s="2" t="str">
        <f>"8750-7587"</f>
        <v>8750-7587</v>
      </c>
      <c r="F12" s="2" t="str">
        <f>"2002 Sep"</f>
        <v>2002 Sep</v>
      </c>
      <c r="G12" s="3">
        <v>93</v>
      </c>
      <c r="H12" s="3">
        <v>3</v>
      </c>
      <c r="I12" s="3">
        <v>990</v>
      </c>
      <c r="K12" s="2">
        <v>12183495</v>
      </c>
      <c r="L12" s="2" t="s">
        <v>6104</v>
      </c>
      <c r="M12" s="2" t="s">
        <v>547</v>
      </c>
      <c r="N12" s="2" t="s">
        <v>646</v>
      </c>
      <c r="O12" s="1" t="s">
        <v>6105</v>
      </c>
      <c r="Q12" s="2" t="s">
        <v>6106</v>
      </c>
      <c r="R12" s="9" t="s">
        <v>6107</v>
      </c>
    </row>
    <row r="13" spans="1:18" ht="195" x14ac:dyDescent="0.25">
      <c r="A13" s="1" t="s">
        <v>6108</v>
      </c>
      <c r="B13" s="1" t="s">
        <v>6109</v>
      </c>
      <c r="C13" s="1" t="s">
        <v>36</v>
      </c>
      <c r="D13" s="2" t="str">
        <f>"1526-484X"</f>
        <v>1526-484X</v>
      </c>
      <c r="F13" s="2" t="str">
        <f>"2002 Mar"</f>
        <v>2002 Mar</v>
      </c>
      <c r="G13" s="3">
        <v>12</v>
      </c>
      <c r="H13" s="3">
        <v>1</v>
      </c>
      <c r="I13" s="3">
        <v>81</v>
      </c>
      <c r="K13" s="2">
        <v>11993625</v>
      </c>
      <c r="L13" s="2" t="s">
        <v>6110</v>
      </c>
      <c r="M13" s="2" t="s">
        <v>40</v>
      </c>
      <c r="N13" s="2" t="s">
        <v>646</v>
      </c>
      <c r="O13" s="1" t="s">
        <v>6111</v>
      </c>
      <c r="Q13" s="2" t="s">
        <v>6112</v>
      </c>
      <c r="R13" s="9" t="s">
        <v>6113</v>
      </c>
    </row>
    <row r="14" spans="1:18" ht="225" x14ac:dyDescent="0.25">
      <c r="A14" s="1" t="s">
        <v>6114</v>
      </c>
      <c r="B14" s="1" t="s">
        <v>6115</v>
      </c>
      <c r="C14" s="1" t="s">
        <v>46</v>
      </c>
      <c r="D14" s="2" t="str">
        <f>"1439-6319"</f>
        <v>1439-6319</v>
      </c>
      <c r="F14" s="2" t="str">
        <f>"2002 Mar"</f>
        <v>2002 Mar</v>
      </c>
      <c r="G14" s="3">
        <v>86</v>
      </c>
      <c r="H14" s="3">
        <v>5</v>
      </c>
      <c r="I14" s="3">
        <v>442</v>
      </c>
      <c r="K14" s="2">
        <v>11882931</v>
      </c>
      <c r="L14" s="2" t="s">
        <v>6116</v>
      </c>
      <c r="M14" s="2" t="s">
        <v>50</v>
      </c>
      <c r="N14" s="2" t="s">
        <v>646</v>
      </c>
      <c r="O14" s="1" t="s">
        <v>6117</v>
      </c>
      <c r="Q14" s="2" t="s">
        <v>6118</v>
      </c>
      <c r="R14" s="9" t="s">
        <v>6119</v>
      </c>
    </row>
    <row r="15" spans="1:18" ht="180" x14ac:dyDescent="0.25">
      <c r="A15" s="1" t="s">
        <v>6120</v>
      </c>
      <c r="B15" s="1" t="s">
        <v>2550</v>
      </c>
      <c r="C15" s="1" t="s">
        <v>797</v>
      </c>
      <c r="D15" s="2" t="str">
        <f>"0195-9131"</f>
        <v>0195-9131</v>
      </c>
      <c r="F15" s="2" t="str">
        <f>"2002 Sep"</f>
        <v>2002 Sep</v>
      </c>
      <c r="G15" s="3">
        <v>34</v>
      </c>
      <c r="H15" s="3">
        <v>9</v>
      </c>
      <c r="I15" s="3">
        <v>1492</v>
      </c>
      <c r="K15" s="2">
        <v>12218744</v>
      </c>
      <c r="L15" s="2" t="s">
        <v>6121</v>
      </c>
      <c r="M15" s="2" t="s">
        <v>156</v>
      </c>
      <c r="N15" s="2" t="s">
        <v>21</v>
      </c>
      <c r="O15" s="1" t="s">
        <v>6122</v>
      </c>
      <c r="Q15" s="2" t="s">
        <v>6123</v>
      </c>
      <c r="R15" s="9" t="s">
        <v>6124</v>
      </c>
    </row>
    <row r="16" spans="1:18" ht="75" x14ac:dyDescent="0.25">
      <c r="A16" s="1" t="s">
        <v>6125</v>
      </c>
      <c r="E16" s="2" t="str">
        <f>"174013060X"</f>
        <v>174013060X</v>
      </c>
      <c r="F16" s="2" t="str">
        <f t="shared" ref="F16:F25" si="0">"20020101"</f>
        <v>20020101</v>
      </c>
      <c r="K16" s="2" t="s">
        <v>6126</v>
      </c>
      <c r="M16" s="2" t="s">
        <v>5478</v>
      </c>
      <c r="N16" s="2" t="s">
        <v>5479</v>
      </c>
      <c r="O16" s="1" t="s">
        <v>6127</v>
      </c>
      <c r="R16" s="9" t="s">
        <v>6128</v>
      </c>
    </row>
    <row r="17" spans="1:18" ht="30" x14ac:dyDescent="0.25">
      <c r="A17" s="1" t="s">
        <v>6129</v>
      </c>
      <c r="F17" s="2" t="str">
        <f t="shared" si="0"/>
        <v>20020101</v>
      </c>
      <c r="K17" s="2" t="s">
        <v>6130</v>
      </c>
      <c r="M17" s="2" t="s">
        <v>5478</v>
      </c>
      <c r="N17" s="2" t="s">
        <v>5479</v>
      </c>
      <c r="O17" s="1" t="s">
        <v>6131</v>
      </c>
      <c r="R17" s="9" t="s">
        <v>6132</v>
      </c>
    </row>
    <row r="18" spans="1:18" ht="30" x14ac:dyDescent="0.25">
      <c r="A18" s="1" t="s">
        <v>6133</v>
      </c>
      <c r="F18" s="2" t="str">
        <f t="shared" si="0"/>
        <v>20020101</v>
      </c>
      <c r="K18" s="2" t="s">
        <v>6134</v>
      </c>
      <c r="M18" s="2" t="s">
        <v>5478</v>
      </c>
      <c r="N18" s="2" t="s">
        <v>5479</v>
      </c>
      <c r="O18" s="1" t="s">
        <v>6135</v>
      </c>
      <c r="R18" s="9" t="s">
        <v>6136</v>
      </c>
    </row>
    <row r="19" spans="1:18" ht="45" x14ac:dyDescent="0.25">
      <c r="A19" s="1" t="s">
        <v>6137</v>
      </c>
      <c r="F19" s="2" t="str">
        <f t="shared" si="0"/>
        <v>20020101</v>
      </c>
      <c r="K19" s="2" t="s">
        <v>6138</v>
      </c>
      <c r="M19" s="2" t="s">
        <v>5478</v>
      </c>
      <c r="N19" s="2" t="s">
        <v>5479</v>
      </c>
      <c r="O19" s="1" t="s">
        <v>6139</v>
      </c>
      <c r="R19" s="9" t="s">
        <v>6140</v>
      </c>
    </row>
    <row r="20" spans="1:18" ht="30" x14ac:dyDescent="0.25">
      <c r="A20" s="1" t="s">
        <v>6141</v>
      </c>
      <c r="F20" s="2" t="str">
        <f t="shared" si="0"/>
        <v>20020101</v>
      </c>
      <c r="K20" s="2" t="s">
        <v>6142</v>
      </c>
      <c r="M20" s="2" t="s">
        <v>5478</v>
      </c>
      <c r="N20" s="2" t="s">
        <v>5479</v>
      </c>
      <c r="O20" s="1" t="s">
        <v>6143</v>
      </c>
      <c r="R20" s="9" t="s">
        <v>6144</v>
      </c>
    </row>
    <row r="21" spans="1:18" ht="30" x14ac:dyDescent="0.25">
      <c r="A21" s="1" t="s">
        <v>6145</v>
      </c>
      <c r="F21" s="2" t="str">
        <f t="shared" si="0"/>
        <v>20020101</v>
      </c>
      <c r="K21" s="2" t="s">
        <v>6146</v>
      </c>
      <c r="M21" s="2" t="s">
        <v>5478</v>
      </c>
      <c r="N21" s="2" t="s">
        <v>5479</v>
      </c>
      <c r="O21" s="1" t="s">
        <v>6147</v>
      </c>
      <c r="R21" s="9" t="s">
        <v>6148</v>
      </c>
    </row>
    <row r="22" spans="1:18" ht="30" x14ac:dyDescent="0.25">
      <c r="A22" s="1" t="s">
        <v>6149</v>
      </c>
      <c r="F22" s="2" t="str">
        <f t="shared" si="0"/>
        <v>20020101</v>
      </c>
      <c r="K22" s="2" t="s">
        <v>6150</v>
      </c>
      <c r="M22" s="2" t="s">
        <v>5478</v>
      </c>
      <c r="N22" s="2" t="s">
        <v>5479</v>
      </c>
      <c r="O22" s="1" t="s">
        <v>6151</v>
      </c>
      <c r="R22" s="9" t="s">
        <v>6152</v>
      </c>
    </row>
    <row r="23" spans="1:18" ht="60" x14ac:dyDescent="0.25">
      <c r="A23" s="1" t="s">
        <v>6153</v>
      </c>
      <c r="F23" s="2" t="str">
        <f t="shared" si="0"/>
        <v>20020101</v>
      </c>
      <c r="K23" s="2" t="s">
        <v>6154</v>
      </c>
      <c r="M23" s="2" t="s">
        <v>5871</v>
      </c>
      <c r="N23" s="2" t="s">
        <v>5479</v>
      </c>
      <c r="O23" s="1" t="s">
        <v>6155</v>
      </c>
      <c r="Q23" s="2" t="s">
        <v>6156</v>
      </c>
      <c r="R23" s="9" t="s">
        <v>6157</v>
      </c>
    </row>
    <row r="24" spans="1:18" x14ac:dyDescent="0.25">
      <c r="A24" s="1" t="s">
        <v>6158</v>
      </c>
      <c r="B24" s="1" t="s">
        <v>5991</v>
      </c>
      <c r="F24" s="2" t="str">
        <f t="shared" si="0"/>
        <v>20020101</v>
      </c>
      <c r="K24" s="2" t="s">
        <v>6159</v>
      </c>
      <c r="M24" s="2" t="s">
        <v>5478</v>
      </c>
      <c r="N24" s="2" t="s">
        <v>5479</v>
      </c>
      <c r="O24" s="1" t="s">
        <v>6160</v>
      </c>
      <c r="R24" s="9" t="s">
        <v>6161</v>
      </c>
    </row>
    <row r="25" spans="1:18" ht="30" x14ac:dyDescent="0.25">
      <c r="A25" s="1" t="s">
        <v>6162</v>
      </c>
      <c r="B25" s="1" t="s">
        <v>5991</v>
      </c>
      <c r="F25" s="2" t="str">
        <f t="shared" si="0"/>
        <v>20020101</v>
      </c>
      <c r="K25" s="2" t="s">
        <v>6163</v>
      </c>
      <c r="M25" s="2" t="s">
        <v>5478</v>
      </c>
      <c r="N25" s="2" t="s">
        <v>5479</v>
      </c>
      <c r="O25" s="1" t="s">
        <v>6164</v>
      </c>
      <c r="R25" s="9" t="s">
        <v>6165</v>
      </c>
    </row>
    <row r="26" spans="1:18" ht="150" x14ac:dyDescent="0.25">
      <c r="A26" s="1" t="s">
        <v>6166</v>
      </c>
      <c r="B26" s="1" t="s">
        <v>6167</v>
      </c>
      <c r="C26" s="1" t="s">
        <v>696</v>
      </c>
      <c r="D26" s="2" t="str">
        <f>"0172-4622"</f>
        <v>0172-4622</v>
      </c>
      <c r="F26" s="2" t="str">
        <f>"2002 Oct"</f>
        <v>2002 Oct</v>
      </c>
      <c r="G26" s="3">
        <v>23</v>
      </c>
      <c r="H26" s="3">
        <v>7</v>
      </c>
      <c r="I26" s="3">
        <v>471</v>
      </c>
      <c r="K26" s="2">
        <v>12402177</v>
      </c>
      <c r="L26" s="2" t="s">
        <v>6168</v>
      </c>
      <c r="M26" s="2" t="s">
        <v>698</v>
      </c>
      <c r="N26" s="2" t="s">
        <v>924</v>
      </c>
      <c r="O26" s="1" t="s">
        <v>6169</v>
      </c>
      <c r="Q26" s="2" t="s">
        <v>6170</v>
      </c>
      <c r="R26" s="9" t="s">
        <v>6171</v>
      </c>
    </row>
    <row r="27" spans="1:18" ht="180" x14ac:dyDescent="0.25">
      <c r="A27" s="1" t="s">
        <v>6172</v>
      </c>
      <c r="B27" s="1" t="s">
        <v>6173</v>
      </c>
      <c r="C27" s="1" t="s">
        <v>545</v>
      </c>
      <c r="D27" s="2" t="str">
        <f>"8750-7587"</f>
        <v>8750-7587</v>
      </c>
      <c r="F27" s="2" t="str">
        <f>"2002 May"</f>
        <v>2002 May</v>
      </c>
      <c r="G27" s="3">
        <v>92</v>
      </c>
      <c r="H27" s="3">
        <v>5</v>
      </c>
      <c r="I27" s="3">
        <v>2114</v>
      </c>
      <c r="K27" s="2">
        <v>11960964</v>
      </c>
      <c r="L27" s="2" t="s">
        <v>6174</v>
      </c>
      <c r="M27" s="2" t="s">
        <v>547</v>
      </c>
      <c r="N27" s="2" t="s">
        <v>646</v>
      </c>
      <c r="O27" s="1" t="s">
        <v>6175</v>
      </c>
      <c r="Q27" s="2" t="s">
        <v>6176</v>
      </c>
      <c r="R27" s="9" t="s">
        <v>6177</v>
      </c>
    </row>
    <row r="28" spans="1:18" ht="75" x14ac:dyDescent="0.25">
      <c r="A28" s="1" t="s">
        <v>6178</v>
      </c>
      <c r="B28" s="1" t="s">
        <v>6179</v>
      </c>
      <c r="F28" s="2" t="str">
        <f>"20020101"</f>
        <v>20020101</v>
      </c>
      <c r="K28" s="2" t="s">
        <v>6180</v>
      </c>
      <c r="M28" s="2" t="s">
        <v>5478</v>
      </c>
      <c r="N28" s="2" t="s">
        <v>5479</v>
      </c>
      <c r="O28" s="1" t="s">
        <v>6181</v>
      </c>
      <c r="R28" s="9" t="s">
        <v>6182</v>
      </c>
    </row>
    <row r="29" spans="1:18" ht="135" x14ac:dyDescent="0.25">
      <c r="A29" s="1" t="s">
        <v>6183</v>
      </c>
      <c r="B29" s="1" t="s">
        <v>6184</v>
      </c>
      <c r="C29" s="1" t="s">
        <v>112</v>
      </c>
      <c r="D29" s="2" t="str">
        <f>"1050-642X"</f>
        <v>1050-642X</v>
      </c>
      <c r="F29" s="2" t="str">
        <f>"2002 Jan"</f>
        <v>2002 Jan</v>
      </c>
      <c r="G29" s="3">
        <v>12</v>
      </c>
      <c r="H29" s="3">
        <v>1</v>
      </c>
      <c r="I29" s="3">
        <v>41</v>
      </c>
      <c r="K29" s="2">
        <v>11854589</v>
      </c>
      <c r="L29" s="2" t="s">
        <v>6185</v>
      </c>
      <c r="M29" s="2" t="s">
        <v>116</v>
      </c>
      <c r="N29" s="2" t="s">
        <v>2054</v>
      </c>
      <c r="O29" s="1" t="s">
        <v>6186</v>
      </c>
      <c r="R29" s="9" t="s">
        <v>6187</v>
      </c>
    </row>
  </sheetData>
  <hyperlinks>
    <hyperlink ref="R2" r:id="rId1" xr:uid="{122D7F16-9E4E-482F-BA65-13DC74355512}"/>
    <hyperlink ref="R3" r:id="rId2" xr:uid="{EDAB59B4-8400-418C-A76E-B2909E6EB254}"/>
    <hyperlink ref="R4" r:id="rId3" xr:uid="{C041EE95-5379-4F92-A0CD-E5012A177997}"/>
    <hyperlink ref="R5" r:id="rId4" xr:uid="{6F2057F7-9B4B-49C1-BFE4-0B39163FF748}"/>
    <hyperlink ref="R7" r:id="rId5" xr:uid="{0616485E-3A80-4CA4-BD3F-D760096C8969}"/>
    <hyperlink ref="R8" r:id="rId6" xr:uid="{698B7C4B-E41C-40EF-BB1F-FF659B041531}"/>
    <hyperlink ref="R9" r:id="rId7" xr:uid="{E1545A90-ABA4-4661-AB2D-B43C39E8F993}"/>
    <hyperlink ref="R10" r:id="rId8" xr:uid="{A1DD8A4C-D5BA-41CD-944B-A3A73140A8D2}"/>
    <hyperlink ref="R11" r:id="rId9" xr:uid="{8BA026EB-7311-4A6F-B928-B84C86865FD5}"/>
    <hyperlink ref="R12" r:id="rId10" xr:uid="{73864990-F03B-476A-B5A9-A5428D2D7573}"/>
    <hyperlink ref="R13" r:id="rId11" xr:uid="{EEEC4301-6CEE-4DC5-82D8-37CD3C0C48FC}"/>
    <hyperlink ref="R14" r:id="rId12" xr:uid="{650E0DF1-386A-4225-B275-AD7D4AFB5A5A}"/>
    <hyperlink ref="R15" r:id="rId13" xr:uid="{FCA58B1F-BD4D-4227-A8FE-EFD7A98E3FCF}"/>
    <hyperlink ref="R16" r:id="rId14" xr:uid="{2174B628-2E70-4FC9-8E86-AF3C07C7B74D}"/>
    <hyperlink ref="R17" r:id="rId15" xr:uid="{DFEC740D-FB89-4260-B073-67DA2B08C6DA}"/>
    <hyperlink ref="R18" r:id="rId16" xr:uid="{DFE49578-7521-44AF-B634-E8DACAB819F8}"/>
    <hyperlink ref="R19" r:id="rId17" xr:uid="{4F59C224-666A-4E4D-AAAE-3318893CE3BD}"/>
    <hyperlink ref="R20" r:id="rId18" xr:uid="{152A156C-ABC8-4EFA-A82D-04F50D99C5AF}"/>
    <hyperlink ref="R21" r:id="rId19" xr:uid="{F7101C4B-09AA-42A7-9F8E-B6CBA111EDD8}"/>
    <hyperlink ref="R22" r:id="rId20" xr:uid="{B7FD97CE-6454-4BF7-A187-82761AC801C0}"/>
    <hyperlink ref="R23" r:id="rId21" xr:uid="{50642E32-90D5-4871-ADA1-5933D9977EB5}"/>
    <hyperlink ref="R24" r:id="rId22" xr:uid="{494466CF-306D-4F3E-A1D2-177D0504BFD8}"/>
    <hyperlink ref="R25" r:id="rId23" xr:uid="{18920DA9-5ED7-4A7A-8A4E-E402094DE5A1}"/>
    <hyperlink ref="R26" r:id="rId24" xr:uid="{3D2F69C2-DDDF-4790-9800-92AFFAABA242}"/>
    <hyperlink ref="R27" r:id="rId25" xr:uid="{51DD4A5E-01FE-48F9-8404-D2434DEF73CF}"/>
    <hyperlink ref="R28" r:id="rId26" xr:uid="{6BD3D648-6A6C-4BBD-A660-73E179B7EF21}"/>
    <hyperlink ref="R29" r:id="rId27" xr:uid="{CD0312C2-A7DA-4F19-B46C-015A3DD1A9F0}"/>
    <hyperlink ref="R6" r:id="rId28" xr:uid="{7A4C08DD-D268-49B0-9062-B28E89264421}"/>
  </hyperlinks>
  <pageMargins left="0.7" right="0.7" top="0.75" bottom="0.75" header="0.3" footer="0.3"/>
  <headerFooter>
    <oddHeader>&amp;C&amp;"Calibri"&amp;12&amp;KFF0000 OFFICIAL&amp;1#_x000D_</oddHeader>
  </headerFooter>
  <tableParts count="1">
    <tablePart r:id="rId29"/>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R45"/>
  <sheetViews>
    <sheetView workbookViewId="0">
      <selection activeCell="R46" sqref="R46"/>
    </sheetView>
  </sheetViews>
  <sheetFormatPr defaultColWidth="8.7109375" defaultRowHeight="15" x14ac:dyDescent="0.25"/>
  <cols>
    <col min="1" max="1" width="31" style="1" customWidth="1"/>
    <col min="2" max="3" width="30.42578125" style="1" customWidth="1"/>
    <col min="4" max="4" width="9.42578125" style="2" bestFit="1" customWidth="1"/>
    <col min="5" max="5" width="10.85546875" style="2" hidden="1" customWidth="1"/>
    <col min="6" max="6" width="17.28515625" style="2" bestFit="1" customWidth="1"/>
    <col min="7" max="7" width="9.85546875" style="3" bestFit="1" customWidth="1"/>
    <col min="8" max="8" width="7.42578125" style="3" bestFit="1" customWidth="1"/>
    <col min="9" max="9" width="11.42578125" style="3" bestFit="1" customWidth="1"/>
    <col min="10" max="10" width="12.42578125" style="2" hidden="1" customWidth="1"/>
    <col min="11" max="11" width="18.42578125" style="2" hidden="1" customWidth="1"/>
    <col min="12" max="12" width="31.85546875" style="2" bestFit="1" customWidth="1"/>
    <col min="13" max="14" width="25.7109375" style="1" customWidth="1"/>
    <col min="15" max="15" width="41" style="1" customWidth="1"/>
    <col min="16" max="16" width="11.140625" style="2" hidden="1" customWidth="1"/>
    <col min="17" max="17" width="22.42578125" style="2" customWidth="1"/>
    <col min="18" max="18" width="19" style="2" customWidth="1"/>
    <col min="19" max="16384" width="8.7109375" style="2"/>
  </cols>
  <sheetData>
    <row r="1" spans="1:18" x14ac:dyDescent="0.25">
      <c r="A1" s="1" t="s">
        <v>0</v>
      </c>
      <c r="B1" s="1" t="s">
        <v>1</v>
      </c>
      <c r="C1" s="1" t="s">
        <v>2</v>
      </c>
      <c r="D1" s="2" t="s">
        <v>3</v>
      </c>
      <c r="E1" s="2" t="s">
        <v>1486</v>
      </c>
      <c r="F1" s="2" t="s">
        <v>4</v>
      </c>
      <c r="G1" s="3" t="s">
        <v>5</v>
      </c>
      <c r="H1" s="3" t="s">
        <v>6</v>
      </c>
      <c r="I1" s="3" t="s">
        <v>7</v>
      </c>
      <c r="J1" s="2" t="s">
        <v>140</v>
      </c>
      <c r="K1" s="2" t="s">
        <v>141</v>
      </c>
      <c r="L1" s="2" t="s">
        <v>8</v>
      </c>
      <c r="M1" s="1" t="s">
        <v>9</v>
      </c>
      <c r="N1" s="1" t="s">
        <v>10</v>
      </c>
      <c r="O1" s="1" t="s">
        <v>11</v>
      </c>
      <c r="P1" s="2" t="s">
        <v>779</v>
      </c>
      <c r="Q1" s="2" t="s">
        <v>12</v>
      </c>
      <c r="R1" s="2" t="s">
        <v>13</v>
      </c>
    </row>
    <row r="2" spans="1:18" ht="120" x14ac:dyDescent="0.25">
      <c r="A2" s="1" t="s">
        <v>6188</v>
      </c>
      <c r="B2" s="1" t="s">
        <v>6189</v>
      </c>
      <c r="C2" s="1" t="s">
        <v>921</v>
      </c>
      <c r="D2" s="2" t="str">
        <f>"0264-0414"</f>
        <v>0264-0414</v>
      </c>
      <c r="F2" s="2" t="str">
        <f>"2001 Nov"</f>
        <v>2001 Nov</v>
      </c>
      <c r="G2" s="3">
        <v>19</v>
      </c>
      <c r="H2" s="3">
        <v>11</v>
      </c>
      <c r="I2" s="3">
        <v>831</v>
      </c>
      <c r="K2" s="2">
        <v>11695504</v>
      </c>
      <c r="L2" s="2" t="s">
        <v>6190</v>
      </c>
      <c r="M2" s="1" t="s">
        <v>923</v>
      </c>
      <c r="N2" s="1" t="s">
        <v>924</v>
      </c>
      <c r="O2" s="1" t="s">
        <v>6191</v>
      </c>
      <c r="Q2" s="2" t="s">
        <v>6192</v>
      </c>
      <c r="R2" s="6" t="s">
        <v>6193</v>
      </c>
    </row>
    <row r="3" spans="1:18" ht="105" x14ac:dyDescent="0.25">
      <c r="A3" s="1" t="s">
        <v>6194</v>
      </c>
      <c r="B3" s="1" t="s">
        <v>6195</v>
      </c>
      <c r="C3" s="1" t="s">
        <v>6196</v>
      </c>
      <c r="D3" s="2" t="str">
        <f>"1095-6433"</f>
        <v>1095-6433</v>
      </c>
      <c r="F3" s="2" t="str">
        <f>"2001 Apr"</f>
        <v>2001 Apr</v>
      </c>
      <c r="G3" s="3">
        <v>128</v>
      </c>
      <c r="H3" s="3">
        <v>4</v>
      </c>
      <c r="I3" s="3">
        <v>777</v>
      </c>
      <c r="K3" s="2">
        <v>11282321</v>
      </c>
      <c r="L3" s="2" t="s">
        <v>6197</v>
      </c>
      <c r="M3" s="1" t="s">
        <v>608</v>
      </c>
      <c r="N3" s="1" t="s">
        <v>4764</v>
      </c>
      <c r="O3" s="1" t="s">
        <v>6198</v>
      </c>
      <c r="Q3" s="2" t="s">
        <v>6199</v>
      </c>
      <c r="R3" s="6" t="s">
        <v>6200</v>
      </c>
    </row>
    <row r="4" spans="1:18" ht="45" x14ac:dyDescent="0.25">
      <c r="A4" s="1" t="s">
        <v>6201</v>
      </c>
      <c r="B4" s="1" t="s">
        <v>6202</v>
      </c>
      <c r="C4" s="1" t="s">
        <v>444</v>
      </c>
      <c r="D4" s="2" t="str">
        <f>"0112-1642"</f>
        <v>0112-1642</v>
      </c>
      <c r="F4" s="2" t="str">
        <f>"2001"</f>
        <v>2001</v>
      </c>
      <c r="G4" s="3">
        <v>31</v>
      </c>
      <c r="H4" s="3">
        <v>7</v>
      </c>
      <c r="I4" s="3">
        <v>457</v>
      </c>
      <c r="K4" s="2">
        <v>11428683</v>
      </c>
      <c r="L4" s="2" t="s">
        <v>6203</v>
      </c>
      <c r="M4" s="1" t="s">
        <v>446</v>
      </c>
      <c r="N4" s="1" t="s">
        <v>21</v>
      </c>
      <c r="O4" s="1" t="s">
        <v>6204</v>
      </c>
      <c r="Q4" s="2" t="s">
        <v>6205</v>
      </c>
      <c r="R4" s="6" t="s">
        <v>6206</v>
      </c>
    </row>
    <row r="5" spans="1:18" ht="120" x14ac:dyDescent="0.25">
      <c r="A5" s="1" t="s">
        <v>6207</v>
      </c>
      <c r="B5" s="1" t="s">
        <v>6208</v>
      </c>
      <c r="C5" s="1" t="s">
        <v>6022</v>
      </c>
      <c r="D5" s="2" t="str">
        <f>"0390-6078"</f>
        <v>0390-6078</v>
      </c>
      <c r="F5" s="2" t="str">
        <f>"2001 Feb"</f>
        <v>2001 Feb</v>
      </c>
      <c r="G5" s="3">
        <v>86</v>
      </c>
      <c r="H5" s="3">
        <v>2</v>
      </c>
      <c r="I5" s="3">
        <v>128</v>
      </c>
      <c r="K5" s="2">
        <v>11224480</v>
      </c>
      <c r="M5" s="1" t="s">
        <v>6023</v>
      </c>
      <c r="N5" s="1" t="s">
        <v>646</v>
      </c>
      <c r="O5" s="1" t="s">
        <v>6209</v>
      </c>
      <c r="Q5" s="2" t="s">
        <v>6210</v>
      </c>
      <c r="R5" s="6" t="s">
        <v>6211</v>
      </c>
    </row>
    <row r="6" spans="1:18" ht="90" x14ac:dyDescent="0.25">
      <c r="A6" s="1" t="s">
        <v>6212</v>
      </c>
      <c r="B6" s="1" t="s">
        <v>952</v>
      </c>
      <c r="C6" s="1" t="s">
        <v>6213</v>
      </c>
      <c r="D6" s="2" t="str">
        <f>"1066-7814"</f>
        <v>1066-7814</v>
      </c>
      <c r="F6" s="2" t="str">
        <f>"2001"</f>
        <v>2001</v>
      </c>
      <c r="G6" s="3" t="s">
        <v>6214</v>
      </c>
      <c r="I6" s="3" t="s">
        <v>6215</v>
      </c>
      <c r="K6" s="2">
        <v>11897896</v>
      </c>
      <c r="L6" s="2" t="s">
        <v>6216</v>
      </c>
      <c r="M6" s="1" t="s">
        <v>6217</v>
      </c>
      <c r="N6" s="1" t="s">
        <v>21</v>
      </c>
      <c r="O6" s="1" t="s">
        <v>6218</v>
      </c>
      <c r="Q6" s="2" t="s">
        <v>6219</v>
      </c>
      <c r="R6" s="6" t="s">
        <v>6220</v>
      </c>
    </row>
    <row r="7" spans="1:18" ht="75" x14ac:dyDescent="0.25">
      <c r="A7" s="1" t="s">
        <v>6221</v>
      </c>
      <c r="B7" s="1" t="s">
        <v>6222</v>
      </c>
      <c r="C7" s="1" t="s">
        <v>696</v>
      </c>
      <c r="D7" s="2" t="str">
        <f>"0172-4622"</f>
        <v>0172-4622</v>
      </c>
      <c r="F7" s="2" t="str">
        <f>"2001 Oct"</f>
        <v>2001 Oct</v>
      </c>
      <c r="G7" s="3">
        <v>22</v>
      </c>
      <c r="H7" s="3">
        <v>7</v>
      </c>
      <c r="I7" s="3">
        <v>525</v>
      </c>
      <c r="K7" s="2">
        <v>11590480</v>
      </c>
      <c r="L7" s="2" t="s">
        <v>6223</v>
      </c>
      <c r="M7" s="1" t="s">
        <v>698</v>
      </c>
      <c r="N7" s="1" t="s">
        <v>924</v>
      </c>
      <c r="O7" s="1" t="s">
        <v>6224</v>
      </c>
      <c r="Q7" s="2" t="s">
        <v>6225</v>
      </c>
      <c r="R7" s="6" t="s">
        <v>6226</v>
      </c>
    </row>
    <row r="8" spans="1:18" ht="30" x14ac:dyDescent="0.25">
      <c r="A8" s="1" t="s">
        <v>6227</v>
      </c>
      <c r="F8" s="2" t="str">
        <f t="shared" ref="F8:F21" si="0">"20010101"</f>
        <v>20010101</v>
      </c>
      <c r="K8" s="2" t="s">
        <v>6228</v>
      </c>
      <c r="M8" s="1" t="s">
        <v>5478</v>
      </c>
      <c r="N8" s="1" t="s">
        <v>5479</v>
      </c>
      <c r="O8" s="1" t="s">
        <v>6229</v>
      </c>
      <c r="R8" s="6" t="s">
        <v>6230</v>
      </c>
    </row>
    <row r="9" spans="1:18" ht="30" x14ac:dyDescent="0.25">
      <c r="A9" s="1" t="s">
        <v>6231</v>
      </c>
      <c r="F9" s="2" t="str">
        <f t="shared" si="0"/>
        <v>20010101</v>
      </c>
      <c r="K9" s="2" t="s">
        <v>6232</v>
      </c>
      <c r="M9" s="1" t="s">
        <v>5478</v>
      </c>
      <c r="N9" s="1" t="s">
        <v>5479</v>
      </c>
      <c r="O9" s="1" t="s">
        <v>6233</v>
      </c>
      <c r="R9" s="6" t="s">
        <v>6234</v>
      </c>
    </row>
    <row r="10" spans="1:18" ht="30" x14ac:dyDescent="0.25">
      <c r="A10" s="1" t="s">
        <v>6235</v>
      </c>
      <c r="F10" s="2" t="str">
        <f t="shared" si="0"/>
        <v>20010101</v>
      </c>
      <c r="K10" s="2" t="s">
        <v>6236</v>
      </c>
      <c r="M10" s="1" t="s">
        <v>5478</v>
      </c>
      <c r="N10" s="1" t="s">
        <v>5479</v>
      </c>
      <c r="O10" s="1" t="s">
        <v>6237</v>
      </c>
      <c r="R10" s="6" t="s">
        <v>6238</v>
      </c>
    </row>
    <row r="11" spans="1:18" ht="30" x14ac:dyDescent="0.25">
      <c r="A11" s="1" t="s">
        <v>6239</v>
      </c>
      <c r="F11" s="2" t="str">
        <f t="shared" si="0"/>
        <v>20010101</v>
      </c>
      <c r="K11" s="2" t="s">
        <v>6240</v>
      </c>
      <c r="M11" s="1" t="s">
        <v>5478</v>
      </c>
      <c r="N11" s="1" t="s">
        <v>5479</v>
      </c>
      <c r="O11" s="1" t="s">
        <v>6241</v>
      </c>
      <c r="R11" s="6" t="s">
        <v>6242</v>
      </c>
    </row>
    <row r="12" spans="1:18" ht="30" x14ac:dyDescent="0.25">
      <c r="A12" s="1" t="s">
        <v>6243</v>
      </c>
      <c r="F12" s="2" t="str">
        <f t="shared" si="0"/>
        <v>20010101</v>
      </c>
      <c r="K12" s="2" t="s">
        <v>6244</v>
      </c>
      <c r="M12" s="1" t="s">
        <v>5478</v>
      </c>
      <c r="N12" s="1" t="s">
        <v>5479</v>
      </c>
      <c r="O12" s="1" t="s">
        <v>6245</v>
      </c>
      <c r="R12" s="6" t="s">
        <v>6246</v>
      </c>
    </row>
    <row r="13" spans="1:18" ht="30" x14ac:dyDescent="0.25">
      <c r="A13" s="1" t="s">
        <v>6247</v>
      </c>
      <c r="F13" s="2" t="str">
        <f t="shared" si="0"/>
        <v>20010101</v>
      </c>
      <c r="K13" s="2" t="s">
        <v>6248</v>
      </c>
      <c r="M13" s="1" t="s">
        <v>5478</v>
      </c>
      <c r="N13" s="1" t="s">
        <v>5479</v>
      </c>
      <c r="O13" s="1" t="s">
        <v>6249</v>
      </c>
      <c r="R13" s="6" t="s">
        <v>6250</v>
      </c>
    </row>
    <row r="14" spans="1:18" ht="30" x14ac:dyDescent="0.25">
      <c r="A14" s="1" t="s">
        <v>6251</v>
      </c>
      <c r="F14" s="2" t="str">
        <f t="shared" si="0"/>
        <v>20010101</v>
      </c>
      <c r="K14" s="2" t="s">
        <v>6252</v>
      </c>
      <c r="M14" s="1" t="s">
        <v>5478</v>
      </c>
      <c r="N14" s="1" t="s">
        <v>5479</v>
      </c>
      <c r="O14" s="1" t="s">
        <v>6253</v>
      </c>
      <c r="R14" s="6" t="s">
        <v>6254</v>
      </c>
    </row>
    <row r="15" spans="1:18" ht="30" x14ac:dyDescent="0.25">
      <c r="A15" s="1" t="s">
        <v>6255</v>
      </c>
      <c r="F15" s="2" t="str">
        <f t="shared" si="0"/>
        <v>20010101</v>
      </c>
      <c r="K15" s="2" t="s">
        <v>6256</v>
      </c>
      <c r="M15" s="1" t="s">
        <v>5478</v>
      </c>
      <c r="N15" s="1" t="s">
        <v>5479</v>
      </c>
      <c r="O15" s="1" t="s">
        <v>6257</v>
      </c>
      <c r="R15" s="6" t="s">
        <v>6258</v>
      </c>
    </row>
    <row r="16" spans="1:18" ht="30" x14ac:dyDescent="0.25">
      <c r="A16" s="1" t="s">
        <v>6259</v>
      </c>
      <c r="F16" s="2" t="str">
        <f t="shared" si="0"/>
        <v>20010101</v>
      </c>
      <c r="K16" s="2" t="s">
        <v>6260</v>
      </c>
      <c r="M16" s="1" t="s">
        <v>5478</v>
      </c>
      <c r="N16" s="1" t="s">
        <v>5479</v>
      </c>
      <c r="O16" s="1" t="s">
        <v>6261</v>
      </c>
      <c r="R16" s="6" t="s">
        <v>6262</v>
      </c>
    </row>
    <row r="17" spans="1:18" ht="30" x14ac:dyDescent="0.25">
      <c r="A17" s="1" t="s">
        <v>6263</v>
      </c>
      <c r="F17" s="2" t="str">
        <f t="shared" si="0"/>
        <v>20010101</v>
      </c>
      <c r="K17" s="2" t="s">
        <v>6264</v>
      </c>
      <c r="M17" s="1" t="s">
        <v>5478</v>
      </c>
      <c r="N17" s="1" t="s">
        <v>5479</v>
      </c>
      <c r="O17" s="1" t="s">
        <v>6265</v>
      </c>
      <c r="R17" s="6" t="s">
        <v>6266</v>
      </c>
    </row>
    <row r="18" spans="1:18" ht="30" x14ac:dyDescent="0.25">
      <c r="A18" s="1" t="s">
        <v>6267</v>
      </c>
      <c r="F18" s="2" t="str">
        <f t="shared" si="0"/>
        <v>20010101</v>
      </c>
      <c r="K18" s="2" t="s">
        <v>6268</v>
      </c>
      <c r="M18" s="1" t="s">
        <v>5478</v>
      </c>
      <c r="N18" s="1" t="s">
        <v>5479</v>
      </c>
      <c r="O18" s="1" t="s">
        <v>6269</v>
      </c>
      <c r="R18" s="6" t="s">
        <v>6270</v>
      </c>
    </row>
    <row r="19" spans="1:18" ht="30" x14ac:dyDescent="0.25">
      <c r="A19" s="1" t="s">
        <v>6271</v>
      </c>
      <c r="F19" s="2" t="str">
        <f t="shared" si="0"/>
        <v>20010101</v>
      </c>
      <c r="K19" s="2" t="s">
        <v>6272</v>
      </c>
      <c r="M19" s="1" t="s">
        <v>5478</v>
      </c>
      <c r="N19" s="1" t="s">
        <v>5479</v>
      </c>
      <c r="O19" s="1" t="s">
        <v>6273</v>
      </c>
      <c r="R19" s="6" t="s">
        <v>6274</v>
      </c>
    </row>
    <row r="20" spans="1:18" ht="30" x14ac:dyDescent="0.25">
      <c r="A20" s="1" t="s">
        <v>6275</v>
      </c>
      <c r="F20" s="2" t="str">
        <f t="shared" si="0"/>
        <v>20010101</v>
      </c>
      <c r="K20" s="2" t="s">
        <v>6276</v>
      </c>
      <c r="M20" s="1" t="s">
        <v>5478</v>
      </c>
      <c r="N20" s="1" t="s">
        <v>5479</v>
      </c>
      <c r="O20" s="1" t="s">
        <v>6277</v>
      </c>
      <c r="R20" s="6" t="s">
        <v>6278</v>
      </c>
    </row>
    <row r="21" spans="1:18" ht="30" x14ac:dyDescent="0.25">
      <c r="A21" s="1" t="s">
        <v>6279</v>
      </c>
      <c r="F21" s="2" t="str">
        <f t="shared" si="0"/>
        <v>20010101</v>
      </c>
      <c r="G21" s="3" t="s">
        <v>6280</v>
      </c>
      <c r="K21" s="2" t="s">
        <v>6281</v>
      </c>
      <c r="M21" s="1" t="s">
        <v>5478</v>
      </c>
      <c r="N21" s="1" t="s">
        <v>5479</v>
      </c>
      <c r="O21" s="1" t="s">
        <v>6282</v>
      </c>
      <c r="R21" s="6" t="s">
        <v>6283</v>
      </c>
    </row>
    <row r="22" spans="1:18" ht="60" x14ac:dyDescent="0.25">
      <c r="A22" s="1" t="s">
        <v>6284</v>
      </c>
      <c r="B22" s="1" t="s">
        <v>6285</v>
      </c>
      <c r="C22" s="1" t="s">
        <v>444</v>
      </c>
      <c r="D22" s="2" t="str">
        <f>"0112-1642"</f>
        <v>0112-1642</v>
      </c>
      <c r="F22" s="2" t="str">
        <f>"2001"</f>
        <v>2001</v>
      </c>
      <c r="G22" s="3">
        <v>31</v>
      </c>
      <c r="H22" s="3">
        <v>4</v>
      </c>
      <c r="I22" s="3">
        <v>267</v>
      </c>
      <c r="K22" s="2">
        <v>11310548</v>
      </c>
      <c r="L22" s="2" t="s">
        <v>6286</v>
      </c>
      <c r="M22" s="1" t="s">
        <v>446</v>
      </c>
      <c r="N22" s="1" t="s">
        <v>21</v>
      </c>
      <c r="O22" s="1" t="s">
        <v>6287</v>
      </c>
      <c r="Q22" s="2" t="s">
        <v>6288</v>
      </c>
      <c r="R22" s="6" t="s">
        <v>6289</v>
      </c>
    </row>
    <row r="23" spans="1:18" ht="30" x14ac:dyDescent="0.25">
      <c r="A23" s="1" t="s">
        <v>6290</v>
      </c>
      <c r="B23" s="1" t="s">
        <v>6054</v>
      </c>
      <c r="F23" s="2" t="str">
        <f t="shared" ref="F23:F34" si="1">"20010101"</f>
        <v>20010101</v>
      </c>
      <c r="K23" s="2" t="s">
        <v>6291</v>
      </c>
      <c r="M23" s="1" t="s">
        <v>5478</v>
      </c>
      <c r="N23" s="1" t="s">
        <v>5479</v>
      </c>
      <c r="O23" s="1" t="s">
        <v>6292</v>
      </c>
      <c r="R23" s="6" t="s">
        <v>6293</v>
      </c>
    </row>
    <row r="24" spans="1:18" ht="30" x14ac:dyDescent="0.25">
      <c r="A24" s="1" t="s">
        <v>6294</v>
      </c>
      <c r="B24" s="1" t="s">
        <v>6054</v>
      </c>
      <c r="F24" s="2" t="str">
        <f t="shared" si="1"/>
        <v>20010101</v>
      </c>
      <c r="K24" s="2" t="s">
        <v>6295</v>
      </c>
      <c r="M24" s="1" t="s">
        <v>5478</v>
      </c>
      <c r="N24" s="1" t="s">
        <v>5479</v>
      </c>
      <c r="O24" s="1" t="s">
        <v>6292</v>
      </c>
      <c r="R24" s="6" t="s">
        <v>6296</v>
      </c>
    </row>
    <row r="25" spans="1:18" ht="30" x14ac:dyDescent="0.25">
      <c r="A25" s="1" t="s">
        <v>6297</v>
      </c>
      <c r="B25" s="1" t="s">
        <v>5991</v>
      </c>
      <c r="F25" s="2" t="str">
        <f t="shared" si="1"/>
        <v>20010101</v>
      </c>
      <c r="K25" s="2" t="s">
        <v>6298</v>
      </c>
      <c r="M25" s="1" t="s">
        <v>5478</v>
      </c>
      <c r="N25" s="1" t="s">
        <v>5479</v>
      </c>
      <c r="O25" s="1" t="s">
        <v>6299</v>
      </c>
      <c r="R25" s="6" t="s">
        <v>6300</v>
      </c>
    </row>
    <row r="26" spans="1:18" ht="30" x14ac:dyDescent="0.25">
      <c r="A26" s="1" t="s">
        <v>6301</v>
      </c>
      <c r="B26" s="1" t="s">
        <v>5991</v>
      </c>
      <c r="F26" s="2" t="str">
        <f t="shared" si="1"/>
        <v>20010101</v>
      </c>
      <c r="K26" s="2" t="s">
        <v>6302</v>
      </c>
      <c r="M26" s="1" t="s">
        <v>5478</v>
      </c>
      <c r="N26" s="1" t="s">
        <v>5479</v>
      </c>
      <c r="O26" s="1" t="s">
        <v>6303</v>
      </c>
      <c r="R26" s="6" t="s">
        <v>6304</v>
      </c>
    </row>
    <row r="27" spans="1:18" ht="30" x14ac:dyDescent="0.25">
      <c r="A27" s="1" t="s">
        <v>6305</v>
      </c>
      <c r="B27" s="1" t="s">
        <v>5991</v>
      </c>
      <c r="F27" s="2" t="str">
        <f t="shared" si="1"/>
        <v>20010101</v>
      </c>
      <c r="K27" s="2" t="s">
        <v>6306</v>
      </c>
      <c r="M27" s="1" t="s">
        <v>5478</v>
      </c>
      <c r="N27" s="1" t="s">
        <v>5479</v>
      </c>
      <c r="O27" s="1" t="s">
        <v>6307</v>
      </c>
      <c r="R27" s="6" t="s">
        <v>6308</v>
      </c>
    </row>
    <row r="28" spans="1:18" ht="30" x14ac:dyDescent="0.25">
      <c r="A28" s="1" t="s">
        <v>6309</v>
      </c>
      <c r="B28" s="1" t="s">
        <v>6310</v>
      </c>
      <c r="F28" s="2" t="str">
        <f t="shared" si="1"/>
        <v>20010101</v>
      </c>
      <c r="K28" s="2" t="s">
        <v>6311</v>
      </c>
      <c r="M28" s="1" t="s">
        <v>5478</v>
      </c>
      <c r="N28" s="1" t="s">
        <v>5479</v>
      </c>
      <c r="O28" s="1" t="s">
        <v>6312</v>
      </c>
      <c r="R28" s="6" t="s">
        <v>6313</v>
      </c>
    </row>
    <row r="29" spans="1:18" ht="30" x14ac:dyDescent="0.25">
      <c r="A29" s="1" t="s">
        <v>6314</v>
      </c>
      <c r="B29" s="1" t="s">
        <v>6054</v>
      </c>
      <c r="F29" s="2" t="str">
        <f t="shared" si="1"/>
        <v>20010101</v>
      </c>
      <c r="K29" s="2" t="s">
        <v>6315</v>
      </c>
      <c r="M29" s="1" t="s">
        <v>5478</v>
      </c>
      <c r="N29" s="1" t="s">
        <v>5479</v>
      </c>
      <c r="O29" s="1" t="s">
        <v>6316</v>
      </c>
      <c r="R29" s="6" t="s">
        <v>6317</v>
      </c>
    </row>
    <row r="30" spans="1:18" ht="30" x14ac:dyDescent="0.25">
      <c r="A30" s="1" t="s">
        <v>6318</v>
      </c>
      <c r="B30" s="1" t="s">
        <v>6054</v>
      </c>
      <c r="F30" s="2" t="str">
        <f t="shared" si="1"/>
        <v>20010101</v>
      </c>
      <c r="K30" s="2" t="s">
        <v>6319</v>
      </c>
      <c r="M30" s="1" t="s">
        <v>5478</v>
      </c>
      <c r="N30" s="1" t="s">
        <v>5479</v>
      </c>
      <c r="O30" s="1" t="s">
        <v>6320</v>
      </c>
      <c r="R30" s="6" t="s">
        <v>6321</v>
      </c>
    </row>
    <row r="31" spans="1:18" ht="45" x14ac:dyDescent="0.25">
      <c r="A31" s="1" t="s">
        <v>6322</v>
      </c>
      <c r="B31" s="1" t="s">
        <v>6054</v>
      </c>
      <c r="F31" s="2" t="str">
        <f t="shared" si="1"/>
        <v>20010101</v>
      </c>
      <c r="K31" s="2" t="s">
        <v>6323</v>
      </c>
      <c r="M31" s="1" t="s">
        <v>5478</v>
      </c>
      <c r="N31" s="1" t="s">
        <v>5479</v>
      </c>
      <c r="O31" s="1" t="s">
        <v>6324</v>
      </c>
      <c r="R31" s="6" t="s">
        <v>6325</v>
      </c>
    </row>
    <row r="32" spans="1:18" ht="30" x14ac:dyDescent="0.25">
      <c r="A32" s="1" t="s">
        <v>6326</v>
      </c>
      <c r="B32" s="1" t="s">
        <v>6054</v>
      </c>
      <c r="F32" s="2" t="str">
        <f t="shared" si="1"/>
        <v>20010101</v>
      </c>
      <c r="K32" s="2" t="s">
        <v>6327</v>
      </c>
      <c r="M32" s="1" t="s">
        <v>5478</v>
      </c>
      <c r="N32" s="1" t="s">
        <v>5479</v>
      </c>
      <c r="O32" s="1" t="s">
        <v>6328</v>
      </c>
      <c r="R32" s="6" t="s">
        <v>6329</v>
      </c>
    </row>
    <row r="33" spans="1:18" ht="30" x14ac:dyDescent="0.25">
      <c r="A33" s="1" t="s">
        <v>6330</v>
      </c>
      <c r="B33" s="1" t="s">
        <v>6331</v>
      </c>
      <c r="F33" s="2" t="str">
        <f t="shared" si="1"/>
        <v>20010101</v>
      </c>
      <c r="K33" s="2" t="s">
        <v>6332</v>
      </c>
      <c r="M33" s="1" t="s">
        <v>5478</v>
      </c>
      <c r="N33" s="1" t="s">
        <v>5479</v>
      </c>
      <c r="O33" s="1" t="s">
        <v>6333</v>
      </c>
      <c r="R33" s="6" t="s">
        <v>6334</v>
      </c>
    </row>
    <row r="34" spans="1:18" ht="30" x14ac:dyDescent="0.25">
      <c r="A34" s="1" t="s">
        <v>6335</v>
      </c>
      <c r="B34" s="1" t="s">
        <v>6336</v>
      </c>
      <c r="F34" s="2" t="str">
        <f t="shared" si="1"/>
        <v>20010101</v>
      </c>
      <c r="K34" s="2" t="s">
        <v>6337</v>
      </c>
      <c r="M34" s="1" t="s">
        <v>5478</v>
      </c>
      <c r="N34" s="1" t="s">
        <v>5479</v>
      </c>
      <c r="O34" s="1" t="s">
        <v>6338</v>
      </c>
      <c r="R34" s="6" t="s">
        <v>6339</v>
      </c>
    </row>
    <row r="35" spans="1:18" ht="165" x14ac:dyDescent="0.25">
      <c r="A35" s="1" t="s">
        <v>6340</v>
      </c>
      <c r="B35" s="1" t="s">
        <v>6341</v>
      </c>
      <c r="C35" s="1" t="s">
        <v>6342</v>
      </c>
      <c r="D35" s="2" t="str">
        <f>"0001-6772"</f>
        <v>0001-6772</v>
      </c>
      <c r="F35" s="2" t="str">
        <f>"2001 Nov"</f>
        <v>2001 Nov</v>
      </c>
      <c r="G35" s="3">
        <v>173</v>
      </c>
      <c r="H35" s="3">
        <v>3</v>
      </c>
      <c r="I35" s="3">
        <v>275</v>
      </c>
      <c r="K35" s="2">
        <v>11736690</v>
      </c>
      <c r="L35" s="2" t="s">
        <v>6343</v>
      </c>
      <c r="M35" s="1" t="s">
        <v>6344</v>
      </c>
      <c r="N35" s="1" t="s">
        <v>21</v>
      </c>
      <c r="O35" s="1" t="s">
        <v>6345</v>
      </c>
      <c r="Q35" s="2" t="s">
        <v>6346</v>
      </c>
      <c r="R35" s="6" t="s">
        <v>6347</v>
      </c>
    </row>
    <row r="36" spans="1:18" ht="60" x14ac:dyDescent="0.25">
      <c r="A36" s="1" t="s">
        <v>6348</v>
      </c>
      <c r="B36" s="1" t="s">
        <v>6349</v>
      </c>
      <c r="C36" s="1" t="s">
        <v>797</v>
      </c>
      <c r="D36" s="2" t="str">
        <f>"0195-9131"</f>
        <v>0195-9131</v>
      </c>
      <c r="F36" s="2" t="str">
        <f>"2001 Feb"</f>
        <v>2001 Feb</v>
      </c>
      <c r="G36" s="3">
        <v>33</v>
      </c>
      <c r="H36" s="3">
        <v>2</v>
      </c>
      <c r="I36" s="3">
        <v>291</v>
      </c>
      <c r="K36" s="2">
        <v>11224820</v>
      </c>
      <c r="L36" s="2" t="s">
        <v>6350</v>
      </c>
      <c r="M36" s="1" t="s">
        <v>156</v>
      </c>
      <c r="N36" s="1" t="s">
        <v>21</v>
      </c>
      <c r="O36" s="1" t="s">
        <v>6351</v>
      </c>
      <c r="Q36" s="2" t="s">
        <v>6352</v>
      </c>
      <c r="R36" s="6" t="s">
        <v>6353</v>
      </c>
    </row>
    <row r="37" spans="1:18" ht="135" x14ac:dyDescent="0.25">
      <c r="A37" s="1" t="s">
        <v>6354</v>
      </c>
      <c r="B37" s="1" t="s">
        <v>6355</v>
      </c>
      <c r="C37" s="1" t="s">
        <v>797</v>
      </c>
      <c r="D37" s="2" t="str">
        <f>"0195-9131"</f>
        <v>0195-9131</v>
      </c>
      <c r="F37" s="2" t="str">
        <f>"2001 Mar"</f>
        <v>2001 Mar</v>
      </c>
      <c r="G37" s="3">
        <v>33</v>
      </c>
      <c r="H37" s="3">
        <v>3</v>
      </c>
      <c r="I37" s="3">
        <v>348</v>
      </c>
      <c r="K37" s="2">
        <v>11252057</v>
      </c>
      <c r="L37" s="2" t="s">
        <v>6356</v>
      </c>
      <c r="M37" s="1" t="s">
        <v>156</v>
      </c>
      <c r="N37" s="1" t="s">
        <v>21</v>
      </c>
      <c r="O37" s="1" t="s">
        <v>6357</v>
      </c>
      <c r="Q37" s="2" t="s">
        <v>6358</v>
      </c>
      <c r="R37" s="6" t="s">
        <v>6359</v>
      </c>
    </row>
    <row r="38" spans="1:18" ht="90" x14ac:dyDescent="0.25">
      <c r="A38" s="1" t="s">
        <v>6360</v>
      </c>
      <c r="B38" s="1" t="s">
        <v>952</v>
      </c>
      <c r="C38" s="1" t="s">
        <v>6196</v>
      </c>
      <c r="D38" s="2" t="str">
        <f>"1095-6433"</f>
        <v>1095-6433</v>
      </c>
      <c r="F38" s="2" t="str">
        <f>"2001 Apr"</f>
        <v>2001 Apr</v>
      </c>
      <c r="G38" s="3">
        <v>128</v>
      </c>
      <c r="H38" s="3">
        <v>4</v>
      </c>
      <c r="I38" s="3">
        <v>735</v>
      </c>
      <c r="K38" s="2">
        <v>11282317</v>
      </c>
      <c r="L38" s="2" t="s">
        <v>6361</v>
      </c>
      <c r="M38" s="1" t="s">
        <v>608</v>
      </c>
      <c r="N38" s="1" t="s">
        <v>21</v>
      </c>
      <c r="O38" s="1" t="s">
        <v>6362</v>
      </c>
      <c r="Q38" s="2" t="s">
        <v>6363</v>
      </c>
      <c r="R38" s="6" t="s">
        <v>6364</v>
      </c>
    </row>
    <row r="39" spans="1:18" ht="90" x14ac:dyDescent="0.25">
      <c r="A39" s="1" t="s">
        <v>6365</v>
      </c>
      <c r="B39" s="1" t="s">
        <v>952</v>
      </c>
      <c r="C39" s="1" t="s">
        <v>444</v>
      </c>
      <c r="D39" s="2" t="str">
        <f>"0112-1642"</f>
        <v>0112-1642</v>
      </c>
      <c r="F39" s="2" t="str">
        <f>"2001"</f>
        <v>2001</v>
      </c>
      <c r="G39" s="3">
        <v>31</v>
      </c>
      <c r="H39" s="3">
        <v>7</v>
      </c>
      <c r="I39" s="3">
        <v>521</v>
      </c>
      <c r="K39" s="2">
        <v>11428689</v>
      </c>
      <c r="L39" s="2" t="s">
        <v>6366</v>
      </c>
      <c r="M39" s="1" t="s">
        <v>446</v>
      </c>
      <c r="N39" s="1" t="s">
        <v>21</v>
      </c>
      <c r="O39" s="1" t="s">
        <v>6367</v>
      </c>
      <c r="Q39" s="2" t="s">
        <v>6368</v>
      </c>
      <c r="R39" s="6" t="s">
        <v>6369</v>
      </c>
    </row>
    <row r="40" spans="1:18" ht="60" x14ac:dyDescent="0.25">
      <c r="A40" s="1" t="s">
        <v>6370</v>
      </c>
      <c r="B40" s="1" t="s">
        <v>6371</v>
      </c>
      <c r="C40" s="1" t="s">
        <v>444</v>
      </c>
      <c r="D40" s="2" t="str">
        <f>"0112-1642"</f>
        <v>0112-1642</v>
      </c>
      <c r="F40" s="2" t="str">
        <f>"2001"</f>
        <v>2001</v>
      </c>
      <c r="G40" s="3">
        <v>31</v>
      </c>
      <c r="H40" s="3">
        <v>7</v>
      </c>
      <c r="I40" s="3">
        <v>469</v>
      </c>
      <c r="K40" s="2">
        <v>11428684</v>
      </c>
      <c r="L40" s="2" t="s">
        <v>6372</v>
      </c>
      <c r="M40" s="1" t="s">
        <v>446</v>
      </c>
      <c r="N40" s="1" t="s">
        <v>21</v>
      </c>
      <c r="O40" s="1" t="s">
        <v>6373</v>
      </c>
      <c r="Q40" s="2" t="s">
        <v>6374</v>
      </c>
      <c r="R40" s="6" t="s">
        <v>6375</v>
      </c>
    </row>
    <row r="41" spans="1:18" ht="120" x14ac:dyDescent="0.25">
      <c r="A41" s="1" t="s">
        <v>6376</v>
      </c>
      <c r="B41" s="1" t="s">
        <v>6377</v>
      </c>
      <c r="C41" s="1" t="s">
        <v>102</v>
      </c>
      <c r="D41" s="2" t="str">
        <f>"0306-3674"</f>
        <v>0306-3674</v>
      </c>
      <c r="F41" s="2" t="str">
        <f>"2001 Dec"</f>
        <v>2001 Dec</v>
      </c>
      <c r="G41" s="3">
        <v>35</v>
      </c>
      <c r="H41" s="3">
        <v>6</v>
      </c>
      <c r="I41" s="3">
        <v>448</v>
      </c>
      <c r="K41" s="2">
        <v>11726488</v>
      </c>
      <c r="L41" s="2" t="s">
        <v>6378</v>
      </c>
      <c r="M41" s="1" t="s">
        <v>106</v>
      </c>
      <c r="N41" s="1" t="s">
        <v>2054</v>
      </c>
      <c r="O41" s="1" t="s">
        <v>6379</v>
      </c>
      <c r="Q41" s="2" t="s">
        <v>6380</v>
      </c>
      <c r="R41" s="6" t="s">
        <v>6381</v>
      </c>
    </row>
    <row r="42" spans="1:18" ht="30" x14ac:dyDescent="0.25">
      <c r="A42" s="1" t="s">
        <v>6382</v>
      </c>
      <c r="B42" s="1" t="s">
        <v>6383</v>
      </c>
      <c r="E42" s="2" t="str">
        <f>"1876652489"</f>
        <v>1876652489</v>
      </c>
      <c r="F42" s="2" t="str">
        <f>"20010101"</f>
        <v>20010101</v>
      </c>
      <c r="K42" s="2" t="s">
        <v>6384</v>
      </c>
      <c r="M42" s="1" t="s">
        <v>6385</v>
      </c>
      <c r="N42" s="1" t="s">
        <v>5479</v>
      </c>
      <c r="O42" s="1" t="s">
        <v>6386</v>
      </c>
      <c r="Q42" s="2" t="s">
        <v>6387</v>
      </c>
      <c r="R42" s="6" t="s">
        <v>6388</v>
      </c>
    </row>
    <row r="43" spans="1:18" ht="75" x14ac:dyDescent="0.25">
      <c r="A43" s="1" t="s">
        <v>6389</v>
      </c>
      <c r="B43" s="1" t="s">
        <v>6390</v>
      </c>
      <c r="C43" s="1" t="s">
        <v>102</v>
      </c>
      <c r="D43" s="2" t="str">
        <f>"0306-3674"</f>
        <v>0306-3674</v>
      </c>
      <c r="F43" s="2" t="str">
        <f>"2001 Jun"</f>
        <v>2001 Jun</v>
      </c>
      <c r="G43" s="3">
        <v>35</v>
      </c>
      <c r="H43" s="3">
        <v>3</v>
      </c>
      <c r="I43" s="3">
        <v>170</v>
      </c>
      <c r="K43" s="2">
        <v>11375875</v>
      </c>
      <c r="L43" s="2" t="s">
        <v>6391</v>
      </c>
      <c r="M43" s="1" t="s">
        <v>106</v>
      </c>
      <c r="N43" s="1" t="s">
        <v>21</v>
      </c>
      <c r="O43" s="1" t="s">
        <v>6392</v>
      </c>
      <c r="Q43" s="2" t="s">
        <v>6393</v>
      </c>
      <c r="R43" s="6" t="s">
        <v>6394</v>
      </c>
    </row>
    <row r="44" spans="1:18" ht="75" x14ac:dyDescent="0.25">
      <c r="A44" s="1" t="s">
        <v>6395</v>
      </c>
      <c r="B44" s="1" t="s">
        <v>5268</v>
      </c>
      <c r="C44" s="1" t="s">
        <v>112</v>
      </c>
      <c r="D44" s="2" t="str">
        <f>"1050-642X"</f>
        <v>1050-642X</v>
      </c>
      <c r="F44" s="2" t="str">
        <f>"2001 Jan"</f>
        <v>2001 Jan</v>
      </c>
      <c r="G44" s="3">
        <v>11</v>
      </c>
      <c r="H44" s="3">
        <v>1</v>
      </c>
      <c r="I44" s="3">
        <v>38</v>
      </c>
      <c r="K44" s="2">
        <v>11176144</v>
      </c>
      <c r="L44" s="2" t="s">
        <v>6396</v>
      </c>
      <c r="M44" s="1" t="s">
        <v>116</v>
      </c>
      <c r="N44" s="1" t="s">
        <v>21</v>
      </c>
      <c r="O44" s="1" t="s">
        <v>6397</v>
      </c>
      <c r="Q44" s="2" t="s">
        <v>6398</v>
      </c>
      <c r="R44" s="6" t="s">
        <v>6399</v>
      </c>
    </row>
    <row r="45" spans="1:18" ht="135" x14ac:dyDescent="0.25">
      <c r="A45" s="1" t="s">
        <v>6400</v>
      </c>
      <c r="B45" s="1" t="s">
        <v>6401</v>
      </c>
      <c r="C45" s="1" t="s">
        <v>444</v>
      </c>
      <c r="D45" s="2" t="str">
        <f>"0112-1642"</f>
        <v>0112-1642</v>
      </c>
      <c r="F45" s="2" t="str">
        <f>"2001"</f>
        <v>2001</v>
      </c>
      <c r="G45" s="3">
        <v>31</v>
      </c>
      <c r="H45" s="3">
        <v>7</v>
      </c>
      <c r="I45" s="3">
        <v>533</v>
      </c>
      <c r="K45" s="2">
        <v>11428690</v>
      </c>
      <c r="L45" s="2" t="s">
        <v>6402</v>
      </c>
      <c r="M45" s="1" t="s">
        <v>446</v>
      </c>
      <c r="N45" s="1" t="s">
        <v>21</v>
      </c>
      <c r="O45" s="1" t="s">
        <v>6403</v>
      </c>
      <c r="Q45" s="2" t="s">
        <v>6404</v>
      </c>
      <c r="R45" s="6" t="s">
        <v>6405</v>
      </c>
    </row>
  </sheetData>
  <hyperlinks>
    <hyperlink ref="R2" r:id="rId1" xr:uid="{344355E0-368E-44E1-8454-FDD1577C9FE5}"/>
    <hyperlink ref="R3" r:id="rId2" xr:uid="{F2359F81-49A9-49A2-B8A7-FE2FF734807C}"/>
    <hyperlink ref="R4" r:id="rId3" xr:uid="{DFDAAAF1-533D-48E0-84FE-76CC3AFE3D1B}"/>
    <hyperlink ref="R5" r:id="rId4" xr:uid="{62D54D66-340C-4EFE-B771-C2AF23AD2866}"/>
    <hyperlink ref="R6" r:id="rId5" xr:uid="{3FC54C89-A8F1-4223-8DC4-22C2D3847102}"/>
    <hyperlink ref="R7" r:id="rId6" xr:uid="{30CE6196-06B7-4EDC-A488-718BBB3F9DD5}"/>
    <hyperlink ref="R8" r:id="rId7" xr:uid="{943C952D-DF11-4FF9-A87D-D3C0F3190453}"/>
    <hyperlink ref="R9" r:id="rId8" xr:uid="{1A11F95D-4122-4049-9199-370C218A4051}"/>
    <hyperlink ref="R10" r:id="rId9" xr:uid="{F81B3ECB-9DF0-49AD-A248-5FE60B56591B}"/>
    <hyperlink ref="R11" r:id="rId10" xr:uid="{89D16410-FFC8-4E31-95E1-902940872967}"/>
    <hyperlink ref="R12" r:id="rId11" xr:uid="{1A6B7B74-4866-4004-BD90-886DD582720C}"/>
    <hyperlink ref="R13" r:id="rId12" xr:uid="{57E60584-70D0-4C7E-9E7F-725C012E127F}"/>
    <hyperlink ref="R14" r:id="rId13" xr:uid="{0C49A00A-69F0-4262-8B07-94CDBE4AB546}"/>
    <hyperlink ref="R15" r:id="rId14" xr:uid="{CBB80C2C-4D40-4D26-B0D8-40CA95827D8B}"/>
    <hyperlink ref="R16" r:id="rId15" xr:uid="{00F44577-2CB9-4908-A407-AEE3240A8566}"/>
    <hyperlink ref="R17" r:id="rId16" xr:uid="{E82DB5A9-449C-467C-9BBE-DDCFB7065769}"/>
    <hyperlink ref="R18" r:id="rId17" xr:uid="{9E3E2C27-0E53-4869-8FAC-183B57ED0963}"/>
    <hyperlink ref="R19" r:id="rId18" xr:uid="{E2D24FA7-1CE6-4FD9-943E-A9EE1435363C}"/>
    <hyperlink ref="R20" r:id="rId19" xr:uid="{69C822E3-EA39-415D-9CBF-C70ED40BF6E2}"/>
    <hyperlink ref="R21" r:id="rId20" xr:uid="{F8939C0A-D333-4B7D-8A5E-AD59FF5C047B}"/>
    <hyperlink ref="R22" r:id="rId21" xr:uid="{289DE41B-8111-44BF-8B37-1911CEF26EC9}"/>
    <hyperlink ref="R23" r:id="rId22" xr:uid="{02338F02-CB7F-4FC5-8A3C-C3A4921E1D8A}"/>
    <hyperlink ref="R24" r:id="rId23" xr:uid="{4D585ED0-122C-435D-98FA-F66B98CFADDA}"/>
    <hyperlink ref="R25" r:id="rId24" xr:uid="{57D2E545-A2B4-4ABC-8A6D-F5A045AA6FF3}"/>
    <hyperlink ref="R26" r:id="rId25" xr:uid="{8B835FC5-C193-40F1-A65A-E9C68956031D}"/>
    <hyperlink ref="R27" r:id="rId26" xr:uid="{3D0CF814-65D9-452B-A393-84319565CDC0}"/>
    <hyperlink ref="R28" r:id="rId27" xr:uid="{5566B58F-B87E-4C56-9DFE-3C9E9099A343}"/>
    <hyperlink ref="R29" r:id="rId28" xr:uid="{9A36E85F-0BAA-44A4-926D-F6016AE3C5EF}"/>
    <hyperlink ref="R30" r:id="rId29" xr:uid="{C3BF756B-63AC-4A6E-96EA-7BDDBE2979D9}"/>
    <hyperlink ref="R31" r:id="rId30" xr:uid="{EF754EE0-0DE3-47F8-9DF2-459B52054716}"/>
    <hyperlink ref="R32" r:id="rId31" xr:uid="{A9633A8D-E7E8-4CFD-89D0-971BEBDBE2A3}"/>
    <hyperlink ref="R33" r:id="rId32" xr:uid="{3DF604F5-1E36-4088-8942-A4E62623BBF7}"/>
    <hyperlink ref="R34" r:id="rId33" xr:uid="{1E414E63-95CA-46B1-9F66-169F862DB123}"/>
    <hyperlink ref="R35" r:id="rId34" xr:uid="{7B3C1A44-6EAF-4082-A4D5-7860761E6919}"/>
    <hyperlink ref="R36" r:id="rId35" xr:uid="{730988D4-EB74-4EF4-BA13-BB194A55F0ED}"/>
    <hyperlink ref="R37" r:id="rId36" xr:uid="{3BF7FFC8-0A28-4C0B-AA33-32292BD8F3F5}"/>
    <hyperlink ref="R38" r:id="rId37" xr:uid="{01DB0CC3-B9F0-4EE9-BE45-FF82245C1810}"/>
    <hyperlink ref="R39" r:id="rId38" xr:uid="{9400437A-D55B-4C2B-A18A-134256CA4447}"/>
    <hyperlink ref="R40" r:id="rId39" xr:uid="{68DE123D-52D9-4996-90AE-F7507881C178}"/>
    <hyperlink ref="R41" r:id="rId40" xr:uid="{5CCBA580-F6D0-4F31-ADED-1F083F8DAF3D}"/>
    <hyperlink ref="R42" r:id="rId41" xr:uid="{4545AD0D-6EC6-4335-96D3-7ADCE1168D88}"/>
    <hyperlink ref="R43" r:id="rId42" xr:uid="{F919B58F-CF2D-42CF-A9B9-CE80434E27ED}"/>
    <hyperlink ref="R44" r:id="rId43" xr:uid="{F5442381-837B-4EE3-A2F7-96F84785AD13}"/>
    <hyperlink ref="R45" r:id="rId44" xr:uid="{B6355ACF-F3CA-481E-A0CE-CB15C8FAEF3C}"/>
  </hyperlinks>
  <pageMargins left="0.7" right="0.7" top="0.75" bottom="0.75" header="0.3" footer="0.3"/>
  <headerFooter>
    <oddHeader>&amp;C&amp;"Calibri"&amp;12&amp;KFF0000 OFFICIAL&amp;1#_x000D_</oddHeader>
  </headerFooter>
  <tableParts count="1">
    <tablePart r:id="rId45"/>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R22"/>
  <sheetViews>
    <sheetView workbookViewId="0">
      <selection activeCell="R23" sqref="R23"/>
    </sheetView>
  </sheetViews>
  <sheetFormatPr defaultColWidth="8.7109375" defaultRowHeight="15" x14ac:dyDescent="0.25"/>
  <cols>
    <col min="1" max="1" width="34.7109375" style="1" customWidth="1"/>
    <col min="2" max="2" width="32.85546875" style="1" customWidth="1"/>
    <col min="3" max="3" width="36.28515625" style="1" customWidth="1"/>
    <col min="4" max="4" width="9.42578125" style="2" bestFit="1" customWidth="1"/>
    <col min="5" max="5" width="10.85546875" style="2" bestFit="1" customWidth="1"/>
    <col min="6" max="6" width="17.28515625" style="2" bestFit="1" customWidth="1"/>
    <col min="7" max="7" width="9.85546875" style="2" bestFit="1" customWidth="1"/>
    <col min="8" max="8" width="7.42578125" style="2" bestFit="1" customWidth="1"/>
    <col min="9" max="9" width="11.42578125" style="2" bestFit="1" customWidth="1"/>
    <col min="10" max="10" width="12.42578125" style="2" hidden="1" customWidth="1"/>
    <col min="11" max="11" width="18.42578125" style="2" hidden="1" customWidth="1"/>
    <col min="12" max="12" width="18.42578125" style="1" customWidth="1"/>
    <col min="13" max="13" width="23.28515625" style="1" customWidth="1"/>
    <col min="14" max="14" width="20.85546875" style="1" customWidth="1"/>
    <col min="15" max="15" width="42.140625" style="1" customWidth="1"/>
    <col min="16" max="16" width="11.140625" style="2" hidden="1" customWidth="1"/>
    <col min="17" max="17" width="24.42578125" style="2" customWidth="1"/>
    <col min="18" max="18" width="24.7109375" style="2" customWidth="1"/>
    <col min="19" max="16384" width="8.7109375" style="2"/>
  </cols>
  <sheetData>
    <row r="1" spans="1:18" x14ac:dyDescent="0.25">
      <c r="A1" s="1" t="s">
        <v>0</v>
      </c>
      <c r="B1" s="1" t="s">
        <v>1</v>
      </c>
      <c r="C1" s="1" t="s">
        <v>2</v>
      </c>
      <c r="D1" s="2" t="s">
        <v>3</v>
      </c>
      <c r="E1" s="2" t="s">
        <v>1486</v>
      </c>
      <c r="F1" s="2" t="s">
        <v>4</v>
      </c>
      <c r="G1" s="2" t="s">
        <v>5</v>
      </c>
      <c r="H1" s="2" t="s">
        <v>6</v>
      </c>
      <c r="I1" s="2" t="s">
        <v>7</v>
      </c>
      <c r="J1" s="2" t="s">
        <v>140</v>
      </c>
      <c r="K1" s="2" t="s">
        <v>141</v>
      </c>
      <c r="L1" s="1" t="s">
        <v>8</v>
      </c>
      <c r="M1" s="1" t="s">
        <v>9</v>
      </c>
      <c r="N1" s="1" t="s">
        <v>10</v>
      </c>
      <c r="O1" s="1" t="s">
        <v>11</v>
      </c>
      <c r="P1" s="2" t="s">
        <v>779</v>
      </c>
      <c r="Q1" s="2" t="s">
        <v>12</v>
      </c>
      <c r="R1" s="2" t="s">
        <v>13</v>
      </c>
    </row>
    <row r="2" spans="1:18" ht="195" x14ac:dyDescent="0.25">
      <c r="A2" s="1" t="s">
        <v>6406</v>
      </c>
      <c r="B2" s="1" t="s">
        <v>6407</v>
      </c>
      <c r="C2" s="1" t="s">
        <v>6022</v>
      </c>
      <c r="D2" s="2" t="str">
        <f>"0390-6078"</f>
        <v>0390-6078</v>
      </c>
      <c r="F2" s="2" t="str">
        <f>"2000 Jun"</f>
        <v>2000 Jun</v>
      </c>
      <c r="G2" s="2">
        <v>85</v>
      </c>
      <c r="H2" s="2">
        <v>6</v>
      </c>
      <c r="I2" s="2">
        <v>564</v>
      </c>
      <c r="K2" s="2">
        <v>10870111</v>
      </c>
      <c r="M2" s="1" t="s">
        <v>6023</v>
      </c>
      <c r="N2" s="1" t="s">
        <v>646</v>
      </c>
      <c r="O2" s="1" t="s">
        <v>6408</v>
      </c>
      <c r="Q2" s="2" t="s">
        <v>6409</v>
      </c>
      <c r="R2" s="6" t="s">
        <v>6410</v>
      </c>
    </row>
    <row r="3" spans="1:18" ht="75" x14ac:dyDescent="0.25">
      <c r="A3" s="1" t="s">
        <v>6411</v>
      </c>
      <c r="B3" s="1" t="s">
        <v>6412</v>
      </c>
      <c r="C3" s="1" t="s">
        <v>55</v>
      </c>
      <c r="D3" s="2" t="str">
        <f>"1440-2440"</f>
        <v>1440-2440</v>
      </c>
      <c r="F3" s="2" t="str">
        <f>"2000 Mar"</f>
        <v>2000 Mar</v>
      </c>
      <c r="G3" s="2">
        <v>3</v>
      </c>
      <c r="H3" s="2">
        <v>1</v>
      </c>
      <c r="I3" s="2">
        <v>79</v>
      </c>
      <c r="K3" s="2">
        <v>10839231</v>
      </c>
      <c r="L3" s="1" t="s">
        <v>6413</v>
      </c>
      <c r="M3" s="1" t="s">
        <v>59</v>
      </c>
      <c r="N3" s="1" t="s">
        <v>21</v>
      </c>
      <c r="O3" s="1" t="s">
        <v>6414</v>
      </c>
      <c r="Q3" s="2" t="s">
        <v>6415</v>
      </c>
      <c r="R3" s="6" t="s">
        <v>6416</v>
      </c>
    </row>
    <row r="4" spans="1:18" ht="135" x14ac:dyDescent="0.25">
      <c r="A4" s="1" t="s">
        <v>6417</v>
      </c>
      <c r="B4" s="1" t="s">
        <v>6418</v>
      </c>
      <c r="C4" s="1" t="s">
        <v>444</v>
      </c>
      <c r="D4" s="2" t="str">
        <f>"0112-1642"</f>
        <v>0112-1642</v>
      </c>
      <c r="F4" s="2" t="str">
        <f>"2000 Aug"</f>
        <v>2000 Aug</v>
      </c>
      <c r="G4" s="2">
        <v>30</v>
      </c>
      <c r="H4" s="2">
        <v>2</v>
      </c>
      <c r="I4" s="2">
        <v>105</v>
      </c>
      <c r="K4" s="2">
        <v>10966150</v>
      </c>
      <c r="L4" s="1" t="s">
        <v>6419</v>
      </c>
      <c r="M4" s="1" t="s">
        <v>446</v>
      </c>
      <c r="N4" s="1" t="s">
        <v>21</v>
      </c>
      <c r="O4" s="1" t="s">
        <v>6420</v>
      </c>
      <c r="Q4" s="2" t="s">
        <v>6421</v>
      </c>
      <c r="R4" s="6" t="s">
        <v>6422</v>
      </c>
    </row>
    <row r="5" spans="1:18" ht="75" x14ac:dyDescent="0.25">
      <c r="A5" s="1" t="s">
        <v>6423</v>
      </c>
      <c r="B5" s="1" t="s">
        <v>6424</v>
      </c>
      <c r="C5" s="1" t="s">
        <v>545</v>
      </c>
      <c r="D5" s="2" t="str">
        <f>"8750-7587"</f>
        <v>8750-7587</v>
      </c>
      <c r="F5" s="2" t="str">
        <f>"2000 Apr"</f>
        <v>2000 Apr</v>
      </c>
      <c r="G5" s="2">
        <v>88</v>
      </c>
      <c r="H5" s="2">
        <v>4</v>
      </c>
      <c r="I5" s="2">
        <v>1284</v>
      </c>
      <c r="K5" s="2">
        <v>10749820</v>
      </c>
      <c r="L5" s="1" t="s">
        <v>6425</v>
      </c>
      <c r="M5" s="1" t="s">
        <v>547</v>
      </c>
      <c r="N5" s="1" t="s">
        <v>646</v>
      </c>
      <c r="O5" s="1" t="s">
        <v>6426</v>
      </c>
      <c r="Q5" s="2" t="s">
        <v>6427</v>
      </c>
      <c r="R5" s="6" t="s">
        <v>6428</v>
      </c>
    </row>
    <row r="6" spans="1:18" ht="75" x14ac:dyDescent="0.25">
      <c r="A6" s="1" t="s">
        <v>6429</v>
      </c>
      <c r="B6" s="1" t="s">
        <v>6430</v>
      </c>
      <c r="C6" s="1" t="s">
        <v>112</v>
      </c>
      <c r="D6" s="2" t="str">
        <f>"1050-642X"</f>
        <v>1050-642X</v>
      </c>
      <c r="F6" s="2" t="str">
        <f>"2000 Jul"</f>
        <v>2000 Jul</v>
      </c>
      <c r="G6" s="2">
        <v>10</v>
      </c>
      <c r="H6" s="2">
        <v>3</v>
      </c>
      <c r="I6" s="2">
        <v>201</v>
      </c>
      <c r="K6" s="2">
        <v>10959931</v>
      </c>
      <c r="L6" s="1" t="s">
        <v>6431</v>
      </c>
      <c r="M6" s="1" t="s">
        <v>116</v>
      </c>
      <c r="N6" s="1" t="s">
        <v>2054</v>
      </c>
      <c r="O6" s="1" t="s">
        <v>6432</v>
      </c>
      <c r="R6" s="6" t="s">
        <v>6433</v>
      </c>
    </row>
    <row r="7" spans="1:18" ht="75" x14ac:dyDescent="0.25">
      <c r="A7" s="1" t="s">
        <v>6434</v>
      </c>
      <c r="B7" s="1" t="s">
        <v>6435</v>
      </c>
      <c r="C7" s="1" t="s">
        <v>102</v>
      </c>
      <c r="D7" s="2" t="str">
        <f>"0306-3674"</f>
        <v>0306-3674</v>
      </c>
      <c r="F7" s="2" t="str">
        <f>"2000 Oct"</f>
        <v>2000 Oct</v>
      </c>
      <c r="G7" s="2">
        <v>34</v>
      </c>
      <c r="H7" s="2">
        <v>5</v>
      </c>
      <c r="I7" s="2">
        <v>391</v>
      </c>
      <c r="K7" s="2">
        <v>11049152</v>
      </c>
      <c r="L7" s="1" t="s">
        <v>6436</v>
      </c>
      <c r="M7" s="1" t="s">
        <v>106</v>
      </c>
      <c r="N7" s="1" t="s">
        <v>21</v>
      </c>
      <c r="O7" s="1" t="s">
        <v>6437</v>
      </c>
      <c r="R7" s="6" t="s">
        <v>6438</v>
      </c>
    </row>
    <row r="8" spans="1:18" ht="180" x14ac:dyDescent="0.25">
      <c r="A8" s="1" t="s">
        <v>6439</v>
      </c>
      <c r="B8" s="1" t="s">
        <v>6440</v>
      </c>
      <c r="C8" s="1" t="s">
        <v>545</v>
      </c>
      <c r="D8" s="2" t="str">
        <f>"8750-7587"</f>
        <v>8750-7587</v>
      </c>
      <c r="F8" s="2" t="str">
        <f>"2000 Dec"</f>
        <v>2000 Dec</v>
      </c>
      <c r="G8" s="2">
        <v>89</v>
      </c>
      <c r="H8" s="2">
        <v>6</v>
      </c>
      <c r="I8" s="2">
        <v>2413</v>
      </c>
      <c r="K8" s="2">
        <v>11090597</v>
      </c>
      <c r="L8" s="1" t="s">
        <v>6441</v>
      </c>
      <c r="M8" s="1" t="s">
        <v>547</v>
      </c>
      <c r="N8" s="1" t="s">
        <v>646</v>
      </c>
      <c r="O8" s="1" t="s">
        <v>6442</v>
      </c>
      <c r="Q8" s="2" t="s">
        <v>6443</v>
      </c>
      <c r="R8" s="6" t="s">
        <v>6444</v>
      </c>
    </row>
    <row r="9" spans="1:18" ht="75" x14ac:dyDescent="0.25">
      <c r="A9" s="1" t="s">
        <v>6445</v>
      </c>
      <c r="B9" s="1" t="s">
        <v>6446</v>
      </c>
      <c r="C9" s="1" t="s">
        <v>46</v>
      </c>
      <c r="D9" s="2" t="str">
        <f>"1439-6319"</f>
        <v>1439-6319</v>
      </c>
      <c r="F9" s="2" t="str">
        <f>"2000 May"</f>
        <v>2000 May</v>
      </c>
      <c r="G9" s="2">
        <v>82</v>
      </c>
      <c r="H9" s="10">
        <v>44593</v>
      </c>
      <c r="I9" s="2">
        <v>112</v>
      </c>
      <c r="K9" s="2">
        <v>10879451</v>
      </c>
      <c r="L9" s="1" t="s">
        <v>6447</v>
      </c>
      <c r="M9" s="1" t="s">
        <v>50</v>
      </c>
      <c r="N9" s="1" t="s">
        <v>21</v>
      </c>
      <c r="O9" s="1" t="s">
        <v>6448</v>
      </c>
      <c r="Q9" s="2" t="s">
        <v>6449</v>
      </c>
      <c r="R9" s="6" t="s">
        <v>6450</v>
      </c>
    </row>
    <row r="10" spans="1:18" ht="75" x14ac:dyDescent="0.25">
      <c r="A10" s="1" t="s">
        <v>6451</v>
      </c>
      <c r="B10" s="1" t="s">
        <v>6452</v>
      </c>
      <c r="C10" s="1" t="s">
        <v>444</v>
      </c>
      <c r="D10" s="2" t="str">
        <f>"0112-1642"</f>
        <v>0112-1642</v>
      </c>
      <c r="F10" s="2" t="str">
        <f>"2000 Jan"</f>
        <v>2000 Jan</v>
      </c>
      <c r="G10" s="2">
        <v>29</v>
      </c>
      <c r="H10" s="2">
        <v>1</v>
      </c>
      <c r="I10" s="2">
        <v>1</v>
      </c>
      <c r="K10" s="2">
        <v>10688279</v>
      </c>
      <c r="L10" s="1" t="s">
        <v>6453</v>
      </c>
      <c r="M10" s="1" t="s">
        <v>446</v>
      </c>
      <c r="N10" s="1" t="s">
        <v>21</v>
      </c>
      <c r="O10" s="1" t="s">
        <v>6454</v>
      </c>
      <c r="Q10" s="2" t="s">
        <v>6455</v>
      </c>
      <c r="R10" s="6" t="s">
        <v>6456</v>
      </c>
    </row>
    <row r="11" spans="1:18" ht="135" x14ac:dyDescent="0.25">
      <c r="A11" s="1" t="s">
        <v>6457</v>
      </c>
      <c r="B11" s="1" t="s">
        <v>6458</v>
      </c>
      <c r="C11" s="1" t="s">
        <v>2322</v>
      </c>
      <c r="D11" s="2" t="str">
        <f>"0022-4707"</f>
        <v>0022-4707</v>
      </c>
      <c r="F11" s="2" t="str">
        <f>"2000 Sep"</f>
        <v>2000 Sep</v>
      </c>
      <c r="G11" s="2">
        <v>40</v>
      </c>
      <c r="H11" s="2">
        <v>3</v>
      </c>
      <c r="I11" s="2">
        <v>201</v>
      </c>
      <c r="K11" s="2">
        <v>11125762</v>
      </c>
      <c r="M11" s="1" t="s">
        <v>2324</v>
      </c>
      <c r="N11" s="1" t="s">
        <v>924</v>
      </c>
      <c r="O11" s="1" t="s">
        <v>6459</v>
      </c>
      <c r="Q11" s="2" t="s">
        <v>6460</v>
      </c>
      <c r="R11" s="6" t="s">
        <v>6461</v>
      </c>
    </row>
    <row r="12" spans="1:18" ht="210" x14ac:dyDescent="0.25">
      <c r="A12" s="1" t="s">
        <v>6462</v>
      </c>
      <c r="B12" s="1" t="s">
        <v>6463</v>
      </c>
      <c r="C12" s="1" t="s">
        <v>6464</v>
      </c>
      <c r="D12" s="2" t="str">
        <f>"1079-9907"</f>
        <v>1079-9907</v>
      </c>
      <c r="F12" s="2" t="str">
        <f>"2000 Apr"</f>
        <v>2000 Apr</v>
      </c>
      <c r="G12" s="2">
        <v>20</v>
      </c>
      <c r="H12" s="2">
        <v>4</v>
      </c>
      <c r="I12" s="2">
        <v>411</v>
      </c>
      <c r="K12" s="2">
        <v>10805376</v>
      </c>
      <c r="L12" s="1" t="s">
        <v>6465</v>
      </c>
      <c r="M12" s="1" t="s">
        <v>6466</v>
      </c>
      <c r="N12" s="1" t="s">
        <v>21</v>
      </c>
      <c r="O12" s="1" t="s">
        <v>6467</v>
      </c>
      <c r="Q12" s="2" t="s">
        <v>6468</v>
      </c>
      <c r="R12" s="6" t="s">
        <v>6469</v>
      </c>
    </row>
    <row r="13" spans="1:18" ht="135" x14ac:dyDescent="0.25">
      <c r="A13" s="1" t="s">
        <v>6470</v>
      </c>
      <c r="B13" s="1" t="s">
        <v>6471</v>
      </c>
      <c r="C13" s="1" t="s">
        <v>55</v>
      </c>
      <c r="D13" s="2" t="str">
        <f>"1440-2440"</f>
        <v>1440-2440</v>
      </c>
      <c r="F13" s="2" t="str">
        <f>"2000 Mar"</f>
        <v>2000 Mar</v>
      </c>
      <c r="G13" s="2">
        <v>3</v>
      </c>
      <c r="H13" s="2">
        <v>1</v>
      </c>
      <c r="I13" s="2">
        <v>44</v>
      </c>
      <c r="K13" s="2">
        <v>10839228</v>
      </c>
      <c r="L13" s="1" t="s">
        <v>6472</v>
      </c>
      <c r="M13" s="1" t="s">
        <v>59</v>
      </c>
      <c r="N13" s="1" t="s">
        <v>21</v>
      </c>
      <c r="O13" s="1" t="s">
        <v>6473</v>
      </c>
      <c r="Q13" s="2" t="s">
        <v>6474</v>
      </c>
      <c r="R13" s="6" t="s">
        <v>6475</v>
      </c>
    </row>
    <row r="14" spans="1:18" ht="60" x14ac:dyDescent="0.25">
      <c r="A14" s="1" t="s">
        <v>6476</v>
      </c>
      <c r="B14" s="1" t="s">
        <v>6477</v>
      </c>
      <c r="C14" s="1" t="s">
        <v>55</v>
      </c>
      <c r="D14" s="2" t="str">
        <f>"1440-2440"</f>
        <v>1440-2440</v>
      </c>
      <c r="F14" s="2" t="str">
        <f>"2000 Dec"</f>
        <v>2000 Dec</v>
      </c>
      <c r="G14" s="2">
        <v>3</v>
      </c>
      <c r="H14" s="2">
        <v>4</v>
      </c>
      <c r="I14" s="2" t="s">
        <v>6478</v>
      </c>
      <c r="K14" s="2">
        <v>11235014</v>
      </c>
      <c r="M14" s="1" t="s">
        <v>59</v>
      </c>
      <c r="N14" s="1" t="s">
        <v>21</v>
      </c>
      <c r="O14" s="1" t="s">
        <v>6479</v>
      </c>
      <c r="R14" s="6" t="s">
        <v>6480</v>
      </c>
    </row>
    <row r="15" spans="1:18" ht="60" x14ac:dyDescent="0.25">
      <c r="A15" s="1" t="s">
        <v>6481</v>
      </c>
      <c r="B15" s="1" t="s">
        <v>6482</v>
      </c>
      <c r="E15" s="2" t="str">
        <f>"0736003266"</f>
        <v>0736003266</v>
      </c>
      <c r="F15" s="2" t="str">
        <f>"20000101"</f>
        <v>20000101</v>
      </c>
      <c r="K15" s="2" t="s">
        <v>6483</v>
      </c>
      <c r="M15" s="1" t="s">
        <v>322</v>
      </c>
      <c r="N15" s="1" t="s">
        <v>5479</v>
      </c>
      <c r="O15" s="1" t="s">
        <v>6484</v>
      </c>
      <c r="R15" s="6" t="s">
        <v>6485</v>
      </c>
    </row>
    <row r="16" spans="1:18" ht="90" x14ac:dyDescent="0.25">
      <c r="A16" s="1" t="s">
        <v>6486</v>
      </c>
      <c r="B16" s="1" t="s">
        <v>6487</v>
      </c>
      <c r="C16" s="1" t="s">
        <v>55</v>
      </c>
      <c r="D16" s="2" t="str">
        <f>"1440-2440"</f>
        <v>1440-2440</v>
      </c>
      <c r="F16" s="2" t="str">
        <f>"2000 Dec"</f>
        <v>2000 Dec</v>
      </c>
      <c r="G16" s="2">
        <v>3</v>
      </c>
      <c r="H16" s="2">
        <v>4</v>
      </c>
      <c r="I16" s="2">
        <v>391</v>
      </c>
      <c r="K16" s="2">
        <v>11235005</v>
      </c>
      <c r="L16" s="1" t="s">
        <v>6488</v>
      </c>
      <c r="M16" s="1" t="s">
        <v>59</v>
      </c>
      <c r="N16" s="1" t="s">
        <v>924</v>
      </c>
      <c r="O16" s="1" t="s">
        <v>6489</v>
      </c>
      <c r="Q16" s="2" t="s">
        <v>6490</v>
      </c>
      <c r="R16" s="6" t="s">
        <v>6491</v>
      </c>
    </row>
    <row r="17" spans="1:18" ht="105" x14ac:dyDescent="0.25">
      <c r="A17" s="1" t="s">
        <v>6492</v>
      </c>
      <c r="B17" s="1" t="s">
        <v>6493</v>
      </c>
      <c r="C17" s="1" t="s">
        <v>696</v>
      </c>
      <c r="D17" s="2" t="str">
        <f>"0172-4622"</f>
        <v>0172-4622</v>
      </c>
      <c r="F17" s="2" t="str">
        <f>"2000 Oct"</f>
        <v>2000 Oct</v>
      </c>
      <c r="G17" s="2">
        <v>21</v>
      </c>
      <c r="H17" s="2">
        <v>7</v>
      </c>
      <c r="I17" s="2">
        <v>471</v>
      </c>
      <c r="K17" s="2">
        <v>11071048</v>
      </c>
      <c r="L17" s="1" t="s">
        <v>6494</v>
      </c>
      <c r="M17" s="1" t="s">
        <v>698</v>
      </c>
      <c r="N17" s="1" t="s">
        <v>924</v>
      </c>
      <c r="O17" s="1" t="s">
        <v>6495</v>
      </c>
      <c r="Q17" s="2" t="s">
        <v>6496</v>
      </c>
      <c r="R17" s="6" t="s">
        <v>6497</v>
      </c>
    </row>
    <row r="18" spans="1:18" ht="90" x14ac:dyDescent="0.25">
      <c r="A18" s="1" t="s">
        <v>6498</v>
      </c>
      <c r="B18" s="1" t="s">
        <v>6499</v>
      </c>
      <c r="C18" s="1" t="s">
        <v>46</v>
      </c>
      <c r="D18" s="2" t="str">
        <f>"1439-6319"</f>
        <v>1439-6319</v>
      </c>
      <c r="F18" s="2" t="str">
        <f>"2000 Mar"</f>
        <v>2000 Mar</v>
      </c>
      <c r="G18" s="2">
        <v>81</v>
      </c>
      <c r="H18" s="2">
        <v>5</v>
      </c>
      <c r="I18" s="2">
        <v>428</v>
      </c>
      <c r="K18" s="2">
        <v>10751105</v>
      </c>
      <c r="L18" s="1" t="s">
        <v>6500</v>
      </c>
      <c r="M18" s="1" t="s">
        <v>50</v>
      </c>
      <c r="N18" s="1" t="s">
        <v>646</v>
      </c>
      <c r="O18" s="1" t="s">
        <v>6501</v>
      </c>
      <c r="Q18" s="2" t="s">
        <v>6502</v>
      </c>
      <c r="R18" s="6" t="s">
        <v>6503</v>
      </c>
    </row>
    <row r="19" spans="1:18" ht="45" x14ac:dyDescent="0.25">
      <c r="A19" s="1" t="s">
        <v>6504</v>
      </c>
      <c r="B19" s="1" t="s">
        <v>6505</v>
      </c>
      <c r="C19" s="1" t="s">
        <v>797</v>
      </c>
      <c r="D19" s="2" t="str">
        <f>"0195-9131"</f>
        <v>0195-9131</v>
      </c>
      <c r="F19" s="2" t="str">
        <f>"2000 Feb"</f>
        <v>2000 Feb</v>
      </c>
      <c r="G19" s="2">
        <v>32</v>
      </c>
      <c r="H19" s="2">
        <v>2</v>
      </c>
      <c r="I19" s="2">
        <v>540</v>
      </c>
      <c r="K19" s="2">
        <v>10694144</v>
      </c>
      <c r="L19" s="1" t="s">
        <v>6506</v>
      </c>
      <c r="M19" s="1" t="s">
        <v>156</v>
      </c>
      <c r="N19" s="1" t="s">
        <v>21</v>
      </c>
      <c r="O19" s="1" t="s">
        <v>6507</v>
      </c>
      <c r="Q19" s="2" t="s">
        <v>6508</v>
      </c>
      <c r="R19" s="6" t="s">
        <v>6509</v>
      </c>
    </row>
    <row r="20" spans="1:18" ht="45" x14ac:dyDescent="0.25">
      <c r="A20" s="1" t="s">
        <v>6510</v>
      </c>
      <c r="F20" s="2" t="str">
        <f>"20000101"</f>
        <v>20000101</v>
      </c>
      <c r="K20" s="2" t="s">
        <v>6511</v>
      </c>
      <c r="M20" s="1" t="s">
        <v>5823</v>
      </c>
      <c r="N20" s="1" t="s">
        <v>5479</v>
      </c>
      <c r="O20" s="1" t="s">
        <v>6512</v>
      </c>
      <c r="R20" s="6" t="s">
        <v>6513</v>
      </c>
    </row>
    <row r="21" spans="1:18" ht="90" x14ac:dyDescent="0.25">
      <c r="A21" s="1" t="s">
        <v>6514</v>
      </c>
      <c r="B21" s="1" t="s">
        <v>6515</v>
      </c>
      <c r="C21" s="1" t="s">
        <v>921</v>
      </c>
      <c r="D21" s="2" t="str">
        <f>"0264-0414"</f>
        <v>0264-0414</v>
      </c>
      <c r="F21" s="2" t="str">
        <f>"2000 Sep"</f>
        <v>2000 Sep</v>
      </c>
      <c r="G21" s="2">
        <v>18</v>
      </c>
      <c r="H21" s="2">
        <v>9</v>
      </c>
      <c r="I21" s="2">
        <v>751</v>
      </c>
      <c r="K21" s="2">
        <v>11043900</v>
      </c>
      <c r="L21" s="1" t="s">
        <v>6516</v>
      </c>
      <c r="M21" s="1" t="s">
        <v>923</v>
      </c>
      <c r="N21" s="1" t="s">
        <v>21</v>
      </c>
      <c r="O21" s="1" t="s">
        <v>6517</v>
      </c>
      <c r="Q21" s="2" t="s">
        <v>6518</v>
      </c>
      <c r="R21" s="6" t="s">
        <v>6519</v>
      </c>
    </row>
    <row r="22" spans="1:18" ht="105" x14ac:dyDescent="0.25">
      <c r="A22" s="1" t="s">
        <v>6520</v>
      </c>
      <c r="B22" s="1" t="s">
        <v>6521</v>
      </c>
      <c r="C22" s="1" t="s">
        <v>696</v>
      </c>
      <c r="D22" s="2" t="str">
        <f>"0172-4622"</f>
        <v>0172-4622</v>
      </c>
      <c r="F22" s="2" t="str">
        <f>"2000 May"</f>
        <v>2000 May</v>
      </c>
      <c r="G22" s="2" t="s">
        <v>6522</v>
      </c>
      <c r="I22" s="2" t="s">
        <v>6523</v>
      </c>
      <c r="K22" s="2">
        <v>10893025</v>
      </c>
      <c r="L22" s="1" t="s">
        <v>6524</v>
      </c>
      <c r="M22" s="1" t="s">
        <v>698</v>
      </c>
      <c r="N22" s="1" t="s">
        <v>21</v>
      </c>
      <c r="O22" s="1" t="s">
        <v>6525</v>
      </c>
      <c r="Q22" s="2" t="s">
        <v>6526</v>
      </c>
      <c r="R22" s="6" t="s">
        <v>6527</v>
      </c>
    </row>
  </sheetData>
  <hyperlinks>
    <hyperlink ref="R2" r:id="rId1" xr:uid="{9CD663D2-4BCD-434C-9CDC-DD01C90844AA}"/>
    <hyperlink ref="R3" r:id="rId2" xr:uid="{E15DC633-5A76-4747-AE2A-63AABCE79822}"/>
    <hyperlink ref="R4" r:id="rId3" xr:uid="{0FDA462C-28CA-441F-8236-0B25D9680B2F}"/>
    <hyperlink ref="R5" r:id="rId4" xr:uid="{F6DBCDB0-CF2D-413C-ACB9-45F4907D14AF}"/>
    <hyperlink ref="R6" r:id="rId5" xr:uid="{2508B401-B295-4379-8E1D-6B5EFAE3BE2F}"/>
    <hyperlink ref="R7" r:id="rId6" xr:uid="{FF3A6480-0B77-4812-ADB0-AA18E7125C13}"/>
    <hyperlink ref="R8" r:id="rId7" xr:uid="{519E16C3-15D5-410A-87AE-963DEC5EC078}"/>
    <hyperlink ref="R9" r:id="rId8" xr:uid="{49B8B2B2-E9CB-466D-87F6-B884333C9F12}"/>
    <hyperlink ref="R10" r:id="rId9" xr:uid="{4706B543-9C4B-47EC-997D-7B9C1B1E5802}"/>
    <hyperlink ref="R11" r:id="rId10" xr:uid="{24D90CBE-0A01-4A23-AB23-5B768162AF34}"/>
    <hyperlink ref="R12" r:id="rId11" xr:uid="{F36F7C47-CC7B-4C29-8496-26F3C211FA2F}"/>
    <hyperlink ref="R13" r:id="rId12" xr:uid="{D0F317E7-9836-4622-B820-1EABF8B56213}"/>
    <hyperlink ref="R14" r:id="rId13" xr:uid="{A6968B05-5311-46B2-8183-B1E7C75EA24F}"/>
    <hyperlink ref="R15" r:id="rId14" xr:uid="{842C6590-8ADA-48EA-860A-4328371F12A7}"/>
    <hyperlink ref="R16" r:id="rId15" xr:uid="{0A547064-9ECA-4290-AE74-0FC1FFA00534}"/>
    <hyperlink ref="R17" r:id="rId16" xr:uid="{B31967DC-96D9-44F7-967D-02389A84B388}"/>
    <hyperlink ref="R18" r:id="rId17" xr:uid="{A7E5D6D7-6947-4CC7-939E-59B2A040DA52}"/>
    <hyperlink ref="R19" r:id="rId18" xr:uid="{DB26DBCE-852C-44DF-8650-6413795CF408}"/>
    <hyperlink ref="R20" r:id="rId19" xr:uid="{A467429B-B36D-4CA6-A1B3-DAFF6731CCF6}"/>
    <hyperlink ref="R21" r:id="rId20" xr:uid="{D341B7D0-23EB-44C1-B8DC-49FEB96AFEE5}"/>
    <hyperlink ref="R22" r:id="rId21" xr:uid="{D8B957E5-6BA5-4A3B-A767-1F4E1BE358E5}"/>
  </hyperlinks>
  <pageMargins left="0.7" right="0.7" top="0.75" bottom="0.75" header="0.3" footer="0.3"/>
  <headerFooter>
    <oddHeader>&amp;C&amp;"Calibri"&amp;12&amp;KFF0000 OFFICIAL&amp;1#_x000D_</oddHeader>
  </headerFooter>
  <tableParts count="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5d0f0a1-c8d3-4b52-a8d1-e28b01cab092">
      <Terms xmlns="http://schemas.microsoft.com/office/infopath/2007/PartnerControls"/>
    </lcf76f155ced4ddcb4097134ff3c332f>
    <TaxCatchAll xmlns="36615a54-c025-4a2d-939c-0f9be5b12f48" xsi:nil="true"/>
    <SharedWithUsers xmlns="36615a54-c025-4a2d-939c-0f9be5b12f48">
      <UserInfo>
        <DisplayName>Tim Kelly</DisplayName>
        <AccountId>74</AccountId>
        <AccountType/>
      </UserInfo>
      <UserInfo>
        <DisplayName>Julie Kendrick</DisplayName>
        <AccountId>436</AccountId>
        <AccountType/>
      </UserInfo>
    </SharedWithUser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A79A1E52EC1E2469971B65057C79157" ma:contentTypeVersion="18" ma:contentTypeDescription="Create a new document." ma:contentTypeScope="" ma:versionID="46ced53fab516921f3ef1e66598f2972">
  <xsd:schema xmlns:xsd="http://www.w3.org/2001/XMLSchema" xmlns:xs="http://www.w3.org/2001/XMLSchema" xmlns:p="http://schemas.microsoft.com/office/2006/metadata/properties" xmlns:ns2="a5d0f0a1-c8d3-4b52-a8d1-e28b01cab092" xmlns:ns3="36615a54-c025-4a2d-939c-0f9be5b12f48" targetNamespace="http://schemas.microsoft.com/office/2006/metadata/properties" ma:root="true" ma:fieldsID="e8edd3f33bf05e5b4bb5949d0a5e3ced" ns2:_="" ns3:_="">
    <xsd:import namespace="a5d0f0a1-c8d3-4b52-a8d1-e28b01cab092"/>
    <xsd:import namespace="36615a54-c025-4a2d-939c-0f9be5b12f48"/>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d0f0a1-c8d3-4b52-a8d1-e28b01cab09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3085a07-2a11-48fa-bb9d-8816c9cd1c56"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6615a54-c025-4a2d-939c-0f9be5b12f48"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4f5ebe25-92fc-4a12-97f1-0817ef34a3ea}" ma:internalName="TaxCatchAll" ma:showField="CatchAllData" ma:web="36615a54-c025-4a2d-939c-0f9be5b12f4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FC6E42E-251B-4DE6-B4FC-B79C40729E0F}">
  <ds:schemaRefs>
    <ds:schemaRef ds:uri="http://purl.org/dc/elements/1.1/"/>
    <ds:schemaRef ds:uri="http://purl.org/dc/dcmitype/"/>
    <ds:schemaRef ds:uri="a5d0f0a1-c8d3-4b52-a8d1-e28b01cab092"/>
    <ds:schemaRef ds:uri="http://schemas.microsoft.com/office/2006/documentManagement/types"/>
    <ds:schemaRef ds:uri="36615a54-c025-4a2d-939c-0f9be5b12f48"/>
    <ds:schemaRef ds:uri="http://schemas.microsoft.com/office/2006/metadata/properties"/>
    <ds:schemaRef ds:uri="http://www.w3.org/XML/1998/namespace"/>
    <ds:schemaRef ds:uri="http://purl.org/dc/terms/"/>
    <ds:schemaRef ds:uri="http://schemas.microsoft.com/office/infopath/2007/PartnerControls"/>
    <ds:schemaRef ds:uri="http://schemas.openxmlformats.org/package/2006/metadata/core-properties"/>
  </ds:schemaRefs>
</ds:datastoreItem>
</file>

<file path=customXml/itemProps2.xml><?xml version="1.0" encoding="utf-8"?>
<ds:datastoreItem xmlns:ds="http://schemas.openxmlformats.org/officeDocument/2006/customXml" ds:itemID="{3A551744-5E2C-4EB9-8DCF-08C3777DC2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5d0f0a1-c8d3-4b52-a8d1-e28b01cab092"/>
    <ds:schemaRef ds:uri="36615a54-c025-4a2d-939c-0f9be5b12f4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2D2B5BE-C283-46C6-92D1-E6A25DFC6B7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2024</vt:lpstr>
      <vt:lpstr>2023</vt:lpstr>
      <vt:lpstr>2022</vt:lpstr>
      <vt:lpstr>2021</vt:lpstr>
      <vt:lpstr>2020</vt:lpstr>
      <vt:lpstr>2019</vt:lpstr>
      <vt:lpstr>2018</vt:lpstr>
      <vt:lpstr>2017</vt:lpstr>
      <vt:lpstr>2016</vt:lpstr>
      <vt:lpstr>2015</vt:lpstr>
      <vt:lpstr>2014</vt:lpstr>
      <vt:lpstr>2013</vt:lpstr>
      <vt:lpstr>2012</vt:lpstr>
      <vt:lpstr>2011</vt:lpstr>
      <vt:lpstr>2010</vt:lpstr>
      <vt:lpstr>2009</vt:lpstr>
      <vt:lpstr>2008</vt:lpstr>
      <vt:lpstr>2007</vt:lpstr>
      <vt:lpstr>2006</vt:lpstr>
      <vt:lpstr>2005</vt:lpstr>
      <vt:lpstr>2004</vt:lpstr>
      <vt:lpstr>2003</vt:lpstr>
      <vt:lpstr>2002</vt:lpstr>
      <vt:lpstr>2001</vt:lpstr>
      <vt:lpstr>2000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Adrian Barnett</cp:lastModifiedBy>
  <cp:revision/>
  <dcterms:created xsi:type="dcterms:W3CDTF">2022-11-08T03:59:30Z</dcterms:created>
  <dcterms:modified xsi:type="dcterms:W3CDTF">2025-08-26T08:27:22Z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0x010100EA79A1E52EC1E2469971B65057C79157</vt:lpwstr>
  </property>
  <property fmtid="{D5CDD505-2E9C-101B-9397-08002B2CF9AE}" pid="3" name="MediaServiceImageTags">
    <vt:lpwstr/>
  </property>
  <property fmtid="{D5CDD505-2E9C-101B-9397-08002B2CF9AE}" pid="4" name="MSIP_Label_e16bab7f-630d-475d-8cf8-19340255b34d_Enabled">
    <vt:lpwstr>true</vt:lpwstr>
  </property>
  <property fmtid="{D5CDD505-2E9C-101B-9397-08002B2CF9AE}" pid="5" name="MSIP_Label_e16bab7f-630d-475d-8cf8-19340255b34d_SetDate">
    <vt:lpwstr>2024-02-12T23:44:26Z</vt:lpwstr>
  </property>
  <property fmtid="{D5CDD505-2E9C-101B-9397-08002B2CF9AE}" pid="6" name="MSIP_Label_e16bab7f-630d-475d-8cf8-19340255b34d_Method">
    <vt:lpwstr>Privileged</vt:lpwstr>
  </property>
  <property fmtid="{D5CDD505-2E9C-101B-9397-08002B2CF9AE}" pid="7" name="MSIP_Label_e16bab7f-630d-475d-8cf8-19340255b34d_Name">
    <vt:lpwstr>OFFICIAL</vt:lpwstr>
  </property>
  <property fmtid="{D5CDD505-2E9C-101B-9397-08002B2CF9AE}" pid="8" name="MSIP_Label_e16bab7f-630d-475d-8cf8-19340255b34d_SiteId">
    <vt:lpwstr>8d2e0f4c-55f2-4cb1-8ee7-da5dd3ff3600</vt:lpwstr>
  </property>
  <property fmtid="{D5CDD505-2E9C-101B-9397-08002B2CF9AE}" pid="9" name="MSIP_Label_e16bab7f-630d-475d-8cf8-19340255b34d_ActionId">
    <vt:lpwstr>fb1b5e96-9076-4ccf-83b2-b0068d79ef15</vt:lpwstr>
  </property>
  <property fmtid="{D5CDD505-2E9C-101B-9397-08002B2CF9AE}" pid="10" name="MSIP_Label_e16bab7f-630d-475d-8cf8-19340255b34d_ContentBits">
    <vt:lpwstr>1</vt:lpwstr>
  </property>
</Properties>
</file>