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fgpereir_iu_edu/Documents/Desktop/"/>
    </mc:Choice>
  </mc:AlternateContent>
  <xr:revisionPtr revIDLastSave="334" documentId="11_77505333EC8D217E126AB13845CF32961322C7E5" xr6:coauthVersionLast="47" xr6:coauthVersionMax="47" xr10:uidLastSave="{70C9E547-950D-4E20-B6E0-5D48356E798E}"/>
  <bookViews>
    <workbookView xWindow="-120" yWindow="-120" windowWidth="29040" windowHeight="15720" tabRatio="500" firstSheet="1" activeTab="6" xr2:uid="{00000000-000D-0000-FFFF-FFFF00000000}"/>
  </bookViews>
  <sheets>
    <sheet name="Subject Info" sheetId="4" r:id="rId1"/>
    <sheet name="PV Expansion" sheetId="8" r:id="rId2"/>
    <sheet name="Hemodynamic Data" sheetId="1" r:id="rId3"/>
    <sheet name="TT Variables" sheetId="2" r:id="rId4"/>
    <sheet name="Power per km" sheetId="5" r:id="rId5"/>
    <sheet name="Speed per km" sheetId="6" r:id="rId6"/>
    <sheet name="Equality of Intervention" sheetId="7" r:id="rId7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0" i="2" l="1"/>
  <c r="C10" i="7" l="1"/>
  <c r="C11" i="7"/>
  <c r="D11" i="7"/>
  <c r="D10" i="7"/>
  <c r="S18" i="5"/>
  <c r="S19" i="5"/>
  <c r="AG18" i="6"/>
  <c r="AG18" i="5"/>
  <c r="AG19" i="5"/>
  <c r="AF18" i="5"/>
  <c r="AF19" i="5"/>
  <c r="AF18" i="6"/>
  <c r="AE18" i="6"/>
  <c r="AE18" i="5"/>
  <c r="AE19" i="5"/>
  <c r="AD18" i="6"/>
  <c r="AD18" i="5"/>
  <c r="AD19" i="5"/>
  <c r="AC18" i="6"/>
  <c r="AC18" i="5"/>
  <c r="AC19" i="5"/>
  <c r="AB18" i="6"/>
  <c r="AB18" i="5"/>
  <c r="AB19" i="5"/>
  <c r="AA18" i="6"/>
  <c r="AA18" i="5"/>
  <c r="AA19" i="5"/>
  <c r="Z18" i="5"/>
  <c r="Z19" i="5"/>
  <c r="Z18" i="6"/>
  <c r="Y18" i="6"/>
  <c r="Y18" i="5"/>
  <c r="Y19" i="5"/>
  <c r="X18" i="6"/>
  <c r="X18" i="5"/>
  <c r="X19" i="5"/>
  <c r="W18" i="5"/>
  <c r="W19" i="5"/>
  <c r="W18" i="6"/>
  <c r="V18" i="6"/>
  <c r="V18" i="5"/>
  <c r="V19" i="5"/>
  <c r="R18" i="6"/>
  <c r="S18" i="6"/>
  <c r="T18" i="6"/>
  <c r="U18" i="6"/>
  <c r="U18" i="5"/>
  <c r="U19" i="5"/>
  <c r="T19" i="5"/>
  <c r="T18" i="5"/>
  <c r="R18" i="5"/>
  <c r="R19" i="5"/>
  <c r="Q18" i="6"/>
  <c r="Q18" i="5"/>
  <c r="Q19" i="5"/>
  <c r="P18" i="6"/>
  <c r="P18" i="5"/>
  <c r="P19" i="5"/>
  <c r="N18" i="6"/>
  <c r="O18" i="6"/>
  <c r="O18" i="5"/>
  <c r="O19" i="5"/>
  <c r="N18" i="5"/>
  <c r="N19" i="5"/>
  <c r="M18" i="5"/>
  <c r="M19" i="5"/>
  <c r="M18" i="6"/>
  <c r="L18" i="6"/>
  <c r="L18" i="5"/>
  <c r="L19" i="5"/>
  <c r="K18" i="6"/>
  <c r="K18" i="5"/>
  <c r="K19" i="5" s="1"/>
  <c r="J18" i="6"/>
  <c r="J18" i="5"/>
  <c r="J19" i="5"/>
  <c r="I18" i="5"/>
  <c r="I19" i="5" s="1"/>
  <c r="I18" i="6"/>
  <c r="H18" i="5"/>
  <c r="H19" i="5"/>
  <c r="H18" i="6"/>
  <c r="G18" i="5"/>
  <c r="G19" i="5"/>
  <c r="G18" i="6"/>
  <c r="F18" i="6"/>
  <c r="F18" i="5"/>
  <c r="F19" i="5"/>
  <c r="B18" i="5"/>
  <c r="B19" i="5"/>
  <c r="C18" i="5"/>
  <c r="C19" i="5"/>
  <c r="C18" i="6"/>
  <c r="B18" i="6"/>
  <c r="E18" i="5"/>
  <c r="E19" i="5"/>
  <c r="E18" i="6"/>
  <c r="D19" i="5"/>
  <c r="D18" i="6"/>
  <c r="M11" i="4"/>
  <c r="N3" i="4"/>
  <c r="N4" i="4"/>
  <c r="N5" i="4"/>
  <c r="N6" i="4"/>
  <c r="N12" i="4" s="1"/>
  <c r="N7" i="4"/>
  <c r="N8" i="4"/>
  <c r="N9" i="4"/>
  <c r="N10" i="4"/>
  <c r="M12" i="4"/>
  <c r="L12" i="4"/>
  <c r="K12" i="4"/>
  <c r="H3" i="4"/>
  <c r="I3" i="4" s="1"/>
  <c r="H4" i="4"/>
  <c r="I4" i="4" s="1"/>
  <c r="J4" i="4" s="1"/>
  <c r="H5" i="4"/>
  <c r="I5" i="4" s="1"/>
  <c r="J5" i="4" s="1"/>
  <c r="H6" i="4"/>
  <c r="I6" i="4" s="1"/>
  <c r="J6" i="4" s="1"/>
  <c r="H7" i="4"/>
  <c r="I7" i="4" s="1"/>
  <c r="J7" i="4" s="1"/>
  <c r="H8" i="4"/>
  <c r="I8" i="4" s="1"/>
  <c r="J8" i="4" s="1"/>
  <c r="H9" i="4"/>
  <c r="I9" i="4" s="1"/>
  <c r="J9" i="4" s="1"/>
  <c r="H10" i="4"/>
  <c r="I10" i="4" s="1"/>
  <c r="J10" i="4" s="1"/>
  <c r="G12" i="4"/>
  <c r="F12" i="4"/>
  <c r="E12" i="4"/>
  <c r="D12" i="4"/>
  <c r="C12" i="4"/>
  <c r="B12" i="4"/>
  <c r="L11" i="4"/>
  <c r="K11" i="4"/>
  <c r="G11" i="4"/>
  <c r="F11" i="4"/>
  <c r="E11" i="4"/>
  <c r="D11" i="4"/>
  <c r="C11" i="4"/>
  <c r="B11" i="4"/>
  <c r="E48" i="2"/>
  <c r="E47" i="2"/>
  <c r="E36" i="2"/>
  <c r="E35" i="2"/>
  <c r="E24" i="2"/>
  <c r="E23" i="2"/>
  <c r="E11" i="2"/>
  <c r="E10" i="2"/>
  <c r="J48" i="2"/>
  <c r="I48" i="2"/>
  <c r="H48" i="2"/>
  <c r="G48" i="2"/>
  <c r="F48" i="2"/>
  <c r="D48" i="2"/>
  <c r="J47" i="2"/>
  <c r="I47" i="2"/>
  <c r="H47" i="2"/>
  <c r="G47" i="2"/>
  <c r="F47" i="2"/>
  <c r="D47" i="2"/>
  <c r="J36" i="2"/>
  <c r="I36" i="2"/>
  <c r="H36" i="2"/>
  <c r="G36" i="2"/>
  <c r="F36" i="2"/>
  <c r="D36" i="2"/>
  <c r="J35" i="2"/>
  <c r="I35" i="2"/>
  <c r="H35" i="2"/>
  <c r="G35" i="2"/>
  <c r="F35" i="2"/>
  <c r="D35" i="2"/>
  <c r="J24" i="2"/>
  <c r="I24" i="2"/>
  <c r="H24" i="2"/>
  <c r="G24" i="2"/>
  <c r="F24" i="2"/>
  <c r="D24" i="2"/>
  <c r="J23" i="2"/>
  <c r="I23" i="2"/>
  <c r="H23" i="2"/>
  <c r="G23" i="2"/>
  <c r="F23" i="2"/>
  <c r="D23" i="2"/>
  <c r="J11" i="2"/>
  <c r="I11" i="2"/>
  <c r="H11" i="2"/>
  <c r="G11" i="2"/>
  <c r="F11" i="2"/>
  <c r="D11" i="2"/>
  <c r="J10" i="2"/>
  <c r="I10" i="2"/>
  <c r="G10" i="2"/>
  <c r="F10" i="2"/>
  <c r="D10" i="2"/>
  <c r="M37" i="1"/>
  <c r="L37" i="1"/>
  <c r="K37" i="1"/>
  <c r="J37" i="1"/>
  <c r="M36" i="1"/>
  <c r="L36" i="1"/>
  <c r="K36" i="1"/>
  <c r="J36" i="1"/>
  <c r="F37" i="1"/>
  <c r="E37" i="1"/>
  <c r="D37" i="1"/>
  <c r="C37" i="1"/>
  <c r="F36" i="1"/>
  <c r="E36" i="1"/>
  <c r="D36" i="1"/>
  <c r="C36" i="1"/>
  <c r="M24" i="1"/>
  <c r="L24" i="1"/>
  <c r="K24" i="1"/>
  <c r="J24" i="1"/>
  <c r="M23" i="1"/>
  <c r="L23" i="1"/>
  <c r="K23" i="1"/>
  <c r="J23" i="1"/>
  <c r="F24" i="1"/>
  <c r="E24" i="1"/>
  <c r="D24" i="1"/>
  <c r="C24" i="1"/>
  <c r="F23" i="1"/>
  <c r="E23" i="1"/>
  <c r="D23" i="1"/>
  <c r="C23" i="1"/>
  <c r="K11" i="1"/>
  <c r="L11" i="1"/>
  <c r="M11" i="1"/>
  <c r="J11" i="1"/>
  <c r="K10" i="1"/>
  <c r="L10" i="1"/>
  <c r="M10" i="1"/>
  <c r="J10" i="1"/>
  <c r="D11" i="1"/>
  <c r="E11" i="1"/>
  <c r="F11" i="1"/>
  <c r="C11" i="1"/>
  <c r="D10" i="1"/>
  <c r="E10" i="1"/>
  <c r="F10" i="1"/>
  <c r="C10" i="1"/>
  <c r="N11" i="4" l="1"/>
  <c r="I11" i="4"/>
  <c r="I12" i="4"/>
  <c r="J3" i="4"/>
  <c r="H12" i="4"/>
  <c r="H11" i="4"/>
  <c r="J11" i="4" l="1"/>
  <c r="J12" i="4"/>
</calcChain>
</file>

<file path=xl/sharedStrings.xml><?xml version="1.0" encoding="utf-8"?>
<sst xmlns="http://schemas.openxmlformats.org/spreadsheetml/2006/main" count="240" uniqueCount="78">
  <si>
    <t>Q</t>
  </si>
  <si>
    <t>Average</t>
  </si>
  <si>
    <t>STDV</t>
  </si>
  <si>
    <t>TT</t>
  </si>
  <si>
    <t xml:space="preserve">Submax </t>
  </si>
  <si>
    <t>SV</t>
  </si>
  <si>
    <t>HR</t>
  </si>
  <si>
    <t>Submax</t>
  </si>
  <si>
    <t>Trial</t>
  </si>
  <si>
    <t>Power (W)</t>
  </si>
  <si>
    <t>Cadence (rpm)</t>
  </si>
  <si>
    <t>RPE</t>
  </si>
  <si>
    <t>SaO2</t>
  </si>
  <si>
    <t>Total Time (min)</t>
  </si>
  <si>
    <t>Mean</t>
  </si>
  <si>
    <t xml:space="preserve">Standad Dev. </t>
  </si>
  <si>
    <t xml:space="preserve"> </t>
  </si>
  <si>
    <t>CON 1st Trial</t>
  </si>
  <si>
    <t>CON 2nd Trial</t>
  </si>
  <si>
    <t>HIIT</t>
  </si>
  <si>
    <t>CON</t>
  </si>
  <si>
    <t>Power (W/kg)</t>
  </si>
  <si>
    <t>Subj</t>
  </si>
  <si>
    <t>Age</t>
  </si>
  <si>
    <t xml:space="preserve">Ht </t>
  </si>
  <si>
    <t>Wt</t>
  </si>
  <si>
    <t>Chest</t>
  </si>
  <si>
    <t>Ab</t>
  </si>
  <si>
    <t>Thigh</t>
  </si>
  <si>
    <t>SSKF</t>
  </si>
  <si>
    <t>Density</t>
  </si>
  <si>
    <t>% BF</t>
  </si>
  <si>
    <t>VO2max</t>
  </si>
  <si>
    <t>HRmax</t>
  </si>
  <si>
    <t>STEDV</t>
  </si>
  <si>
    <t>Max Watts</t>
  </si>
  <si>
    <t>Max W/Kg</t>
  </si>
  <si>
    <t>Power</t>
  </si>
  <si>
    <t xml:space="preserve">1km </t>
  </si>
  <si>
    <t>2km</t>
  </si>
  <si>
    <t xml:space="preserve">3km </t>
  </si>
  <si>
    <t>4km</t>
  </si>
  <si>
    <t>5km</t>
  </si>
  <si>
    <t>6km</t>
  </si>
  <si>
    <t>7km</t>
  </si>
  <si>
    <t>8km</t>
  </si>
  <si>
    <t>9km</t>
  </si>
  <si>
    <t>10km</t>
  </si>
  <si>
    <t>11km</t>
  </si>
  <si>
    <t>12km</t>
  </si>
  <si>
    <t>13km</t>
  </si>
  <si>
    <t>14km</t>
  </si>
  <si>
    <t>15km</t>
  </si>
  <si>
    <t>CON 1</t>
  </si>
  <si>
    <t>CON 2</t>
  </si>
  <si>
    <t>Peak Power</t>
  </si>
  <si>
    <t>Speed (km/hr)</t>
  </si>
  <si>
    <t>kJ Count</t>
  </si>
  <si>
    <t>HIIE1</t>
  </si>
  <si>
    <t>HIIE2</t>
  </si>
  <si>
    <t>CON1</t>
  </si>
  <si>
    <t>CON2</t>
  </si>
  <si>
    <t>HIIE 1st Trial</t>
  </si>
  <si>
    <t>HIIE 2nd Trial</t>
  </si>
  <si>
    <t>HIIE 1</t>
  </si>
  <si>
    <t>HIIE 2</t>
  </si>
  <si>
    <t>Pre - Blood Lactate</t>
  </si>
  <si>
    <t>Peak - Blood Lactate</t>
  </si>
  <si>
    <t>TT-1</t>
  </si>
  <si>
    <t>Intervention</t>
  </si>
  <si>
    <t>24 hrs Post</t>
  </si>
  <si>
    <t>48 hrs Post</t>
  </si>
  <si>
    <t>Subject</t>
  </si>
  <si>
    <t>HIIE</t>
  </si>
  <si>
    <t>Hct</t>
  </si>
  <si>
    <t>Hb</t>
  </si>
  <si>
    <t>Pre-Training</t>
  </si>
  <si>
    <t>PVE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</si>
</sst>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  <family val="2"/>
      <scheme val="minor"/>
    </font>
    <font>
      <sz val="10"/>
      <name val="Arial"/>
      <family val="2"/>
    </font>
    <font>
      <i/>
      <sz val="10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0" fillId="6" borderId="1" xfId="0" applyFill="1" applyBorder="1"/>
    <xf numFmtId="0" fontId="1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/>
    </xf>
    <xf numFmtId="0" fontId="5" fillId="0" borderId="5" xfId="0" applyFont="1" applyBorder="1"/>
    <xf numFmtId="0" fontId="1" fillId="0" borderId="0" xfId="0" applyFont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9" xfId="0" applyFont="1" applyBorder="1"/>
    <xf numFmtId="0" fontId="1" fillId="3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7" fillId="0" borderId="0" xfId="0" applyFont="1"/>
    <xf numFmtId="0" fontId="7" fillId="0" borderId="7" xfId="0" applyFont="1" applyBorder="1"/>
    <xf numFmtId="0" fontId="7" fillId="0" borderId="0" xfId="0" applyFont="1" applyBorder="1"/>
    <xf numFmtId="0" fontId="7" fillId="0" borderId="5" xfId="0" applyFont="1" applyBorder="1"/>
    <xf numFmtId="0" fontId="7" fillId="0" borderId="8" xfId="0" applyFont="1" applyBorder="1"/>
    <xf numFmtId="0" fontId="7" fillId="0" borderId="6" xfId="0" applyFont="1" applyBorder="1"/>
    <xf numFmtId="0" fontId="7" fillId="0" borderId="9" xfId="0" applyFont="1" applyBorder="1"/>
    <xf numFmtId="0" fontId="1" fillId="3" borderId="1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" fillId="0" borderId="1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/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F18" sqref="F18"/>
    </sheetView>
  </sheetViews>
  <sheetFormatPr defaultColWidth="11" defaultRowHeight="15.75" x14ac:dyDescent="0.25"/>
  <sheetData>
    <row r="1" spans="1:14" x14ac:dyDescent="0.25">
      <c r="A1" s="14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  <c r="K1" s="14" t="s">
        <v>32</v>
      </c>
      <c r="L1" s="14" t="s">
        <v>33</v>
      </c>
      <c r="M1" s="16" t="s">
        <v>35</v>
      </c>
      <c r="N1" s="16" t="s">
        <v>36</v>
      </c>
    </row>
    <row r="2" spans="1:14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>
        <v>1</v>
      </c>
      <c r="B3" s="13">
        <v>26</v>
      </c>
      <c r="C3" s="13">
        <v>175</v>
      </c>
      <c r="D3" s="13">
        <v>85.5</v>
      </c>
      <c r="E3" s="13">
        <v>16.5</v>
      </c>
      <c r="F3" s="13">
        <v>24</v>
      </c>
      <c r="G3" s="13">
        <v>19.5</v>
      </c>
      <c r="H3" s="13">
        <f t="shared" ref="H3:H8" si="0">SUM(E3:G3)</f>
        <v>60</v>
      </c>
      <c r="I3" s="13">
        <f t="shared" ref="I3:I8" si="1">(1.10938-0.0008267*(H3)+0.0000016*(H3)^2-0.0002574*(B3))</f>
        <v>1.0588456000000002</v>
      </c>
      <c r="J3" s="13">
        <f t="shared" ref="J3:J8" si="2">(457/I3)-414.2</f>
        <v>17.402114604811061</v>
      </c>
      <c r="K3" s="13">
        <v>45.6</v>
      </c>
      <c r="L3" s="13">
        <v>193</v>
      </c>
      <c r="M3" s="13">
        <v>290</v>
      </c>
      <c r="N3" s="13">
        <f>M3/D3</f>
        <v>3.3918128654970761</v>
      </c>
    </row>
    <row r="4" spans="1:14" x14ac:dyDescent="0.25">
      <c r="A4" s="13">
        <v>2</v>
      </c>
      <c r="B4" s="13">
        <v>22</v>
      </c>
      <c r="C4" s="13">
        <v>190</v>
      </c>
      <c r="D4" s="13">
        <v>90.5</v>
      </c>
      <c r="E4" s="13">
        <v>6</v>
      </c>
      <c r="F4" s="13">
        <v>10.5</v>
      </c>
      <c r="G4" s="13">
        <v>14.5</v>
      </c>
      <c r="H4" s="13">
        <f t="shared" si="0"/>
        <v>31</v>
      </c>
      <c r="I4" s="13">
        <f t="shared" si="1"/>
        <v>1.0796271</v>
      </c>
      <c r="J4" s="13">
        <f t="shared" si="2"/>
        <v>9.0943022641799303</v>
      </c>
      <c r="K4" s="13">
        <v>46.2</v>
      </c>
      <c r="L4" s="13">
        <v>191</v>
      </c>
      <c r="M4" s="13">
        <v>310</v>
      </c>
      <c r="N4" s="13">
        <f t="shared" ref="N4:N10" si="3">M4/D4</f>
        <v>3.4254143646408841</v>
      </c>
    </row>
    <row r="5" spans="1:14" x14ac:dyDescent="0.25">
      <c r="A5" s="13">
        <v>3</v>
      </c>
      <c r="B5" s="13">
        <v>26</v>
      </c>
      <c r="C5" s="13">
        <v>178</v>
      </c>
      <c r="D5" s="13">
        <v>72.5</v>
      </c>
      <c r="E5" s="13">
        <v>8</v>
      </c>
      <c r="F5" s="13">
        <v>15</v>
      </c>
      <c r="G5" s="13">
        <v>10.5</v>
      </c>
      <c r="H5" s="13">
        <f t="shared" si="0"/>
        <v>33.5</v>
      </c>
      <c r="I5" s="13">
        <f t="shared" si="1"/>
        <v>1.07678875</v>
      </c>
      <c r="J5" s="13">
        <f t="shared" si="2"/>
        <v>10.210080435925818</v>
      </c>
      <c r="K5" s="13">
        <v>54.9</v>
      </c>
      <c r="L5" s="13">
        <v>183</v>
      </c>
      <c r="M5" s="13">
        <v>290</v>
      </c>
      <c r="N5" s="13">
        <f t="shared" si="3"/>
        <v>4</v>
      </c>
    </row>
    <row r="6" spans="1:14" x14ac:dyDescent="0.25">
      <c r="A6" s="13">
        <v>4</v>
      </c>
      <c r="B6" s="13">
        <v>24</v>
      </c>
      <c r="C6" s="13">
        <v>180</v>
      </c>
      <c r="D6" s="13">
        <v>79</v>
      </c>
      <c r="E6" s="13">
        <v>10.5</v>
      </c>
      <c r="F6" s="13">
        <v>30.5</v>
      </c>
      <c r="G6" s="13">
        <v>14.5</v>
      </c>
      <c r="H6" s="13">
        <f t="shared" si="0"/>
        <v>55.5</v>
      </c>
      <c r="I6" s="13">
        <f t="shared" si="1"/>
        <v>1.0622489500000001</v>
      </c>
      <c r="J6" s="13">
        <f t="shared" si="2"/>
        <v>16.019300287376097</v>
      </c>
      <c r="K6" s="13">
        <v>49.8</v>
      </c>
      <c r="L6" s="13">
        <v>189</v>
      </c>
      <c r="M6" s="13">
        <v>310</v>
      </c>
      <c r="N6" s="13">
        <f t="shared" si="3"/>
        <v>3.9240506329113924</v>
      </c>
    </row>
    <row r="7" spans="1:14" x14ac:dyDescent="0.25">
      <c r="A7" s="13">
        <v>5</v>
      </c>
      <c r="B7" s="13">
        <v>23</v>
      </c>
      <c r="C7" s="13">
        <v>183</v>
      </c>
      <c r="D7" s="13">
        <v>88</v>
      </c>
      <c r="E7" s="13">
        <v>12</v>
      </c>
      <c r="F7" s="13">
        <v>30</v>
      </c>
      <c r="G7" s="13">
        <v>18</v>
      </c>
      <c r="H7" s="13">
        <f t="shared" si="0"/>
        <v>60</v>
      </c>
      <c r="I7" s="13">
        <f t="shared" si="1"/>
        <v>1.0596178000000001</v>
      </c>
      <c r="J7" s="13">
        <f t="shared" si="2"/>
        <v>17.087583126670779</v>
      </c>
      <c r="K7" s="13">
        <v>47.2</v>
      </c>
      <c r="L7" s="13">
        <v>190</v>
      </c>
      <c r="M7" s="13">
        <v>330</v>
      </c>
      <c r="N7" s="13">
        <f t="shared" si="3"/>
        <v>3.75</v>
      </c>
    </row>
    <row r="8" spans="1:14" x14ac:dyDescent="0.25">
      <c r="A8" s="13">
        <v>6</v>
      </c>
      <c r="B8" s="13">
        <v>25</v>
      </c>
      <c r="C8" s="13">
        <v>175</v>
      </c>
      <c r="D8" s="13">
        <v>62.9</v>
      </c>
      <c r="E8" s="13">
        <v>7</v>
      </c>
      <c r="F8" s="13">
        <v>25.5</v>
      </c>
      <c r="G8" s="13">
        <v>14.5</v>
      </c>
      <c r="H8" s="13">
        <f t="shared" si="0"/>
        <v>47</v>
      </c>
      <c r="I8" s="13">
        <f t="shared" si="1"/>
        <v>1.0676245</v>
      </c>
      <c r="J8" s="13">
        <f t="shared" si="2"/>
        <v>13.853121673397368</v>
      </c>
      <c r="K8" s="13">
        <v>45.8</v>
      </c>
      <c r="L8" s="13">
        <v>184</v>
      </c>
      <c r="M8" s="13">
        <v>210</v>
      </c>
      <c r="N8" s="13">
        <f t="shared" si="3"/>
        <v>3.3386327503974562</v>
      </c>
    </row>
    <row r="9" spans="1:14" x14ac:dyDescent="0.25">
      <c r="A9" s="13">
        <v>7</v>
      </c>
      <c r="B9" s="13">
        <v>25</v>
      </c>
      <c r="C9" s="13">
        <v>193</v>
      </c>
      <c r="D9" s="13">
        <v>89</v>
      </c>
      <c r="E9" s="13">
        <v>5</v>
      </c>
      <c r="F9" s="13">
        <v>8.5</v>
      </c>
      <c r="G9" s="13">
        <v>6</v>
      </c>
      <c r="H9" s="13">
        <f>SUM(E9:G9)</f>
        <v>19.5</v>
      </c>
      <c r="I9" s="13">
        <f>(1.10938-0.0008267*(H9)+0.0000016*(H9)^2-0.0002574*(B9))</f>
        <v>1.0874327500000001</v>
      </c>
      <c r="J9" s="13">
        <f>(457/I9)-414.2</f>
        <v>6.0558732942336064</v>
      </c>
      <c r="K9" s="13">
        <v>48.9</v>
      </c>
      <c r="L9" s="13">
        <v>174</v>
      </c>
      <c r="M9" s="13">
        <v>370</v>
      </c>
      <c r="N9" s="13">
        <f t="shared" si="3"/>
        <v>4.1573033707865168</v>
      </c>
    </row>
    <row r="10" spans="1:14" x14ac:dyDescent="0.25">
      <c r="A10" s="13">
        <v>8</v>
      </c>
      <c r="B10" s="13">
        <v>21</v>
      </c>
      <c r="C10" s="13">
        <v>175</v>
      </c>
      <c r="D10" s="13">
        <v>74.3</v>
      </c>
      <c r="E10" s="13">
        <v>7.5</v>
      </c>
      <c r="F10" s="13">
        <v>15.5</v>
      </c>
      <c r="G10" s="13">
        <v>9</v>
      </c>
      <c r="H10" s="13">
        <f>SUM(E10:G10)</f>
        <v>32</v>
      </c>
      <c r="I10" s="13">
        <f>(1.10938-0.0008267*(H10)+0.0000016*(H10)^2-0.0002574*(B10))</f>
        <v>1.0791586000000002</v>
      </c>
      <c r="J10" s="13">
        <f>(457/I10)-414.2</f>
        <v>9.2780689325924186</v>
      </c>
      <c r="K10" s="13">
        <v>52.6</v>
      </c>
      <c r="L10" s="13">
        <v>191</v>
      </c>
      <c r="M10" s="13">
        <v>250</v>
      </c>
      <c r="N10" s="13">
        <f t="shared" si="3"/>
        <v>3.3647375504710633</v>
      </c>
    </row>
    <row r="11" spans="1:14" x14ac:dyDescent="0.25">
      <c r="A11" s="15" t="s">
        <v>14</v>
      </c>
      <c r="B11" s="5">
        <f>AVERAGE(B2:B10)</f>
        <v>24</v>
      </c>
      <c r="C11" s="5">
        <f>AVERAGE(C2:C9)</f>
        <v>182</v>
      </c>
      <c r="D11" s="5">
        <f t="shared" ref="D11:L11" si="4">AVERAGE(D2:D10)</f>
        <v>80.212499999999991</v>
      </c>
      <c r="E11" s="5">
        <f t="shared" si="4"/>
        <v>9.0625</v>
      </c>
      <c r="F11" s="5">
        <f t="shared" si="4"/>
        <v>19.9375</v>
      </c>
      <c r="G11" s="5">
        <f t="shared" si="4"/>
        <v>13.3125</v>
      </c>
      <c r="H11" s="5">
        <f t="shared" si="4"/>
        <v>42.3125</v>
      </c>
      <c r="I11" s="5">
        <f t="shared" si="4"/>
        <v>1.0714180062500001</v>
      </c>
      <c r="J11" s="5">
        <f t="shared" si="4"/>
        <v>12.375055577398385</v>
      </c>
      <c r="K11" s="5">
        <f t="shared" si="4"/>
        <v>48.875</v>
      </c>
      <c r="L11" s="5">
        <f t="shared" si="4"/>
        <v>186.875</v>
      </c>
      <c r="M11" s="5">
        <f t="shared" ref="M11:N11" si="5">AVERAGE(M2:M10)</f>
        <v>295</v>
      </c>
      <c r="N11" s="5">
        <f t="shared" si="5"/>
        <v>3.6689939418380479</v>
      </c>
    </row>
    <row r="12" spans="1:14" x14ac:dyDescent="0.25">
      <c r="A12" s="15" t="s">
        <v>34</v>
      </c>
      <c r="B12" s="5">
        <f>STDEV(B2:B10)</f>
        <v>1.8516401995451028</v>
      </c>
      <c r="C12" s="5">
        <f>STDEV(C2:C9)</f>
        <v>7.1180521680208741</v>
      </c>
      <c r="D12" s="5">
        <f t="shared" ref="D12:L12" si="6">STDEV(D2:D10)</f>
        <v>9.763552851586164</v>
      </c>
      <c r="E12" s="5">
        <f t="shared" si="6"/>
        <v>3.7743258622283413</v>
      </c>
      <c r="F12" s="5">
        <f t="shared" si="6"/>
        <v>8.6538079974738782</v>
      </c>
      <c r="G12" s="5">
        <f t="shared" si="6"/>
        <v>4.5429497968988013</v>
      </c>
      <c r="H12" s="5">
        <f t="shared" si="6"/>
        <v>15.371442677901122</v>
      </c>
      <c r="I12" s="5">
        <f t="shared" si="6"/>
        <v>1.0746397843311991E-2</v>
      </c>
      <c r="J12" s="5">
        <f t="shared" si="6"/>
        <v>4.2748147483578185</v>
      </c>
      <c r="K12" s="5">
        <f t="shared" si="6"/>
        <v>3.4053529290557485</v>
      </c>
      <c r="L12" s="5">
        <f t="shared" si="6"/>
        <v>6.2664070361617226</v>
      </c>
      <c r="M12" s="5">
        <f t="shared" ref="M12:N12" si="7">STDEV(M2:M10)</f>
        <v>48.697315854455177</v>
      </c>
      <c r="N12" s="5">
        <f t="shared" si="7"/>
        <v>0.32895892797623366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75D9-A215-4F27-A494-B62FA97CF864}">
  <dimension ref="A1:Q27"/>
  <sheetViews>
    <sheetView workbookViewId="0">
      <selection activeCell="E32" sqref="E32"/>
    </sheetView>
  </sheetViews>
  <sheetFormatPr defaultRowHeight="15.75" x14ac:dyDescent="0.25"/>
  <cols>
    <col min="1" max="1" width="11.625" customWidth="1"/>
  </cols>
  <sheetData>
    <row r="1" spans="1:17" x14ac:dyDescent="0.25">
      <c r="A1" s="52" t="s">
        <v>74</v>
      </c>
      <c r="B1" s="53" t="s">
        <v>73</v>
      </c>
      <c r="C1" s="53"/>
      <c r="D1" s="53"/>
      <c r="E1" s="53"/>
      <c r="F1" s="53"/>
      <c r="G1" s="53"/>
      <c r="H1" s="53"/>
      <c r="I1" s="54"/>
      <c r="J1" s="55" t="s">
        <v>20</v>
      </c>
      <c r="K1" s="56"/>
      <c r="L1" s="56"/>
      <c r="M1" s="56"/>
      <c r="N1" s="56"/>
      <c r="O1" s="56"/>
      <c r="P1" s="56"/>
      <c r="Q1" s="57"/>
    </row>
    <row r="2" spans="1:17" x14ac:dyDescent="0.25">
      <c r="A2" s="75" t="s">
        <v>72</v>
      </c>
      <c r="B2" s="46">
        <v>1</v>
      </c>
      <c r="C2" s="46">
        <v>2</v>
      </c>
      <c r="D2" s="46">
        <v>3</v>
      </c>
      <c r="E2" s="46">
        <v>4</v>
      </c>
      <c r="F2" s="46">
        <v>5</v>
      </c>
      <c r="G2" s="46">
        <v>6</v>
      </c>
      <c r="H2" s="46">
        <v>7</v>
      </c>
      <c r="I2" s="72">
        <v>8</v>
      </c>
      <c r="J2" s="73">
        <v>1</v>
      </c>
      <c r="K2" s="71">
        <v>2</v>
      </c>
      <c r="L2" s="71">
        <v>3</v>
      </c>
      <c r="M2" s="71">
        <v>4</v>
      </c>
      <c r="N2" s="71">
        <v>5</v>
      </c>
      <c r="O2" s="71">
        <v>6</v>
      </c>
      <c r="P2" s="71">
        <v>7</v>
      </c>
      <c r="Q2" s="72">
        <v>8</v>
      </c>
    </row>
    <row r="3" spans="1:17" x14ac:dyDescent="0.25">
      <c r="A3" s="76" t="s">
        <v>68</v>
      </c>
      <c r="B3" s="42">
        <v>49.5</v>
      </c>
      <c r="C3" s="42">
        <v>51.5</v>
      </c>
      <c r="D3" s="42">
        <v>47.75</v>
      </c>
      <c r="E3" s="42">
        <v>48.75</v>
      </c>
      <c r="F3" s="42">
        <v>48.75</v>
      </c>
      <c r="G3" s="42">
        <v>45</v>
      </c>
      <c r="H3" s="42">
        <v>48</v>
      </c>
      <c r="I3" s="45">
        <v>48.6</v>
      </c>
      <c r="J3" s="49">
        <v>49.25</v>
      </c>
      <c r="K3" s="50">
        <v>47.75</v>
      </c>
      <c r="L3" s="50">
        <v>46.6</v>
      </c>
      <c r="M3" s="50">
        <v>48.75</v>
      </c>
      <c r="N3" s="50">
        <v>47.75</v>
      </c>
      <c r="O3" s="50">
        <v>44</v>
      </c>
      <c r="P3" s="50">
        <v>49.75</v>
      </c>
      <c r="Q3" s="45">
        <v>48</v>
      </c>
    </row>
    <row r="4" spans="1:17" x14ac:dyDescent="0.25">
      <c r="A4" s="76" t="s">
        <v>69</v>
      </c>
      <c r="B4" s="42">
        <v>50</v>
      </c>
      <c r="C4" s="42">
        <v>46</v>
      </c>
      <c r="D4" s="42">
        <v>48.5</v>
      </c>
      <c r="E4" s="42">
        <v>48.5</v>
      </c>
      <c r="F4" s="42">
        <v>45.25</v>
      </c>
      <c r="G4" s="42">
        <v>46.5</v>
      </c>
      <c r="H4" s="42">
        <v>48.5</v>
      </c>
      <c r="I4" s="45">
        <v>44</v>
      </c>
      <c r="J4" s="49">
        <v>48.25</v>
      </c>
      <c r="K4" s="50">
        <v>43.5</v>
      </c>
      <c r="L4" s="50">
        <v>49.25</v>
      </c>
      <c r="M4" s="50">
        <v>47.5</v>
      </c>
      <c r="N4" s="50">
        <v>44.5</v>
      </c>
      <c r="O4" s="50">
        <v>48.5</v>
      </c>
      <c r="P4" s="50">
        <v>49</v>
      </c>
      <c r="Q4" s="45">
        <v>44</v>
      </c>
    </row>
    <row r="5" spans="1:17" x14ac:dyDescent="0.25">
      <c r="A5" s="76" t="s">
        <v>70</v>
      </c>
      <c r="B5" s="42">
        <v>47.75</v>
      </c>
      <c r="C5" s="42">
        <v>44.75</v>
      </c>
      <c r="D5" s="42">
        <v>46</v>
      </c>
      <c r="E5" s="42">
        <v>46</v>
      </c>
      <c r="F5" s="42">
        <v>45.25</v>
      </c>
      <c r="G5" s="42">
        <v>47</v>
      </c>
      <c r="H5" s="42">
        <v>46</v>
      </c>
      <c r="I5" s="45">
        <v>43.5</v>
      </c>
      <c r="J5" s="49">
        <v>47.5</v>
      </c>
      <c r="K5" s="50">
        <v>43.75</v>
      </c>
      <c r="L5" s="50">
        <v>48</v>
      </c>
      <c r="M5" s="50">
        <v>47.25</v>
      </c>
      <c r="N5" s="50">
        <v>45.25</v>
      </c>
      <c r="O5" s="50">
        <v>49.5</v>
      </c>
      <c r="P5" s="50">
        <v>48.75</v>
      </c>
      <c r="Q5" s="45">
        <v>43.75</v>
      </c>
    </row>
    <row r="6" spans="1:17" x14ac:dyDescent="0.25">
      <c r="A6" s="77" t="s">
        <v>71</v>
      </c>
      <c r="B6" s="47">
        <v>46.5</v>
      </c>
      <c r="C6" s="47">
        <v>43.125</v>
      </c>
      <c r="D6" s="47">
        <v>45.5</v>
      </c>
      <c r="E6" s="47">
        <v>45.5</v>
      </c>
      <c r="F6" s="47">
        <v>43.5</v>
      </c>
      <c r="G6" s="47">
        <v>46</v>
      </c>
      <c r="H6" s="47">
        <v>46.5</v>
      </c>
      <c r="I6" s="48">
        <v>43</v>
      </c>
      <c r="J6" s="51">
        <v>49.75</v>
      </c>
      <c r="K6" s="47">
        <v>45.5</v>
      </c>
      <c r="L6" s="47">
        <v>49.5</v>
      </c>
      <c r="M6" s="47">
        <v>48</v>
      </c>
      <c r="N6" s="47">
        <v>45.5</v>
      </c>
      <c r="O6" s="47">
        <v>49</v>
      </c>
      <c r="P6" s="47">
        <v>48.5</v>
      </c>
      <c r="Q6" s="48">
        <v>43.5</v>
      </c>
    </row>
    <row r="8" spans="1:17" x14ac:dyDescent="0.25">
      <c r="A8" s="65" t="s">
        <v>75</v>
      </c>
      <c r="B8" s="66" t="s">
        <v>73</v>
      </c>
      <c r="C8" s="66"/>
      <c r="D8" s="66"/>
      <c r="E8" s="66"/>
      <c r="F8" s="66"/>
      <c r="G8" s="66"/>
      <c r="H8" s="66"/>
      <c r="I8" s="67"/>
      <c r="J8" s="68" t="s">
        <v>20</v>
      </c>
      <c r="K8" s="69"/>
      <c r="L8" s="69"/>
      <c r="M8" s="69"/>
      <c r="N8" s="69"/>
      <c r="O8" s="69"/>
      <c r="P8" s="69"/>
      <c r="Q8" s="70"/>
    </row>
    <row r="9" spans="1:17" x14ac:dyDescent="0.25">
      <c r="A9" s="75" t="s">
        <v>72</v>
      </c>
      <c r="B9" s="71">
        <v>1</v>
      </c>
      <c r="C9" s="71">
        <v>2</v>
      </c>
      <c r="D9" s="71">
        <v>3</v>
      </c>
      <c r="E9" s="71">
        <v>4</v>
      </c>
      <c r="F9" s="71">
        <v>5</v>
      </c>
      <c r="G9" s="71">
        <v>6</v>
      </c>
      <c r="H9" s="71">
        <v>7</v>
      </c>
      <c r="I9" s="72">
        <v>8</v>
      </c>
      <c r="J9" s="73">
        <v>1</v>
      </c>
      <c r="K9" s="71">
        <v>2</v>
      </c>
      <c r="L9" s="71">
        <v>3</v>
      </c>
      <c r="M9" s="71">
        <v>4</v>
      </c>
      <c r="N9" s="71">
        <v>5</v>
      </c>
      <c r="O9" s="71">
        <v>6</v>
      </c>
      <c r="P9" s="71">
        <v>7</v>
      </c>
      <c r="Q9" s="72">
        <v>8</v>
      </c>
    </row>
    <row r="10" spans="1:17" x14ac:dyDescent="0.25">
      <c r="A10" s="76" t="s">
        <v>68</v>
      </c>
      <c r="B10" s="60">
        <v>16.5</v>
      </c>
      <c r="C10" s="60">
        <v>18.34656</v>
      </c>
      <c r="D10" s="60">
        <v>15.9166667</v>
      </c>
      <c r="E10" s="60">
        <v>17.9907</v>
      </c>
      <c r="F10" s="60">
        <v>13.587318</v>
      </c>
      <c r="G10" s="60">
        <v>16.23987</v>
      </c>
      <c r="H10" s="60">
        <v>18.34656</v>
      </c>
      <c r="I10" s="61">
        <v>15.618695000000001</v>
      </c>
      <c r="J10" s="63">
        <v>16.4166667</v>
      </c>
      <c r="K10" s="60">
        <v>15.9166667</v>
      </c>
      <c r="L10" s="60">
        <v>16.053646000000001</v>
      </c>
      <c r="M10" s="60">
        <v>17.253319999999999</v>
      </c>
      <c r="N10" s="60">
        <v>17.75346</v>
      </c>
      <c r="O10" s="60">
        <v>16.250219999999999</v>
      </c>
      <c r="P10" s="60">
        <v>18.734470000000002</v>
      </c>
      <c r="Q10" s="61">
        <v>12.9274</v>
      </c>
    </row>
    <row r="11" spans="1:17" x14ac:dyDescent="0.25">
      <c r="A11" s="76" t="s">
        <v>69</v>
      </c>
      <c r="B11" s="60">
        <v>16.6666667</v>
      </c>
      <c r="C11" s="60">
        <v>19.335549</v>
      </c>
      <c r="D11" s="60">
        <v>16.1666667</v>
      </c>
      <c r="E11" s="60">
        <v>16.606722000000001</v>
      </c>
      <c r="F11" s="60">
        <v>17.230080000000001</v>
      </c>
      <c r="G11" s="60">
        <v>15.5</v>
      </c>
      <c r="H11" s="60">
        <v>18.821515999999999</v>
      </c>
      <c r="I11" s="61">
        <v>13.56222</v>
      </c>
      <c r="J11" s="63">
        <v>16.0833333</v>
      </c>
      <c r="K11" s="60">
        <v>14.5</v>
      </c>
      <c r="L11" s="60">
        <v>16.4166667</v>
      </c>
      <c r="M11" s="60">
        <v>17.160360000000001</v>
      </c>
      <c r="N11" s="60">
        <v>17.373691999999998</v>
      </c>
      <c r="O11" s="60">
        <v>16.1666667</v>
      </c>
      <c r="P11" s="60">
        <v>18.231780000000001</v>
      </c>
      <c r="Q11" s="61">
        <v>12.178319999999999</v>
      </c>
    </row>
    <row r="12" spans="1:17" x14ac:dyDescent="0.25">
      <c r="A12" s="76" t="s">
        <v>70</v>
      </c>
      <c r="B12" s="60">
        <v>15.9166667</v>
      </c>
      <c r="C12" s="60">
        <v>17.872532</v>
      </c>
      <c r="D12" s="60">
        <v>15.3333333</v>
      </c>
      <c r="E12" s="60">
        <v>15.971057999999999</v>
      </c>
      <c r="F12" s="60">
        <v>16.912649999999999</v>
      </c>
      <c r="G12" s="60">
        <v>15.6666667</v>
      </c>
      <c r="H12" s="60">
        <v>17.951613999999999</v>
      </c>
      <c r="I12" s="61">
        <v>13.641299999999999</v>
      </c>
      <c r="J12" s="63">
        <v>15.8333333</v>
      </c>
      <c r="K12" s="60">
        <v>14.5833333</v>
      </c>
      <c r="L12" s="60">
        <v>16</v>
      </c>
      <c r="M12" s="60">
        <v>18.979199999999999</v>
      </c>
      <c r="N12" s="60">
        <v>16.852080000000001</v>
      </c>
      <c r="O12" s="60">
        <v>16.5</v>
      </c>
      <c r="P12" s="60">
        <v>18.35679</v>
      </c>
      <c r="Q12" s="61">
        <v>12.69234</v>
      </c>
    </row>
    <row r="13" spans="1:17" x14ac:dyDescent="0.25">
      <c r="A13" s="77" t="s">
        <v>71</v>
      </c>
      <c r="B13" s="59">
        <v>15.5</v>
      </c>
      <c r="C13" s="59">
        <v>18.307483000000001</v>
      </c>
      <c r="D13" s="59">
        <v>15.1666667</v>
      </c>
      <c r="E13" s="59">
        <v>14.660000999999999</v>
      </c>
      <c r="F13" s="59">
        <v>16.834669999999999</v>
      </c>
      <c r="G13" s="59">
        <v>15.3333333</v>
      </c>
      <c r="H13" s="59">
        <v>16.923548</v>
      </c>
      <c r="I13" s="62">
        <v>13.471640000000001</v>
      </c>
      <c r="J13" s="64">
        <v>16.5833333</v>
      </c>
      <c r="K13" s="59">
        <v>15.1666667</v>
      </c>
      <c r="L13" s="59">
        <v>16.5</v>
      </c>
      <c r="M13" s="59">
        <v>18.34656</v>
      </c>
      <c r="N13" s="59">
        <v>16.410716000000001</v>
      </c>
      <c r="O13" s="59">
        <v>16.3333333</v>
      </c>
      <c r="P13" s="59">
        <v>17.621359999999999</v>
      </c>
      <c r="Q13" s="62">
        <v>12.941079999999999</v>
      </c>
    </row>
    <row r="15" spans="1:17" x14ac:dyDescent="0.25">
      <c r="A15" s="65" t="s">
        <v>77</v>
      </c>
      <c r="B15" s="66" t="s">
        <v>73</v>
      </c>
      <c r="C15" s="66"/>
      <c r="D15" s="66"/>
      <c r="E15" s="66"/>
      <c r="F15" s="66"/>
      <c r="G15" s="66"/>
      <c r="H15" s="66"/>
      <c r="I15" s="67"/>
      <c r="J15" s="68" t="s">
        <v>20</v>
      </c>
      <c r="K15" s="69"/>
      <c r="L15" s="69"/>
      <c r="M15" s="69"/>
      <c r="N15" s="69"/>
      <c r="O15" s="69"/>
      <c r="P15" s="69"/>
      <c r="Q15" s="70"/>
    </row>
    <row r="16" spans="1:17" x14ac:dyDescent="0.25">
      <c r="A16" s="75" t="s">
        <v>72</v>
      </c>
      <c r="B16" s="71">
        <v>1</v>
      </c>
      <c r="C16" s="71">
        <v>2</v>
      </c>
      <c r="D16" s="71">
        <v>3</v>
      </c>
      <c r="E16" s="71">
        <v>4</v>
      </c>
      <c r="F16" s="71">
        <v>5</v>
      </c>
      <c r="G16" s="71">
        <v>6</v>
      </c>
      <c r="H16" s="71">
        <v>7</v>
      </c>
      <c r="I16" s="75">
        <v>8</v>
      </c>
      <c r="J16" s="71">
        <v>1</v>
      </c>
      <c r="K16" s="71">
        <v>2</v>
      </c>
      <c r="L16" s="71">
        <v>3</v>
      </c>
      <c r="M16" s="71">
        <v>4</v>
      </c>
      <c r="N16" s="71">
        <v>5</v>
      </c>
      <c r="O16" s="71">
        <v>6</v>
      </c>
      <c r="P16" s="71">
        <v>7</v>
      </c>
      <c r="Q16" s="72">
        <v>8</v>
      </c>
    </row>
    <row r="17" spans="1:17" x14ac:dyDescent="0.25">
      <c r="A17" s="76" t="s">
        <v>76</v>
      </c>
      <c r="B17" s="58">
        <v>-5.8241099999999997E-2</v>
      </c>
      <c r="C17" s="58">
        <v>-2.7590957999999999</v>
      </c>
      <c r="D17" s="58">
        <v>-0.39944030000000003</v>
      </c>
      <c r="E17" s="58">
        <v>3.0454620000000002E-2</v>
      </c>
      <c r="F17" s="58">
        <v>-5.2114580000000004</v>
      </c>
      <c r="G17" s="58">
        <v>4.2647959999999999E-2</v>
      </c>
      <c r="H17" s="58">
        <v>3.6920710000000002E-2</v>
      </c>
      <c r="I17" s="61">
        <v>8.0373550000000002E-2</v>
      </c>
      <c r="J17" s="58">
        <v>9.9769000000000008E-4</v>
      </c>
      <c r="K17" s="58">
        <v>2.8258485900000001</v>
      </c>
      <c r="L17" s="58">
        <v>2.4618004400000002</v>
      </c>
      <c r="M17" s="58">
        <v>2.9029793700000002</v>
      </c>
      <c r="N17" s="58">
        <v>-1.378914</v>
      </c>
      <c r="O17" s="58">
        <v>0.12241797</v>
      </c>
      <c r="P17" s="58">
        <v>-2.9237769999999998</v>
      </c>
      <c r="Q17" s="61">
        <v>0.81718999000000003</v>
      </c>
    </row>
    <row r="18" spans="1:17" x14ac:dyDescent="0.25">
      <c r="A18" s="76" t="s">
        <v>70</v>
      </c>
      <c r="B18" s="58">
        <v>5</v>
      </c>
      <c r="C18" s="58">
        <v>6.46861</v>
      </c>
      <c r="D18" s="58">
        <v>4.5780000000000003</v>
      </c>
      <c r="E18" s="58">
        <v>1.4925373099999999</v>
      </c>
      <c r="F18" s="58">
        <v>4.8727422000000002</v>
      </c>
      <c r="G18" s="58">
        <v>2.56</v>
      </c>
      <c r="H18" s="58">
        <v>-0.67238580000000003</v>
      </c>
      <c r="I18" s="61">
        <v>1.73576003</v>
      </c>
      <c r="J18" s="58">
        <v>-1.2699876999999999</v>
      </c>
      <c r="K18" s="58">
        <v>-3.0982444999999998</v>
      </c>
      <c r="L18" s="58">
        <v>-9.4E-2</v>
      </c>
      <c r="M18" s="58">
        <v>-1.0694444000000001</v>
      </c>
      <c r="N18" s="58">
        <v>-1.5765743999999999</v>
      </c>
      <c r="O18" s="58">
        <v>0.128</v>
      </c>
      <c r="P18" s="58">
        <v>-1.1982879</v>
      </c>
      <c r="Q18" s="61">
        <v>-2.607694</v>
      </c>
    </row>
    <row r="19" spans="1:17" x14ac:dyDescent="0.25">
      <c r="A19" s="77" t="s">
        <v>71</v>
      </c>
      <c r="B19" s="59">
        <v>3.90264977</v>
      </c>
      <c r="C19" s="59">
        <v>8.9684299999999997</v>
      </c>
      <c r="D19" s="59">
        <v>7.806</v>
      </c>
      <c r="E19" s="59">
        <v>6.1246612499999999</v>
      </c>
      <c r="F19" s="59">
        <v>8.3017171100000002</v>
      </c>
      <c r="G19" s="59">
        <v>4.5</v>
      </c>
      <c r="H19" s="59">
        <v>7.25337487</v>
      </c>
      <c r="I19" s="62">
        <v>6.8466731000000003</v>
      </c>
      <c r="J19" s="59">
        <v>-1.1915743999999999</v>
      </c>
      <c r="K19" s="59">
        <v>-3.1498390000000001</v>
      </c>
      <c r="L19" s="59">
        <v>-3.0099999999999998E-2</v>
      </c>
      <c r="M19" s="59">
        <v>-0.45977010000000001</v>
      </c>
      <c r="N19" s="59">
        <v>-1.6989082</v>
      </c>
      <c r="O19" s="59">
        <v>0.18468999999999999</v>
      </c>
      <c r="P19" s="59">
        <v>3.6281033499999999</v>
      </c>
      <c r="Q19" s="62">
        <v>5.6698036500000004</v>
      </c>
    </row>
    <row r="20" spans="1:17" x14ac:dyDescent="0.25">
      <c r="A20" s="46"/>
    </row>
    <row r="22" spans="1:17" x14ac:dyDescent="0.25">
      <c r="D22" s="74"/>
    </row>
    <row r="23" spans="1:17" x14ac:dyDescent="0.25">
      <c r="D23" s="74"/>
    </row>
    <row r="25" spans="1:17" x14ac:dyDescent="0.25">
      <c r="I25" s="58"/>
      <c r="J25" s="58"/>
      <c r="K25" s="58"/>
      <c r="L25" s="58"/>
      <c r="M25" s="58"/>
      <c r="N25" s="58"/>
      <c r="O25" s="58"/>
      <c r="P25" s="58"/>
    </row>
    <row r="26" spans="1:17" x14ac:dyDescent="0.25">
      <c r="I26" s="58"/>
      <c r="J26" s="58"/>
      <c r="K26" s="58"/>
      <c r="L26" s="58"/>
      <c r="M26" s="58"/>
      <c r="N26" s="58"/>
      <c r="O26" s="58"/>
      <c r="P26" s="58"/>
    </row>
    <row r="27" spans="1:17" x14ac:dyDescent="0.25">
      <c r="I27" s="58"/>
      <c r="J27" s="78"/>
      <c r="K27" s="58"/>
      <c r="L27" s="58"/>
      <c r="M27" s="58"/>
      <c r="N27" s="58"/>
      <c r="O27" s="58"/>
      <c r="P27" s="58"/>
    </row>
  </sheetData>
  <mergeCells count="6">
    <mergeCell ref="B1:I1"/>
    <mergeCell ref="J1:Q1"/>
    <mergeCell ref="B8:I8"/>
    <mergeCell ref="J8:Q8"/>
    <mergeCell ref="B15:I15"/>
    <mergeCell ref="J15:Q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7"/>
  <sheetViews>
    <sheetView topLeftCell="B1" zoomScale="99" workbookViewId="0">
      <selection activeCell="R35" sqref="R35"/>
    </sheetView>
  </sheetViews>
  <sheetFormatPr defaultColWidth="10.625" defaultRowHeight="15.75" x14ac:dyDescent="0.25"/>
  <sheetData>
    <row r="1" spans="1:23" x14ac:dyDescent="0.25">
      <c r="A1" s="3" t="s">
        <v>3</v>
      </c>
      <c r="B1" s="2" t="s">
        <v>0</v>
      </c>
      <c r="C1" s="1" t="s">
        <v>58</v>
      </c>
      <c r="D1" s="33" t="s">
        <v>59</v>
      </c>
      <c r="E1" s="1" t="s">
        <v>60</v>
      </c>
      <c r="F1" s="1" t="s">
        <v>61</v>
      </c>
      <c r="H1" s="3" t="s">
        <v>4</v>
      </c>
      <c r="I1" s="2" t="s">
        <v>0</v>
      </c>
      <c r="J1" s="33" t="s">
        <v>58</v>
      </c>
      <c r="K1" s="33" t="s">
        <v>59</v>
      </c>
      <c r="L1" s="33" t="s">
        <v>60</v>
      </c>
      <c r="M1" s="33" t="s">
        <v>61</v>
      </c>
    </row>
    <row r="2" spans="1:23" x14ac:dyDescent="0.25">
      <c r="B2" s="1">
        <v>1</v>
      </c>
      <c r="C2" s="42">
        <v>21.1</v>
      </c>
      <c r="D2" s="42">
        <v>25.4</v>
      </c>
      <c r="E2" s="42">
        <v>19.600000000000001</v>
      </c>
      <c r="F2" s="42">
        <v>20.6</v>
      </c>
      <c r="I2" s="1">
        <v>1</v>
      </c>
      <c r="J2">
        <v>15.7</v>
      </c>
      <c r="K2">
        <v>18.600000000000001</v>
      </c>
      <c r="L2">
        <v>12.3</v>
      </c>
      <c r="M2">
        <v>10.6</v>
      </c>
    </row>
    <row r="3" spans="1:23" x14ac:dyDescent="0.25">
      <c r="B3" s="1">
        <v>2</v>
      </c>
      <c r="C3" s="42">
        <v>12.6</v>
      </c>
      <c r="D3" s="42">
        <v>14.9</v>
      </c>
      <c r="E3" s="42">
        <v>12.4</v>
      </c>
      <c r="F3" s="42">
        <v>13.6</v>
      </c>
      <c r="I3" s="1">
        <v>2</v>
      </c>
      <c r="J3">
        <v>7.4</v>
      </c>
      <c r="K3">
        <v>9.5</v>
      </c>
      <c r="L3">
        <v>8.9</v>
      </c>
      <c r="M3">
        <v>12.9</v>
      </c>
    </row>
    <row r="4" spans="1:23" x14ac:dyDescent="0.25">
      <c r="B4" s="1">
        <v>3</v>
      </c>
      <c r="C4" s="42">
        <v>24.4</v>
      </c>
      <c r="D4" s="42">
        <v>23.3</v>
      </c>
      <c r="E4" s="42">
        <v>21.2</v>
      </c>
      <c r="F4" s="42">
        <v>22.1</v>
      </c>
      <c r="I4" s="1">
        <v>3</v>
      </c>
      <c r="J4">
        <v>15.8</v>
      </c>
      <c r="K4">
        <v>15.9</v>
      </c>
      <c r="L4">
        <v>13.4</v>
      </c>
      <c r="M4">
        <v>12.9</v>
      </c>
    </row>
    <row r="5" spans="1:23" x14ac:dyDescent="0.25">
      <c r="B5" s="1">
        <v>4</v>
      </c>
      <c r="C5" s="42">
        <v>21.7</v>
      </c>
      <c r="D5" s="42">
        <v>23.6</v>
      </c>
      <c r="E5" s="42">
        <v>22.9</v>
      </c>
      <c r="F5" s="42">
        <v>22.2</v>
      </c>
      <c r="I5" s="1">
        <v>4</v>
      </c>
      <c r="J5">
        <v>10.5</v>
      </c>
      <c r="K5">
        <v>13.2</v>
      </c>
      <c r="L5">
        <v>11.1</v>
      </c>
      <c r="M5">
        <v>14.8</v>
      </c>
    </row>
    <row r="6" spans="1:23" x14ac:dyDescent="0.25">
      <c r="B6" s="1">
        <v>5</v>
      </c>
      <c r="C6" s="42">
        <v>15.6</v>
      </c>
      <c r="D6" s="42">
        <v>18.3</v>
      </c>
      <c r="E6" s="42">
        <v>13.4</v>
      </c>
      <c r="F6" s="42">
        <v>14.2</v>
      </c>
      <c r="I6" s="1">
        <v>5</v>
      </c>
      <c r="J6">
        <v>10.199999999999999</v>
      </c>
      <c r="K6">
        <v>10.9</v>
      </c>
      <c r="L6">
        <v>11.2</v>
      </c>
      <c r="M6">
        <v>11.4</v>
      </c>
      <c r="O6" s="43"/>
      <c r="P6" s="42"/>
      <c r="Q6" s="42"/>
      <c r="R6" s="42"/>
      <c r="S6" s="42"/>
      <c r="T6" s="42"/>
      <c r="U6" s="42"/>
      <c r="V6" s="42"/>
      <c r="W6" s="42"/>
    </row>
    <row r="7" spans="1:23" x14ac:dyDescent="0.25">
      <c r="B7" s="1">
        <v>6</v>
      </c>
      <c r="C7" s="42">
        <v>18.04</v>
      </c>
      <c r="D7" s="42">
        <v>16.3</v>
      </c>
      <c r="E7" s="42">
        <v>14.8</v>
      </c>
      <c r="F7" s="42">
        <v>14.7</v>
      </c>
      <c r="I7" s="1">
        <v>6</v>
      </c>
      <c r="J7">
        <v>13.5</v>
      </c>
      <c r="K7">
        <v>12.5</v>
      </c>
      <c r="L7">
        <v>13.4</v>
      </c>
      <c r="M7">
        <v>11.1</v>
      </c>
      <c r="O7" s="43"/>
      <c r="P7" s="42"/>
      <c r="Q7" s="42"/>
      <c r="R7" s="42"/>
      <c r="S7" s="42"/>
      <c r="T7" s="42"/>
      <c r="U7" s="42"/>
      <c r="V7" s="42"/>
      <c r="W7" s="42"/>
    </row>
    <row r="8" spans="1:23" x14ac:dyDescent="0.25">
      <c r="B8" s="1">
        <v>7</v>
      </c>
      <c r="C8" s="42">
        <v>24.13</v>
      </c>
      <c r="D8" s="42">
        <v>25.3</v>
      </c>
      <c r="E8" s="42">
        <v>24.1</v>
      </c>
      <c r="F8" s="42">
        <v>24.6</v>
      </c>
      <c r="I8" s="1">
        <v>7</v>
      </c>
      <c r="J8">
        <v>17.5</v>
      </c>
      <c r="K8">
        <v>18.899999999999999</v>
      </c>
      <c r="L8">
        <v>17</v>
      </c>
      <c r="M8">
        <v>17.2</v>
      </c>
    </row>
    <row r="9" spans="1:23" x14ac:dyDescent="0.25">
      <c r="B9" s="1">
        <v>8</v>
      </c>
      <c r="C9" s="42">
        <v>26.5</v>
      </c>
      <c r="D9" s="42">
        <v>28.1</v>
      </c>
      <c r="E9" s="42">
        <v>27.4</v>
      </c>
      <c r="F9" s="42">
        <v>27.3</v>
      </c>
      <c r="I9" s="1">
        <v>8</v>
      </c>
      <c r="J9">
        <v>18.05</v>
      </c>
      <c r="K9">
        <v>19.7</v>
      </c>
      <c r="L9">
        <v>17.3</v>
      </c>
      <c r="M9">
        <v>17.8</v>
      </c>
    </row>
    <row r="10" spans="1:23" x14ac:dyDescent="0.25">
      <c r="B10" t="s">
        <v>1</v>
      </c>
      <c r="C10">
        <f>AVERAGE(C2:C9)</f>
        <v>20.508749999999999</v>
      </c>
      <c r="D10">
        <f t="shared" ref="D10:F10" si="0">AVERAGE(D2:D9)</f>
        <v>21.9</v>
      </c>
      <c r="E10">
        <f t="shared" si="0"/>
        <v>19.475000000000001</v>
      </c>
      <c r="F10">
        <f t="shared" si="0"/>
        <v>19.912500000000001</v>
      </c>
      <c r="I10" t="s">
        <v>1</v>
      </c>
      <c r="J10">
        <f>AVERAGE(J2:J9)</f>
        <v>13.581250000000001</v>
      </c>
      <c r="K10">
        <f t="shared" ref="K10:M10" si="1">AVERAGE(K2:K9)</f>
        <v>14.9</v>
      </c>
      <c r="L10">
        <f t="shared" si="1"/>
        <v>13.075000000000001</v>
      </c>
      <c r="M10">
        <f t="shared" si="1"/>
        <v>13.5875</v>
      </c>
    </row>
    <row r="11" spans="1:23" x14ac:dyDescent="0.25">
      <c r="B11" t="s">
        <v>2</v>
      </c>
      <c r="C11">
        <f>STDEV(C2:C9)</f>
        <v>4.7608205700278114</v>
      </c>
      <c r="D11">
        <f t="shared" ref="D11:F11" si="2">STDEV(D2:D9)</f>
        <v>4.7871852749964603</v>
      </c>
      <c r="E11">
        <f t="shared" si="2"/>
        <v>5.4476076007205636</v>
      </c>
      <c r="F11">
        <f t="shared" si="2"/>
        <v>5.1642832444174998</v>
      </c>
      <c r="I11" t="s">
        <v>2</v>
      </c>
      <c r="J11">
        <f>STDEV(J2:J9)</f>
        <v>3.8522662624931314</v>
      </c>
      <c r="K11">
        <f t="shared" ref="K11:M11" si="3">STDEV(K2:K9)</f>
        <v>3.919548078906173</v>
      </c>
      <c r="L11">
        <f t="shared" si="3"/>
        <v>2.901108162655873</v>
      </c>
      <c r="M11">
        <f t="shared" si="3"/>
        <v>2.7544444604519258</v>
      </c>
    </row>
    <row r="14" spans="1:23" x14ac:dyDescent="0.25">
      <c r="A14" s="3" t="s">
        <v>3</v>
      </c>
      <c r="B14" s="2" t="s">
        <v>5</v>
      </c>
      <c r="C14" s="33" t="s">
        <v>58</v>
      </c>
      <c r="D14" s="33" t="s">
        <v>59</v>
      </c>
      <c r="E14" s="33" t="s">
        <v>60</v>
      </c>
      <c r="F14" s="33" t="s">
        <v>61</v>
      </c>
      <c r="H14" s="3" t="s">
        <v>7</v>
      </c>
      <c r="I14" s="2" t="s">
        <v>5</v>
      </c>
      <c r="J14" s="33" t="s">
        <v>58</v>
      </c>
      <c r="K14" s="33" t="s">
        <v>59</v>
      </c>
      <c r="L14" s="33" t="s">
        <v>60</v>
      </c>
      <c r="M14" s="33" t="s">
        <v>61</v>
      </c>
    </row>
    <row r="15" spans="1:23" x14ac:dyDescent="0.25">
      <c r="B15" s="1">
        <v>1</v>
      </c>
      <c r="C15" s="42">
        <v>122.1</v>
      </c>
      <c r="D15" s="42">
        <v>152.9</v>
      </c>
      <c r="E15" s="42">
        <v>113.4</v>
      </c>
      <c r="F15" s="42">
        <v>120.4</v>
      </c>
      <c r="I15" s="1">
        <v>1</v>
      </c>
      <c r="J15">
        <v>112.1</v>
      </c>
      <c r="K15">
        <v>135.6</v>
      </c>
      <c r="L15">
        <v>86.1</v>
      </c>
      <c r="M15">
        <v>81.5</v>
      </c>
    </row>
    <row r="16" spans="1:23" x14ac:dyDescent="0.25">
      <c r="B16" s="1">
        <v>2</v>
      </c>
      <c r="C16" s="42">
        <v>67.8</v>
      </c>
      <c r="D16" s="42">
        <v>87.7</v>
      </c>
      <c r="E16" s="42">
        <v>67.900000000000006</v>
      </c>
      <c r="F16" s="42">
        <v>74.7</v>
      </c>
      <c r="I16" s="1">
        <v>2</v>
      </c>
      <c r="J16">
        <v>56.8</v>
      </c>
      <c r="K16">
        <v>73.8</v>
      </c>
      <c r="L16">
        <v>68.900000000000006</v>
      </c>
      <c r="M16">
        <v>84.4</v>
      </c>
    </row>
    <row r="17" spans="1:23" x14ac:dyDescent="0.25">
      <c r="B17" s="1">
        <v>3</v>
      </c>
      <c r="C17" s="42">
        <v>152.4</v>
      </c>
      <c r="D17" s="42">
        <v>157.30000000000001</v>
      </c>
      <c r="E17" s="42">
        <v>139.19999999999999</v>
      </c>
      <c r="F17" s="42">
        <v>133.9</v>
      </c>
      <c r="I17" s="1">
        <v>3</v>
      </c>
      <c r="J17">
        <v>117.7</v>
      </c>
      <c r="K17">
        <v>116.2</v>
      </c>
      <c r="L17">
        <v>104.7</v>
      </c>
      <c r="M17">
        <v>115.1</v>
      </c>
      <c r="O17" s="43"/>
      <c r="P17" s="42"/>
      <c r="Q17" s="42"/>
      <c r="R17" s="42"/>
      <c r="S17" s="42"/>
      <c r="T17" s="42"/>
      <c r="U17" s="42"/>
      <c r="V17" s="42"/>
      <c r="W17" s="42"/>
    </row>
    <row r="18" spans="1:23" x14ac:dyDescent="0.25">
      <c r="B18" s="1">
        <v>4</v>
      </c>
      <c r="C18" s="42">
        <v>129.4</v>
      </c>
      <c r="D18" s="42">
        <v>133.1</v>
      </c>
      <c r="E18" s="42">
        <v>130.80000000000001</v>
      </c>
      <c r="F18" s="42">
        <v>129.19999999999999</v>
      </c>
      <c r="I18" s="1">
        <v>4</v>
      </c>
      <c r="J18">
        <v>107.3</v>
      </c>
      <c r="K18">
        <v>113.9</v>
      </c>
      <c r="L18">
        <v>109.1</v>
      </c>
      <c r="M18">
        <v>111.3</v>
      </c>
      <c r="O18" s="43"/>
      <c r="P18" s="42"/>
      <c r="Q18" s="42"/>
      <c r="R18" s="42"/>
      <c r="S18" s="42"/>
      <c r="T18" s="42"/>
      <c r="U18" s="42"/>
      <c r="V18" s="42"/>
      <c r="W18" s="42"/>
    </row>
    <row r="19" spans="1:23" x14ac:dyDescent="0.25">
      <c r="B19" s="1">
        <v>5</v>
      </c>
      <c r="C19" s="42">
        <v>87.2</v>
      </c>
      <c r="D19" s="42">
        <v>91.4</v>
      </c>
      <c r="E19" s="42">
        <v>82.3</v>
      </c>
      <c r="F19" s="42">
        <v>83.9</v>
      </c>
      <c r="I19" s="1">
        <v>5</v>
      </c>
      <c r="J19">
        <v>79.2</v>
      </c>
      <c r="K19">
        <v>78.3</v>
      </c>
      <c r="L19">
        <v>78.5</v>
      </c>
      <c r="M19">
        <v>83.2</v>
      </c>
    </row>
    <row r="20" spans="1:23" x14ac:dyDescent="0.25">
      <c r="B20" s="1">
        <v>6</v>
      </c>
      <c r="C20" s="42">
        <v>114.1</v>
      </c>
      <c r="D20" s="42">
        <v>103.01</v>
      </c>
      <c r="E20" s="42">
        <v>105.2</v>
      </c>
      <c r="F20" s="42">
        <v>97.6</v>
      </c>
      <c r="I20" s="1">
        <v>6</v>
      </c>
      <c r="J20">
        <v>102.1</v>
      </c>
      <c r="K20">
        <v>96.9</v>
      </c>
      <c r="L20">
        <v>95.2</v>
      </c>
      <c r="M20">
        <v>90.3</v>
      </c>
    </row>
    <row r="21" spans="1:23" x14ac:dyDescent="0.25">
      <c r="B21" s="1">
        <v>7</v>
      </c>
      <c r="C21" s="42">
        <v>163</v>
      </c>
      <c r="D21" s="42">
        <v>171.5</v>
      </c>
      <c r="E21" s="42">
        <v>168.1</v>
      </c>
      <c r="F21" s="42">
        <v>168.9</v>
      </c>
      <c r="I21" s="1">
        <v>7</v>
      </c>
      <c r="J21">
        <v>148.5</v>
      </c>
      <c r="K21">
        <v>152.69999999999999</v>
      </c>
      <c r="L21">
        <v>139.1</v>
      </c>
      <c r="M21">
        <v>145.30000000000001</v>
      </c>
    </row>
    <row r="22" spans="1:23" x14ac:dyDescent="0.25">
      <c r="B22" s="1">
        <v>8</v>
      </c>
      <c r="C22" s="42">
        <v>160.9</v>
      </c>
      <c r="D22" s="42">
        <v>166.5</v>
      </c>
      <c r="E22" s="42">
        <v>166.2</v>
      </c>
      <c r="F22" s="42">
        <v>169.1</v>
      </c>
      <c r="I22" s="1">
        <v>8</v>
      </c>
      <c r="J22">
        <v>133.30000000000001</v>
      </c>
      <c r="K22">
        <v>143.4</v>
      </c>
      <c r="L22">
        <v>130.30000000000001</v>
      </c>
      <c r="M22">
        <v>133.4</v>
      </c>
    </row>
    <row r="23" spans="1:23" x14ac:dyDescent="0.25">
      <c r="B23" t="s">
        <v>1</v>
      </c>
      <c r="C23">
        <f>AVERAGE(C15:C22)</f>
        <v>124.6125</v>
      </c>
      <c r="D23">
        <f t="shared" ref="D23" si="4">AVERAGE(D15:D22)</f>
        <v>132.92624999999998</v>
      </c>
      <c r="E23">
        <f t="shared" ref="E23" si="5">AVERAGE(E15:E22)</f>
        <v>121.63750000000002</v>
      </c>
      <c r="F23">
        <f t="shared" ref="F23" si="6">AVERAGE(F15:F22)</f>
        <v>122.21250000000001</v>
      </c>
      <c r="I23" t="s">
        <v>1</v>
      </c>
      <c r="J23">
        <f>AVERAGE(J15:J22)</f>
        <v>107.125</v>
      </c>
      <c r="K23">
        <f t="shared" ref="K23" si="7">AVERAGE(K15:K22)</f>
        <v>113.84999999999998</v>
      </c>
      <c r="L23">
        <f t="shared" ref="L23" si="8">AVERAGE(L15:L22)</f>
        <v>101.48750000000001</v>
      </c>
      <c r="M23">
        <f t="shared" ref="M23" si="9">AVERAGE(M15:M22)</f>
        <v>105.56249999999999</v>
      </c>
    </row>
    <row r="24" spans="1:23" x14ac:dyDescent="0.25">
      <c r="B24" t="s">
        <v>2</v>
      </c>
      <c r="C24">
        <f>STDEV(C15:C22)</f>
        <v>34.495607898480536</v>
      </c>
      <c r="D24">
        <f t="shared" ref="D24:F24" si="10">STDEV(D15:D22)</f>
        <v>34.378183670752698</v>
      </c>
      <c r="E24">
        <f t="shared" si="10"/>
        <v>36.469515156007802</v>
      </c>
      <c r="F24">
        <f t="shared" si="10"/>
        <v>35.652947684187765</v>
      </c>
      <c r="I24" t="s">
        <v>2</v>
      </c>
      <c r="J24">
        <f>STDEV(J15:J22)</f>
        <v>28.961291900939575</v>
      </c>
      <c r="K24">
        <f t="shared" ref="K24:M24" si="11">STDEV(K15:K22)</f>
        <v>29.316548227920769</v>
      </c>
      <c r="L24">
        <f t="shared" si="11"/>
        <v>24.435947612365787</v>
      </c>
      <c r="M24">
        <f t="shared" si="11"/>
        <v>24.604757815163726</v>
      </c>
    </row>
    <row r="27" spans="1:23" x14ac:dyDescent="0.25">
      <c r="A27" s="3" t="s">
        <v>3</v>
      </c>
      <c r="B27" s="2" t="s">
        <v>6</v>
      </c>
      <c r="C27" s="33" t="s">
        <v>58</v>
      </c>
      <c r="D27" s="33" t="s">
        <v>59</v>
      </c>
      <c r="E27" s="33" t="s">
        <v>60</v>
      </c>
      <c r="F27" s="33" t="s">
        <v>61</v>
      </c>
      <c r="H27" s="3" t="s">
        <v>7</v>
      </c>
      <c r="I27" s="2" t="s">
        <v>6</v>
      </c>
      <c r="J27" s="33" t="s">
        <v>58</v>
      </c>
      <c r="K27" s="33" t="s">
        <v>59</v>
      </c>
      <c r="L27" s="33" t="s">
        <v>60</v>
      </c>
      <c r="M27" s="33" t="s">
        <v>61</v>
      </c>
    </row>
    <row r="28" spans="1:23" x14ac:dyDescent="0.25">
      <c r="B28" s="1">
        <v>1</v>
      </c>
      <c r="C28" s="42">
        <v>172.9</v>
      </c>
      <c r="D28" s="42">
        <v>166.4</v>
      </c>
      <c r="E28" s="42">
        <v>172.8</v>
      </c>
      <c r="F28" s="42">
        <v>171.7</v>
      </c>
      <c r="I28" s="1">
        <v>1</v>
      </c>
      <c r="J28">
        <v>139.9</v>
      </c>
      <c r="K28">
        <v>137.19999999999999</v>
      </c>
      <c r="L28">
        <v>142.6</v>
      </c>
      <c r="M28">
        <v>138.1</v>
      </c>
    </row>
    <row r="29" spans="1:23" x14ac:dyDescent="0.25">
      <c r="B29" s="1">
        <v>2</v>
      </c>
      <c r="C29" s="42">
        <v>171.8</v>
      </c>
      <c r="D29" s="42">
        <v>169.4</v>
      </c>
      <c r="E29" s="42">
        <v>182.7</v>
      </c>
      <c r="F29" s="42">
        <v>182.9</v>
      </c>
      <c r="I29" s="1">
        <v>2</v>
      </c>
      <c r="J29">
        <v>130.80000000000001</v>
      </c>
      <c r="K29">
        <v>128</v>
      </c>
      <c r="L29">
        <v>130.1</v>
      </c>
      <c r="M29">
        <v>132.4</v>
      </c>
      <c r="O29" s="42"/>
      <c r="P29" s="42"/>
      <c r="Q29" s="42"/>
      <c r="R29" s="42"/>
      <c r="S29" s="42"/>
      <c r="T29" s="42"/>
      <c r="U29" s="42"/>
      <c r="V29" s="42"/>
    </row>
    <row r="30" spans="1:23" x14ac:dyDescent="0.25">
      <c r="B30" s="1">
        <v>3</v>
      </c>
      <c r="C30" s="42">
        <v>160.19999999999999</v>
      </c>
      <c r="D30" s="42">
        <v>157.30000000000001</v>
      </c>
      <c r="E30" s="42">
        <v>164.1</v>
      </c>
      <c r="F30" s="42">
        <v>165</v>
      </c>
      <c r="I30" s="1">
        <v>3</v>
      </c>
      <c r="J30">
        <v>134.19999999999999</v>
      </c>
      <c r="K30">
        <v>137.4</v>
      </c>
      <c r="L30">
        <v>138.80000000000001</v>
      </c>
      <c r="M30">
        <v>136.30000000000001</v>
      </c>
      <c r="O30" s="42"/>
      <c r="P30" s="42"/>
      <c r="Q30" s="42"/>
      <c r="R30" s="42"/>
      <c r="S30" s="42"/>
      <c r="T30" s="42"/>
      <c r="U30" s="42"/>
      <c r="V30" s="42"/>
    </row>
    <row r="31" spans="1:23" x14ac:dyDescent="0.25">
      <c r="B31" s="1">
        <v>4</v>
      </c>
      <c r="C31" s="42">
        <v>167.6</v>
      </c>
      <c r="D31" s="42">
        <v>163</v>
      </c>
      <c r="E31" s="42">
        <v>167.6</v>
      </c>
      <c r="F31" s="42">
        <v>171.8</v>
      </c>
      <c r="I31" s="1">
        <v>4</v>
      </c>
      <c r="J31">
        <v>128.1</v>
      </c>
      <c r="K31">
        <v>127.9</v>
      </c>
      <c r="L31">
        <v>132.4</v>
      </c>
      <c r="M31">
        <v>130.80000000000001</v>
      </c>
    </row>
    <row r="32" spans="1:23" x14ac:dyDescent="0.25">
      <c r="B32" s="1">
        <v>5</v>
      </c>
      <c r="C32" s="42">
        <v>172.7</v>
      </c>
      <c r="D32" s="42">
        <v>173.1</v>
      </c>
      <c r="E32" s="42">
        <v>173.5</v>
      </c>
      <c r="F32" s="42">
        <v>168.5</v>
      </c>
      <c r="I32" s="1">
        <v>5</v>
      </c>
      <c r="J32">
        <v>132.4</v>
      </c>
      <c r="K32">
        <v>129.1</v>
      </c>
      <c r="L32">
        <v>142.30000000000001</v>
      </c>
      <c r="M32">
        <v>136.69999999999999</v>
      </c>
    </row>
    <row r="33" spans="2:13" x14ac:dyDescent="0.25">
      <c r="B33" s="1">
        <v>6</v>
      </c>
      <c r="C33" s="42">
        <v>157.6</v>
      </c>
      <c r="D33" s="42">
        <v>157.69999999999999</v>
      </c>
      <c r="E33" s="42">
        <v>155.80000000000001</v>
      </c>
      <c r="F33" s="42">
        <v>150.69999999999999</v>
      </c>
      <c r="I33" s="1">
        <v>6</v>
      </c>
      <c r="J33">
        <v>132.1</v>
      </c>
      <c r="K33">
        <v>128.4</v>
      </c>
      <c r="L33">
        <v>131.30000000000001</v>
      </c>
      <c r="M33">
        <v>135.19999999999999</v>
      </c>
    </row>
    <row r="34" spans="2:13" x14ac:dyDescent="0.25">
      <c r="B34" s="1">
        <v>7</v>
      </c>
      <c r="C34" s="42">
        <v>152</v>
      </c>
      <c r="D34" s="42">
        <v>155.1</v>
      </c>
      <c r="E34" s="42">
        <v>153.19999999999999</v>
      </c>
      <c r="F34" s="42">
        <v>149.6</v>
      </c>
      <c r="I34" s="1">
        <v>7</v>
      </c>
      <c r="J34">
        <v>118.3</v>
      </c>
      <c r="K34">
        <v>122.8</v>
      </c>
      <c r="L34">
        <v>124.3</v>
      </c>
      <c r="M34">
        <v>122.5</v>
      </c>
    </row>
    <row r="35" spans="2:13" x14ac:dyDescent="0.25">
      <c r="B35" s="1">
        <v>8</v>
      </c>
      <c r="C35" s="42">
        <v>166.5</v>
      </c>
      <c r="D35" s="42">
        <v>168.8</v>
      </c>
      <c r="E35" s="42">
        <v>165.4</v>
      </c>
      <c r="F35" s="42">
        <v>160.80000000000001</v>
      </c>
      <c r="I35" s="1">
        <v>8</v>
      </c>
      <c r="J35">
        <v>135.4</v>
      </c>
      <c r="K35">
        <v>137.30000000000001</v>
      </c>
      <c r="L35">
        <v>132.69999999999999</v>
      </c>
      <c r="M35">
        <v>133.4</v>
      </c>
    </row>
    <row r="36" spans="2:13" x14ac:dyDescent="0.25">
      <c r="B36" t="s">
        <v>1</v>
      </c>
      <c r="C36">
        <f>AVERAGE(C28:C35)</f>
        <v>165.16250000000002</v>
      </c>
      <c r="D36">
        <f t="shared" ref="D36:F36" si="12">AVERAGE(D28:D35)</f>
        <v>163.85</v>
      </c>
      <c r="E36">
        <f t="shared" si="12"/>
        <v>166.88750000000002</v>
      </c>
      <c r="F36">
        <f t="shared" si="12"/>
        <v>165.125</v>
      </c>
      <c r="I36" t="s">
        <v>1</v>
      </c>
      <c r="J36">
        <f>AVERAGE(J28:J35)</f>
        <v>131.4</v>
      </c>
      <c r="K36">
        <f t="shared" ref="K36:M36" si="13">AVERAGE(K28:K35)</f>
        <v>131.01249999999999</v>
      </c>
      <c r="L36">
        <f t="shared" si="13"/>
        <v>134.3125</v>
      </c>
      <c r="M36">
        <f t="shared" si="13"/>
        <v>133.17500000000001</v>
      </c>
    </row>
    <row r="37" spans="2:13" x14ac:dyDescent="0.25">
      <c r="B37" t="s">
        <v>2</v>
      </c>
      <c r="C37">
        <f>STDEV(C28:C35)</f>
        <v>7.7785304341042307</v>
      </c>
      <c r="D37">
        <f t="shared" ref="D37:F37" si="14">STDEV(D28:D35)</f>
        <v>6.6049764788161296</v>
      </c>
      <c r="E37">
        <f t="shared" si="14"/>
        <v>9.6324507339958458</v>
      </c>
      <c r="F37">
        <f t="shared" si="14"/>
        <v>11.23104752778781</v>
      </c>
      <c r="I37" t="s">
        <v>2</v>
      </c>
      <c r="J37">
        <f>STDEV(J28:J35)</f>
        <v>6.3295226631126909</v>
      </c>
      <c r="K37">
        <f t="shared" ref="K37:M37" si="15">STDEV(K28:K35)</f>
        <v>5.5460249600180189</v>
      </c>
      <c r="L37">
        <f t="shared" si="15"/>
        <v>6.391386502831093</v>
      </c>
      <c r="M37">
        <f t="shared" si="15"/>
        <v>4.9395633121041875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"/>
  <sheetViews>
    <sheetView workbookViewId="0">
      <selection activeCell="H10" sqref="H10"/>
    </sheetView>
  </sheetViews>
  <sheetFormatPr defaultColWidth="11" defaultRowHeight="15.75" x14ac:dyDescent="0.25"/>
  <cols>
    <col min="1" max="1" width="17.625" customWidth="1"/>
    <col min="3" max="3" width="15.5" customWidth="1"/>
    <col min="4" max="4" width="13.125" customWidth="1"/>
    <col min="5" max="5" width="15.875" customWidth="1"/>
    <col min="6" max="6" width="13.375" customWidth="1"/>
    <col min="7" max="7" width="19.625" customWidth="1"/>
    <col min="8" max="8" width="18.5" customWidth="1"/>
    <col min="9" max="9" width="14.875" customWidth="1"/>
    <col min="13" max="13" width="17.125" customWidth="1"/>
  </cols>
  <sheetData>
    <row r="1" spans="1:11" x14ac:dyDescent="0.25">
      <c r="A1" s="6" t="s">
        <v>62</v>
      </c>
      <c r="B1" s="6"/>
      <c r="C1" s="6" t="s">
        <v>13</v>
      </c>
      <c r="D1" s="6" t="s">
        <v>9</v>
      </c>
      <c r="E1" s="6" t="s">
        <v>21</v>
      </c>
      <c r="F1" s="6" t="s">
        <v>10</v>
      </c>
      <c r="G1" s="6" t="s">
        <v>66</v>
      </c>
      <c r="H1" s="32" t="s">
        <v>67</v>
      </c>
      <c r="I1" s="6" t="s">
        <v>11</v>
      </c>
      <c r="J1" s="6" t="s">
        <v>12</v>
      </c>
      <c r="K1" s="44"/>
    </row>
    <row r="2" spans="1:11" x14ac:dyDescent="0.25">
      <c r="B2" s="6">
        <v>1</v>
      </c>
      <c r="C2" s="7">
        <v>30.116666666666667</v>
      </c>
      <c r="D2" s="7">
        <v>175.1</v>
      </c>
      <c r="E2" s="7">
        <v>2.0479532163742689</v>
      </c>
      <c r="F2" s="7">
        <v>90.4</v>
      </c>
      <c r="G2" s="8">
        <v>1.3</v>
      </c>
      <c r="H2" s="8">
        <v>15.8</v>
      </c>
      <c r="I2" s="8">
        <v>14.6</v>
      </c>
      <c r="J2" s="8">
        <v>88</v>
      </c>
    </row>
    <row r="3" spans="1:11" x14ac:dyDescent="0.25">
      <c r="B3" s="6">
        <v>2</v>
      </c>
      <c r="C3" s="7">
        <v>28.65</v>
      </c>
      <c r="D3" s="7">
        <v>200</v>
      </c>
      <c r="E3" s="7">
        <v>2.2099447513812156</v>
      </c>
      <c r="F3" s="7">
        <v>96.8</v>
      </c>
      <c r="G3" s="8">
        <v>2.2999999999999998</v>
      </c>
      <c r="H3" s="8">
        <v>17.8</v>
      </c>
      <c r="I3" s="8">
        <v>14.8</v>
      </c>
      <c r="J3" s="8">
        <v>85.6</v>
      </c>
    </row>
    <row r="4" spans="1:11" x14ac:dyDescent="0.25">
      <c r="B4" s="6">
        <v>3</v>
      </c>
      <c r="C4" s="7">
        <v>32.916666666666664</v>
      </c>
      <c r="D4" s="7">
        <v>137.80000000000001</v>
      </c>
      <c r="E4" s="7">
        <v>1.9006896551724139</v>
      </c>
      <c r="F4" s="7">
        <v>118.4</v>
      </c>
      <c r="G4" s="8">
        <v>2.4</v>
      </c>
      <c r="H4" s="8">
        <v>12.4</v>
      </c>
      <c r="I4" s="8">
        <v>16.600000000000001</v>
      </c>
      <c r="J4" s="8">
        <v>86.8</v>
      </c>
    </row>
    <row r="5" spans="1:11" x14ac:dyDescent="0.25">
      <c r="B5" s="6">
        <v>4</v>
      </c>
      <c r="C5" s="7">
        <v>31.733333333333334</v>
      </c>
      <c r="D5" s="7">
        <v>152.19999999999999</v>
      </c>
      <c r="E5" s="7">
        <v>1.9265822784810125</v>
      </c>
      <c r="F5" s="7">
        <v>104.8</v>
      </c>
      <c r="G5" s="8">
        <v>2.9</v>
      </c>
      <c r="H5" s="8">
        <v>15.9</v>
      </c>
      <c r="I5" s="8">
        <v>17.75</v>
      </c>
      <c r="J5" s="8">
        <v>88.4</v>
      </c>
    </row>
    <row r="6" spans="1:11" x14ac:dyDescent="0.25">
      <c r="B6" s="6">
        <v>5</v>
      </c>
      <c r="C6" s="7">
        <v>29.366666666666667</v>
      </c>
      <c r="D6" s="7">
        <v>185.2</v>
      </c>
      <c r="E6" s="7">
        <v>2.1045454545454545</v>
      </c>
      <c r="F6" s="7">
        <v>98.1</v>
      </c>
      <c r="G6" s="8">
        <v>1.5</v>
      </c>
      <c r="H6" s="8">
        <v>14.2</v>
      </c>
      <c r="I6" s="8">
        <v>17.600000000000001</v>
      </c>
      <c r="J6" s="8">
        <v>87.2</v>
      </c>
    </row>
    <row r="7" spans="1:11" x14ac:dyDescent="0.25">
      <c r="B7" s="6">
        <v>6</v>
      </c>
      <c r="C7" s="7">
        <v>38.516666666666666</v>
      </c>
      <c r="D7" s="7">
        <v>91.7</v>
      </c>
      <c r="E7" s="7">
        <v>1.4578696343402227</v>
      </c>
      <c r="F7" s="7">
        <v>99.7</v>
      </c>
      <c r="G7" s="8">
        <v>1.9</v>
      </c>
      <c r="H7" s="8">
        <v>11.2</v>
      </c>
      <c r="I7" s="8">
        <v>13.8</v>
      </c>
      <c r="J7" s="8">
        <v>90.3</v>
      </c>
    </row>
    <row r="8" spans="1:11" x14ac:dyDescent="0.25">
      <c r="B8" s="11">
        <v>7</v>
      </c>
      <c r="C8" s="7">
        <v>28.033333333333335</v>
      </c>
      <c r="D8" s="7">
        <v>211.7</v>
      </c>
      <c r="E8" s="7">
        <v>2.3786516853932582</v>
      </c>
      <c r="F8" s="7">
        <v>95.6</v>
      </c>
      <c r="G8" s="8">
        <v>1.4</v>
      </c>
      <c r="H8" s="8">
        <v>9.6</v>
      </c>
      <c r="I8" s="8">
        <v>13.2</v>
      </c>
      <c r="J8" s="8">
        <v>88.2</v>
      </c>
    </row>
    <row r="9" spans="1:11" x14ac:dyDescent="0.25">
      <c r="B9" s="6">
        <v>8</v>
      </c>
      <c r="C9" s="7">
        <v>31.266666666666666</v>
      </c>
      <c r="D9" s="7">
        <v>157.30000000000001</v>
      </c>
      <c r="E9" s="7">
        <v>2.1170928667563933</v>
      </c>
      <c r="F9" s="7">
        <v>107.3</v>
      </c>
      <c r="G9" s="8">
        <v>2</v>
      </c>
      <c r="H9" s="8">
        <v>12.5</v>
      </c>
      <c r="I9" s="8">
        <v>16.2</v>
      </c>
      <c r="J9" s="8">
        <v>84.2</v>
      </c>
    </row>
    <row r="10" spans="1:11" x14ac:dyDescent="0.25">
      <c r="B10" s="9" t="s">
        <v>14</v>
      </c>
      <c r="C10" s="10">
        <v>31.325000000000003</v>
      </c>
      <c r="D10" s="10">
        <f t="shared" ref="D10:E10" si="0">AVERAGE(D2:D9)</f>
        <v>163.87500000000003</v>
      </c>
      <c r="E10" s="10">
        <f t="shared" si="0"/>
        <v>2.0179161928055303</v>
      </c>
      <c r="F10" s="10">
        <f>AVERAGE(F2:F9)</f>
        <v>101.3875</v>
      </c>
      <c r="G10" s="10">
        <f>AVERAGE(G2:G9)</f>
        <v>1.9625000000000001</v>
      </c>
      <c r="H10" s="10">
        <f>AVERAGE(H2:H9)</f>
        <v>13.674999999999999</v>
      </c>
      <c r="I10" s="10">
        <f>AVERAGE(I2:I9)</f>
        <v>15.56875</v>
      </c>
      <c r="J10" s="10">
        <f>AVERAGE(J2:J9)</f>
        <v>87.337500000000006</v>
      </c>
    </row>
    <row r="11" spans="1:11" x14ac:dyDescent="0.25">
      <c r="B11" s="9" t="s">
        <v>15</v>
      </c>
      <c r="C11" s="10">
        <v>3.3318687258577886</v>
      </c>
      <c r="D11" s="10">
        <f t="shared" ref="D11:E11" si="1">STDEV(D2:D9)</f>
        <v>38.250443508166207</v>
      </c>
      <c r="E11" s="10">
        <f t="shared" si="1"/>
        <v>0.27281181898143231</v>
      </c>
      <c r="F11" s="10">
        <f>STDEV(F2:F9)</f>
        <v>8.6598313246522647</v>
      </c>
      <c r="G11" s="10">
        <f>STDEV(G2:G9)</f>
        <v>0.5553313039464427</v>
      </c>
      <c r="H11" s="10">
        <f>STDEV(H2:H9)</f>
        <v>2.7384823742879494</v>
      </c>
      <c r="I11" s="10">
        <f>STDEV(I2:I9)</f>
        <v>1.7160872230579989</v>
      </c>
      <c r="J11" s="10">
        <f>STDEV(J2:J9)</f>
        <v>1.8615949382950403</v>
      </c>
    </row>
    <row r="14" spans="1:11" x14ac:dyDescent="0.25">
      <c r="A14" s="6" t="s">
        <v>63</v>
      </c>
      <c r="B14" s="6" t="s">
        <v>8</v>
      </c>
      <c r="C14" s="6" t="s">
        <v>13</v>
      </c>
      <c r="D14" s="6" t="s">
        <v>9</v>
      </c>
      <c r="E14" s="6" t="s">
        <v>21</v>
      </c>
      <c r="F14" s="6" t="s">
        <v>10</v>
      </c>
      <c r="G14" s="32" t="s">
        <v>66</v>
      </c>
      <c r="H14" s="32" t="s">
        <v>67</v>
      </c>
      <c r="I14" s="6" t="s">
        <v>11</v>
      </c>
      <c r="J14" s="6" t="s">
        <v>12</v>
      </c>
    </row>
    <row r="15" spans="1:11" x14ac:dyDescent="0.25">
      <c r="B15" s="6">
        <v>1</v>
      </c>
      <c r="C15" s="7">
        <v>29.033333333333335</v>
      </c>
      <c r="D15" s="7">
        <v>192.1</v>
      </c>
      <c r="E15" s="7">
        <v>2.2467836257309939</v>
      </c>
      <c r="F15" s="7">
        <v>86.2</v>
      </c>
      <c r="G15" s="8">
        <v>1.5</v>
      </c>
      <c r="H15" s="8">
        <v>15.7</v>
      </c>
      <c r="I15" s="8">
        <v>15.2</v>
      </c>
      <c r="J15" s="8">
        <v>85.2</v>
      </c>
    </row>
    <row r="16" spans="1:11" x14ac:dyDescent="0.25">
      <c r="B16" s="6">
        <v>2</v>
      </c>
      <c r="C16" s="7">
        <v>28.733333333333334</v>
      </c>
      <c r="D16" s="7">
        <v>197.7</v>
      </c>
      <c r="E16" s="7">
        <v>2.1845303867403314</v>
      </c>
      <c r="F16" s="7">
        <v>106.4</v>
      </c>
      <c r="G16" s="8">
        <v>1.9</v>
      </c>
      <c r="H16" s="8">
        <v>15.7</v>
      </c>
      <c r="I16" s="8">
        <v>14.2</v>
      </c>
      <c r="J16" s="8">
        <v>84.6</v>
      </c>
    </row>
    <row r="17" spans="1:10" x14ac:dyDescent="0.25">
      <c r="B17" s="6">
        <v>3</v>
      </c>
      <c r="C17" s="7">
        <v>31.266666666666666</v>
      </c>
      <c r="D17" s="7">
        <v>157.19999999999999</v>
      </c>
      <c r="E17" s="7">
        <v>2.1682758620689655</v>
      </c>
      <c r="F17" s="7">
        <v>114.7</v>
      </c>
      <c r="G17" s="8">
        <v>1.9</v>
      </c>
      <c r="H17" s="8">
        <v>12.1</v>
      </c>
      <c r="I17" s="8">
        <v>16.2</v>
      </c>
      <c r="J17" s="8">
        <v>87.4</v>
      </c>
    </row>
    <row r="18" spans="1:10" x14ac:dyDescent="0.25">
      <c r="B18" s="6">
        <v>4</v>
      </c>
      <c r="C18" s="7">
        <v>31.733333333333334</v>
      </c>
      <c r="D18" s="7">
        <v>151.4</v>
      </c>
      <c r="E18" s="7">
        <v>1.9164556962025316</v>
      </c>
      <c r="F18" s="7">
        <v>108.4</v>
      </c>
      <c r="G18" s="8">
        <v>1.6</v>
      </c>
      <c r="H18" s="8">
        <v>20.6</v>
      </c>
      <c r="I18" s="8">
        <v>17.2</v>
      </c>
      <c r="J18" s="8">
        <v>86.2</v>
      </c>
    </row>
    <row r="19" spans="1:10" x14ac:dyDescent="0.25">
      <c r="B19" s="6">
        <v>5</v>
      </c>
      <c r="C19" s="7">
        <v>28.966666666666665</v>
      </c>
      <c r="D19" s="7">
        <v>191.3</v>
      </c>
      <c r="E19" s="7">
        <v>2.1738636363636363</v>
      </c>
      <c r="F19" s="7">
        <v>101.2</v>
      </c>
      <c r="G19" s="8">
        <v>2.2000000000000002</v>
      </c>
      <c r="H19" s="8">
        <v>17.100000000000001</v>
      </c>
      <c r="I19" s="8">
        <v>16</v>
      </c>
      <c r="J19" s="8">
        <v>89.1</v>
      </c>
    </row>
    <row r="20" spans="1:10" x14ac:dyDescent="0.25">
      <c r="B20" s="6">
        <v>6</v>
      </c>
      <c r="C20" s="7">
        <v>37.583333333333336</v>
      </c>
      <c r="D20" s="7">
        <v>97.5</v>
      </c>
      <c r="E20" s="7">
        <v>1.5500794912559619</v>
      </c>
      <c r="F20" s="7">
        <v>99.6</v>
      </c>
      <c r="G20" s="8">
        <v>2.1</v>
      </c>
      <c r="H20" s="8">
        <v>12</v>
      </c>
      <c r="I20" s="8">
        <v>15.4</v>
      </c>
      <c r="J20" s="8">
        <v>87.2</v>
      </c>
    </row>
    <row r="21" spans="1:10" x14ac:dyDescent="0.25">
      <c r="B21" s="11">
        <v>7</v>
      </c>
      <c r="C21" s="7">
        <v>27.45</v>
      </c>
      <c r="D21" s="7">
        <v>213.9</v>
      </c>
      <c r="E21" s="7">
        <v>2.4033707865168541</v>
      </c>
      <c r="F21" s="7">
        <v>94.1</v>
      </c>
      <c r="G21" s="8">
        <v>0.9</v>
      </c>
      <c r="H21" s="8">
        <v>8.6999999999999993</v>
      </c>
      <c r="I21" s="8">
        <v>12.6</v>
      </c>
      <c r="J21" s="8">
        <v>87.4</v>
      </c>
    </row>
    <row r="22" spans="1:10" x14ac:dyDescent="0.25">
      <c r="A22" t="s">
        <v>16</v>
      </c>
      <c r="B22" s="6">
        <v>8</v>
      </c>
      <c r="C22" s="7">
        <v>30.75</v>
      </c>
      <c r="D22" s="7">
        <v>168.9</v>
      </c>
      <c r="E22" s="7">
        <v>2.2732166890982506</v>
      </c>
      <c r="F22" s="7">
        <v>95.2</v>
      </c>
      <c r="G22" s="8">
        <v>2.2000000000000002</v>
      </c>
      <c r="H22" s="8">
        <v>12.7</v>
      </c>
      <c r="I22" s="8">
        <v>15.6</v>
      </c>
      <c r="J22" s="8">
        <v>86</v>
      </c>
    </row>
    <row r="23" spans="1:10" x14ac:dyDescent="0.25">
      <c r="B23" s="9" t="s">
        <v>14</v>
      </c>
      <c r="C23" s="10">
        <v>30.689583333333331</v>
      </c>
      <c r="D23" s="10">
        <f t="shared" ref="D23:E23" si="2">AVERAGE(D15:D22)</f>
        <v>171.25000000000003</v>
      </c>
      <c r="E23" s="10">
        <f t="shared" si="2"/>
        <v>2.1145720217471906</v>
      </c>
      <c r="F23" s="10">
        <f>AVERAGE(F15:F22)</f>
        <v>100.72500000000002</v>
      </c>
      <c r="G23" s="10">
        <f>AVERAGE(G15:G22)</f>
        <v>1.7875000000000001</v>
      </c>
      <c r="H23" s="10">
        <f>AVERAGE(H15:H22)</f>
        <v>14.324999999999999</v>
      </c>
      <c r="I23" s="10">
        <f>AVERAGE(I15:I22)</f>
        <v>15.299999999999999</v>
      </c>
      <c r="J23" s="10">
        <f>AVERAGE(J15:J22)</f>
        <v>86.637500000000003</v>
      </c>
    </row>
    <row r="24" spans="1:10" x14ac:dyDescent="0.25">
      <c r="B24" s="9" t="s">
        <v>15</v>
      </c>
      <c r="C24" s="10">
        <v>3.1392287180841807</v>
      </c>
      <c r="D24" s="10">
        <f t="shared" ref="D24:E24" si="3">STDEV(D15:D22)</f>
        <v>36.628170267470942</v>
      </c>
      <c r="E24" s="10">
        <f t="shared" si="3"/>
        <v>0.26598830036803428</v>
      </c>
      <c r="F24" s="10">
        <f>STDEV(F15:F22)</f>
        <v>9.0498224134115333</v>
      </c>
      <c r="G24" s="10">
        <f>STDEV(G15:G22)</f>
        <v>0.44219420426517814</v>
      </c>
      <c r="H24" s="10">
        <f>STDEV(H15:H22)</f>
        <v>3.6935271566813892</v>
      </c>
      <c r="I24" s="10">
        <f>STDEV(I15:I22)</f>
        <v>1.3897584579446067</v>
      </c>
      <c r="J24" s="10">
        <f>STDEV(J15:J22)</f>
        <v>1.4322185587402505</v>
      </c>
    </row>
    <row r="26" spans="1:10" x14ac:dyDescent="0.25">
      <c r="A26" s="6" t="s">
        <v>17</v>
      </c>
      <c r="B26" s="6" t="s">
        <v>8</v>
      </c>
      <c r="C26" s="6" t="s">
        <v>13</v>
      </c>
      <c r="D26" s="6" t="s">
        <v>9</v>
      </c>
      <c r="E26" s="6" t="s">
        <v>21</v>
      </c>
      <c r="F26" s="6" t="s">
        <v>10</v>
      </c>
      <c r="G26" s="32" t="s">
        <v>66</v>
      </c>
      <c r="H26" s="32" t="s">
        <v>67</v>
      </c>
      <c r="I26" s="6" t="s">
        <v>11</v>
      </c>
      <c r="J26" s="6" t="s">
        <v>12</v>
      </c>
    </row>
    <row r="27" spans="1:10" x14ac:dyDescent="0.25">
      <c r="B27" s="6">
        <v>1</v>
      </c>
      <c r="C27" s="7">
        <v>30.566666666666666</v>
      </c>
      <c r="D27" s="7">
        <v>168.9</v>
      </c>
      <c r="E27" s="7">
        <v>1.9754385964912282</v>
      </c>
      <c r="F27" s="7">
        <v>92.7</v>
      </c>
      <c r="G27" s="8">
        <v>3.1</v>
      </c>
      <c r="H27" s="8">
        <v>12.1</v>
      </c>
      <c r="I27" s="8">
        <v>14</v>
      </c>
      <c r="J27" s="8">
        <v>86.75</v>
      </c>
    </row>
    <row r="28" spans="1:10" x14ac:dyDescent="0.25">
      <c r="B28" s="6">
        <v>2</v>
      </c>
      <c r="C28" s="7">
        <v>28.833333333333332</v>
      </c>
      <c r="D28" s="7">
        <v>195.8</v>
      </c>
      <c r="E28" s="7">
        <v>2.1635359116022101</v>
      </c>
      <c r="F28" s="7">
        <v>105.3</v>
      </c>
      <c r="G28" s="8">
        <v>2</v>
      </c>
      <c r="H28" s="8">
        <v>15.2</v>
      </c>
      <c r="I28" s="8">
        <v>16</v>
      </c>
      <c r="J28" s="8">
        <v>86.6</v>
      </c>
    </row>
    <row r="29" spans="1:10" x14ac:dyDescent="0.25">
      <c r="B29" s="6">
        <v>3</v>
      </c>
      <c r="C29" s="7">
        <v>32.916666666666664</v>
      </c>
      <c r="D29" s="7">
        <v>137.6</v>
      </c>
      <c r="E29" s="7">
        <v>1.8979310344827585</v>
      </c>
      <c r="F29" s="7">
        <v>114.8</v>
      </c>
      <c r="G29" s="8">
        <v>2.5</v>
      </c>
      <c r="H29" s="8">
        <v>11</v>
      </c>
      <c r="I29" s="8">
        <v>14.6</v>
      </c>
      <c r="J29" s="8">
        <v>86</v>
      </c>
    </row>
    <row r="30" spans="1:10" x14ac:dyDescent="0.25">
      <c r="B30" s="6">
        <v>4</v>
      </c>
      <c r="C30" s="7">
        <v>32.266666666666666</v>
      </c>
      <c r="D30" s="7">
        <v>144.80000000000001</v>
      </c>
      <c r="E30" s="7">
        <v>1.8329113924050635</v>
      </c>
      <c r="F30" s="7">
        <v>112.6</v>
      </c>
      <c r="G30" s="8">
        <v>1.2</v>
      </c>
      <c r="H30" s="8">
        <v>17.100000000000001</v>
      </c>
      <c r="I30" s="8">
        <v>17.75</v>
      </c>
      <c r="J30" s="8">
        <v>88.1</v>
      </c>
    </row>
    <row r="31" spans="1:10" x14ac:dyDescent="0.25">
      <c r="B31" s="6">
        <v>5</v>
      </c>
      <c r="C31" s="7">
        <v>29.75</v>
      </c>
      <c r="D31" s="7">
        <v>179.8</v>
      </c>
      <c r="E31" s="7">
        <v>2.0431818181818184</v>
      </c>
      <c r="F31" s="7">
        <v>96.4</v>
      </c>
      <c r="G31" s="8">
        <v>2.8</v>
      </c>
      <c r="H31" s="8">
        <v>15.4</v>
      </c>
      <c r="I31" s="8">
        <v>16.600000000000001</v>
      </c>
      <c r="J31" s="8">
        <v>89.2</v>
      </c>
    </row>
    <row r="32" spans="1:10" x14ac:dyDescent="0.25">
      <c r="B32" s="6">
        <v>6</v>
      </c>
      <c r="C32" s="7">
        <v>36</v>
      </c>
      <c r="D32" s="7">
        <v>104.7</v>
      </c>
      <c r="E32" s="7">
        <v>1.6645468998410176</v>
      </c>
      <c r="F32" s="7">
        <v>100.2</v>
      </c>
      <c r="G32" s="8">
        <v>1.2</v>
      </c>
      <c r="H32" s="8">
        <v>14.1</v>
      </c>
      <c r="I32" s="8">
        <v>15.2</v>
      </c>
      <c r="J32" s="8">
        <v>87.2</v>
      </c>
    </row>
    <row r="33" spans="1:10" x14ac:dyDescent="0.25">
      <c r="B33" s="11">
        <v>7</v>
      </c>
      <c r="C33" s="7">
        <v>28.333333333333332</v>
      </c>
      <c r="D33" s="7">
        <v>205.9</v>
      </c>
      <c r="E33" s="7">
        <v>2.3134831460674157</v>
      </c>
      <c r="F33" s="7">
        <v>91.9</v>
      </c>
      <c r="G33" s="8">
        <v>1.7</v>
      </c>
      <c r="H33" s="8">
        <v>9.6999999999999993</v>
      </c>
      <c r="I33" s="8">
        <v>13.4</v>
      </c>
      <c r="J33" s="8">
        <v>81</v>
      </c>
    </row>
    <row r="34" spans="1:10" x14ac:dyDescent="0.25">
      <c r="B34" s="6">
        <v>8</v>
      </c>
      <c r="C34" s="7">
        <v>30.916666666666668</v>
      </c>
      <c r="D34" s="7">
        <v>162</v>
      </c>
      <c r="E34" s="7">
        <v>2.1803499327052491</v>
      </c>
      <c r="F34" s="7">
        <v>103</v>
      </c>
      <c r="G34" s="8">
        <v>2.2000000000000002</v>
      </c>
      <c r="H34" s="8">
        <v>19.2</v>
      </c>
      <c r="I34" s="8">
        <v>16.8</v>
      </c>
      <c r="J34" s="8">
        <v>85.6</v>
      </c>
    </row>
    <row r="35" spans="1:10" x14ac:dyDescent="0.25">
      <c r="B35" s="9" t="s">
        <v>14</v>
      </c>
      <c r="C35" s="10">
        <v>31.197916666666664</v>
      </c>
      <c r="D35" s="10">
        <f t="shared" ref="D35:E35" si="4">AVERAGE(D27:D34)</f>
        <v>162.43750000000003</v>
      </c>
      <c r="E35" s="10">
        <f t="shared" si="4"/>
        <v>2.0089223414720951</v>
      </c>
      <c r="F35" s="10">
        <f>AVERAGE(F27:F34)</f>
        <v>102.1125</v>
      </c>
      <c r="G35" s="10">
        <f>AVERAGE(G27:G34)</f>
        <v>2.0874999999999995</v>
      </c>
      <c r="H35" s="10">
        <f>AVERAGE(H27:H34)</f>
        <v>14.225</v>
      </c>
      <c r="I35" s="10">
        <f>AVERAGE(I27:I34)</f>
        <v>15.543750000000001</v>
      </c>
      <c r="J35" s="10">
        <f>AVERAGE(J27:J34)</f>
        <v>86.306250000000006</v>
      </c>
    </row>
    <row r="36" spans="1:10" x14ac:dyDescent="0.25">
      <c r="B36" s="9" t="s">
        <v>15</v>
      </c>
      <c r="C36" s="10">
        <v>2.4936337592751721</v>
      </c>
      <c r="D36" s="10">
        <f t="shared" ref="D36:E36" si="5">STDEV(D27:D34)</f>
        <v>32.96547707180067</v>
      </c>
      <c r="E36" s="10">
        <f t="shared" si="5"/>
        <v>0.21052258139475419</v>
      </c>
      <c r="F36" s="10">
        <f>STDEV(F27:F34)</f>
        <v>8.5447456703771181</v>
      </c>
      <c r="G36" s="10">
        <f>STDEV(G27:G34)</f>
        <v>0.70191065772545014</v>
      </c>
      <c r="H36" s="10">
        <f>STDEV(H27:H34)</f>
        <v>3.1792856340469249</v>
      </c>
      <c r="I36" s="10">
        <f>STDEV(I27:I34)</f>
        <v>1.5003422228659322</v>
      </c>
      <c r="J36" s="10">
        <f>STDEV(J27:J34)</f>
        <v>2.4325820350283891</v>
      </c>
    </row>
    <row r="38" spans="1:10" x14ac:dyDescent="0.25">
      <c r="A38" s="6" t="s">
        <v>18</v>
      </c>
      <c r="B38" s="6" t="s">
        <v>8</v>
      </c>
      <c r="C38" s="6" t="s">
        <v>13</v>
      </c>
      <c r="D38" s="6" t="s">
        <v>9</v>
      </c>
      <c r="E38" s="6" t="s">
        <v>21</v>
      </c>
      <c r="F38" s="6" t="s">
        <v>10</v>
      </c>
      <c r="G38" s="32" t="s">
        <v>66</v>
      </c>
      <c r="H38" s="32" t="s">
        <v>67</v>
      </c>
      <c r="I38" s="6" t="s">
        <v>11</v>
      </c>
      <c r="J38" s="6" t="s">
        <v>12</v>
      </c>
    </row>
    <row r="39" spans="1:10" x14ac:dyDescent="0.25">
      <c r="B39" s="6">
        <v>1</v>
      </c>
      <c r="C39" s="7">
        <v>29.533333333333335</v>
      </c>
      <c r="D39" s="7">
        <v>183.2</v>
      </c>
      <c r="E39" s="7">
        <v>2.1426900584795319</v>
      </c>
      <c r="F39" s="7">
        <v>94.3</v>
      </c>
      <c r="G39" s="8">
        <v>3.5</v>
      </c>
      <c r="H39" s="8">
        <v>14.2</v>
      </c>
      <c r="I39" s="8">
        <v>13.4</v>
      </c>
      <c r="J39" s="8">
        <v>87.2</v>
      </c>
    </row>
    <row r="40" spans="1:10" x14ac:dyDescent="0.25">
      <c r="B40" s="6">
        <v>2</v>
      </c>
      <c r="C40" s="7">
        <v>29.283333333333335</v>
      </c>
      <c r="D40" s="7">
        <v>188</v>
      </c>
      <c r="E40" s="7">
        <v>2.0773480662983426</v>
      </c>
      <c r="F40" s="7">
        <v>106.1</v>
      </c>
      <c r="G40" s="8">
        <v>2.2000000000000002</v>
      </c>
      <c r="H40" s="8">
        <v>18.7</v>
      </c>
      <c r="I40" s="8">
        <v>16.399999999999999</v>
      </c>
      <c r="J40" s="8">
        <v>85.2</v>
      </c>
    </row>
    <row r="41" spans="1:10" x14ac:dyDescent="0.25">
      <c r="B41" s="6">
        <v>3</v>
      </c>
      <c r="C41" s="7">
        <v>32.083333333333336</v>
      </c>
      <c r="D41" s="7">
        <v>146.9</v>
      </c>
      <c r="E41" s="7">
        <v>2.0262068965517241</v>
      </c>
      <c r="F41" s="7">
        <v>116.3</v>
      </c>
      <c r="G41" s="8">
        <v>2.5</v>
      </c>
      <c r="H41" s="8">
        <v>12.1</v>
      </c>
      <c r="I41" s="8">
        <v>15.8</v>
      </c>
      <c r="J41" s="8">
        <v>87</v>
      </c>
    </row>
    <row r="42" spans="1:10" x14ac:dyDescent="0.25">
      <c r="B42" s="6">
        <v>4</v>
      </c>
      <c r="C42" s="7">
        <v>31.65</v>
      </c>
      <c r="D42" s="7">
        <v>153</v>
      </c>
      <c r="E42" s="7">
        <v>1.9367088607594938</v>
      </c>
      <c r="F42" s="7">
        <v>102.5</v>
      </c>
      <c r="G42" s="8">
        <v>3.2</v>
      </c>
      <c r="H42" s="8">
        <v>19.100000000000001</v>
      </c>
      <c r="I42" s="8">
        <v>17.399999999999999</v>
      </c>
      <c r="J42" s="8">
        <v>88.25</v>
      </c>
    </row>
    <row r="43" spans="1:10" x14ac:dyDescent="0.25">
      <c r="B43" s="6">
        <v>5</v>
      </c>
      <c r="C43" s="7">
        <v>29.783333333333335</v>
      </c>
      <c r="D43" s="7">
        <v>179.2</v>
      </c>
      <c r="E43" s="7">
        <v>2.0363636363636362</v>
      </c>
      <c r="F43" s="7">
        <v>96.7</v>
      </c>
      <c r="G43" s="8">
        <v>1.7</v>
      </c>
      <c r="H43" s="8">
        <v>17</v>
      </c>
      <c r="I43" s="8">
        <v>16</v>
      </c>
      <c r="J43" s="8">
        <v>88</v>
      </c>
    </row>
    <row r="44" spans="1:10" x14ac:dyDescent="0.25">
      <c r="B44" s="6">
        <v>6</v>
      </c>
      <c r="C44" s="7">
        <v>37.116666666666667</v>
      </c>
      <c r="D44" s="7">
        <v>101</v>
      </c>
      <c r="E44" s="7">
        <v>1.6057233704292528</v>
      </c>
      <c r="F44" s="7">
        <v>98.8</v>
      </c>
      <c r="G44" s="8">
        <v>1.9</v>
      </c>
      <c r="H44" s="8">
        <v>14.1</v>
      </c>
      <c r="I44" s="8">
        <v>15.8</v>
      </c>
      <c r="J44" s="8">
        <v>88.2</v>
      </c>
    </row>
    <row r="45" spans="1:10" x14ac:dyDescent="0.25">
      <c r="B45" s="11">
        <v>7</v>
      </c>
      <c r="C45" s="7">
        <v>30.95</v>
      </c>
      <c r="D45" s="7">
        <v>205.6</v>
      </c>
      <c r="E45" s="7">
        <v>2.3101123595505619</v>
      </c>
      <c r="F45" s="7">
        <v>91.9</v>
      </c>
      <c r="G45" s="8">
        <v>1.9</v>
      </c>
      <c r="H45" s="8">
        <v>9.6999999999999993</v>
      </c>
      <c r="I45" s="8">
        <v>13</v>
      </c>
      <c r="J45" s="8">
        <v>82.6</v>
      </c>
    </row>
    <row r="46" spans="1:10" x14ac:dyDescent="0.25">
      <c r="B46" s="6">
        <v>8</v>
      </c>
      <c r="C46" s="7">
        <v>31.09375</v>
      </c>
      <c r="D46" s="7">
        <v>161.69999999999999</v>
      </c>
      <c r="E46" s="7">
        <v>2.1763122476446837</v>
      </c>
      <c r="F46" s="7">
        <v>90.4</v>
      </c>
      <c r="G46" s="8">
        <v>2.1</v>
      </c>
      <c r="H46" s="8">
        <v>16.100000000000001</v>
      </c>
      <c r="I46" s="8">
        <v>15.8</v>
      </c>
      <c r="J46" s="8">
        <v>87</v>
      </c>
    </row>
    <row r="47" spans="1:10" x14ac:dyDescent="0.25">
      <c r="B47" s="9" t="s">
        <v>14</v>
      </c>
      <c r="C47" s="10">
        <v>31.436718750000001</v>
      </c>
      <c r="D47" s="10">
        <f t="shared" ref="D47:E47" si="6">AVERAGE(D39:D46)</f>
        <v>164.82499999999999</v>
      </c>
      <c r="E47" s="10">
        <f t="shared" si="6"/>
        <v>2.0389331870096532</v>
      </c>
      <c r="F47" s="10">
        <f>AVERAGE(F39:F46)</f>
        <v>99.624999999999986</v>
      </c>
      <c r="G47" s="10">
        <f>AVERAGE(G39:G46)</f>
        <v>2.375</v>
      </c>
      <c r="H47" s="10">
        <f>AVERAGE(H39:H46)</f>
        <v>15.125</v>
      </c>
      <c r="I47" s="10">
        <f>AVERAGE(I39:I46)</f>
        <v>15.45</v>
      </c>
      <c r="J47" s="10">
        <f>AVERAGE(J39:J46)</f>
        <v>86.681250000000006</v>
      </c>
    </row>
    <row r="48" spans="1:10" x14ac:dyDescent="0.25">
      <c r="B48" s="9" t="s">
        <v>15</v>
      </c>
      <c r="C48" s="10">
        <v>2.5092274988029692</v>
      </c>
      <c r="D48" s="10">
        <f t="shared" ref="D48:E48" si="7">STDEV(D39:D46)</f>
        <v>32.267841133682474</v>
      </c>
      <c r="E48" s="10">
        <f t="shared" si="7"/>
        <v>0.20803209243053342</v>
      </c>
      <c r="F48" s="10">
        <f>STDEV(F39:F46)</f>
        <v>8.5407845072920523</v>
      </c>
      <c r="G48" s="10">
        <f>STDEV(G39:G46)</f>
        <v>0.65192024052026432</v>
      </c>
      <c r="H48" s="10">
        <f>STDEV(H39:H46)</f>
        <v>3.241141774128367</v>
      </c>
      <c r="I48" s="10">
        <f>STDEV(I39:I46)</f>
        <v>1.4918827989203054</v>
      </c>
      <c r="J48" s="10">
        <f>STDEV(J39:J46)</f>
        <v>1.9209256511231414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L21"/>
  <sheetViews>
    <sheetView workbookViewId="0">
      <selection activeCell="G30" sqref="G30"/>
    </sheetView>
  </sheetViews>
  <sheetFormatPr defaultColWidth="11" defaultRowHeight="15.75" x14ac:dyDescent="0.25"/>
  <sheetData>
    <row r="1" spans="1:33" x14ac:dyDescent="0.25">
      <c r="A1" s="2" t="s">
        <v>37</v>
      </c>
      <c r="B1" s="36">
        <v>1</v>
      </c>
      <c r="C1" s="36"/>
      <c r="D1" s="36"/>
      <c r="E1" s="36"/>
      <c r="F1" s="37">
        <v>2</v>
      </c>
      <c r="G1" s="37"/>
      <c r="H1" s="37"/>
      <c r="I1" s="37"/>
      <c r="J1" s="38">
        <v>3</v>
      </c>
      <c r="K1" s="38"/>
      <c r="L1" s="38"/>
      <c r="M1" s="38"/>
      <c r="N1" s="39">
        <v>4</v>
      </c>
      <c r="O1" s="39"/>
      <c r="P1" s="39"/>
      <c r="Q1" s="39"/>
      <c r="R1" s="40">
        <v>5</v>
      </c>
      <c r="S1" s="40"/>
      <c r="T1" s="40"/>
      <c r="U1" s="40"/>
      <c r="V1" s="41">
        <v>6</v>
      </c>
      <c r="W1" s="41"/>
      <c r="X1" s="41"/>
      <c r="Y1" s="41"/>
      <c r="Z1" s="34">
        <v>7</v>
      </c>
      <c r="AA1" s="34"/>
      <c r="AB1" s="34"/>
      <c r="AC1" s="34"/>
      <c r="AD1" s="35">
        <v>8</v>
      </c>
      <c r="AE1" s="35"/>
      <c r="AF1" s="35"/>
      <c r="AG1" s="35"/>
    </row>
    <row r="2" spans="1:33" x14ac:dyDescent="0.25">
      <c r="A2" s="18"/>
      <c r="B2" s="6" t="s">
        <v>64</v>
      </c>
      <c r="C2" s="6" t="s">
        <v>65</v>
      </c>
      <c r="D2" s="6" t="s">
        <v>53</v>
      </c>
      <c r="E2" s="6" t="s">
        <v>54</v>
      </c>
      <c r="F2" s="6" t="s">
        <v>64</v>
      </c>
      <c r="G2" s="6" t="s">
        <v>65</v>
      </c>
      <c r="H2" s="6" t="s">
        <v>53</v>
      </c>
      <c r="I2" s="6" t="s">
        <v>54</v>
      </c>
      <c r="J2" s="6" t="s">
        <v>64</v>
      </c>
      <c r="K2" s="6" t="s">
        <v>65</v>
      </c>
      <c r="L2" s="6" t="s">
        <v>53</v>
      </c>
      <c r="M2" s="6" t="s">
        <v>54</v>
      </c>
      <c r="N2" s="6" t="s">
        <v>64</v>
      </c>
      <c r="O2" s="6" t="s">
        <v>65</v>
      </c>
      <c r="P2" s="6" t="s">
        <v>53</v>
      </c>
      <c r="Q2" s="6" t="s">
        <v>54</v>
      </c>
      <c r="R2" s="6" t="s">
        <v>64</v>
      </c>
      <c r="S2" s="6" t="s">
        <v>65</v>
      </c>
      <c r="T2" s="6" t="s">
        <v>53</v>
      </c>
      <c r="U2" s="6" t="s">
        <v>54</v>
      </c>
      <c r="V2" s="6" t="s">
        <v>64</v>
      </c>
      <c r="W2" s="6" t="s">
        <v>65</v>
      </c>
      <c r="X2" s="6" t="s">
        <v>53</v>
      </c>
      <c r="Y2" s="6" t="s">
        <v>54</v>
      </c>
      <c r="Z2" s="6" t="s">
        <v>64</v>
      </c>
      <c r="AA2" s="6" t="s">
        <v>65</v>
      </c>
      <c r="AB2" s="6" t="s">
        <v>53</v>
      </c>
      <c r="AC2" s="6" t="s">
        <v>54</v>
      </c>
      <c r="AD2" s="6" t="s">
        <v>64</v>
      </c>
      <c r="AE2" s="6" t="s">
        <v>65</v>
      </c>
      <c r="AF2" s="6" t="s">
        <v>53</v>
      </c>
      <c r="AG2" s="6" t="s">
        <v>54</v>
      </c>
    </row>
    <row r="3" spans="1:33" x14ac:dyDescent="0.25">
      <c r="A3" s="6" t="s">
        <v>38</v>
      </c>
      <c r="B3" s="4">
        <v>208.8</v>
      </c>
      <c r="C3" s="4">
        <v>183.5</v>
      </c>
      <c r="D3" s="4">
        <v>170.3</v>
      </c>
      <c r="E3" s="4">
        <v>176.4</v>
      </c>
      <c r="F3" s="4">
        <v>177.8</v>
      </c>
      <c r="G3" s="4">
        <v>180.6</v>
      </c>
      <c r="H3" s="4">
        <v>197.7</v>
      </c>
      <c r="I3" s="4">
        <v>182.2</v>
      </c>
      <c r="J3" s="4">
        <v>164.7</v>
      </c>
      <c r="K3" s="4">
        <v>156.9</v>
      </c>
      <c r="L3" s="4">
        <v>187.6</v>
      </c>
      <c r="M3" s="4">
        <v>147.6</v>
      </c>
      <c r="N3" s="4">
        <v>161.4</v>
      </c>
      <c r="O3" s="4">
        <v>157.4</v>
      </c>
      <c r="P3" s="4">
        <v>119.08</v>
      </c>
      <c r="Q3" s="4">
        <v>206.8</v>
      </c>
      <c r="R3" s="4">
        <v>174.4</v>
      </c>
      <c r="S3" s="4">
        <v>175.2</v>
      </c>
      <c r="T3" s="4">
        <v>172.3</v>
      </c>
      <c r="U3" s="4">
        <v>171.8</v>
      </c>
      <c r="V3" s="4">
        <v>111.6</v>
      </c>
      <c r="W3">
        <v>104.65753424657534</v>
      </c>
      <c r="X3">
        <v>112.68531468531468</v>
      </c>
      <c r="Y3" s="4">
        <v>97.456953642384107</v>
      </c>
      <c r="Z3" s="4">
        <v>174.94262295081967</v>
      </c>
      <c r="AA3">
        <v>180.50833333333333</v>
      </c>
      <c r="AB3" s="28">
        <v>179.25833333333333</v>
      </c>
      <c r="AC3" s="4">
        <v>177.30578512396696</v>
      </c>
      <c r="AD3" s="4">
        <v>170.0655737704918</v>
      </c>
      <c r="AE3" s="4">
        <v>161.57258064516128</v>
      </c>
      <c r="AF3" s="4">
        <v>96.352564102564102</v>
      </c>
      <c r="AG3" s="4">
        <v>169.57377049180329</v>
      </c>
    </row>
    <row r="4" spans="1:33" x14ac:dyDescent="0.25">
      <c r="A4" s="6" t="s">
        <v>39</v>
      </c>
      <c r="B4" s="4">
        <v>200.1</v>
      </c>
      <c r="C4" s="4">
        <v>185.01</v>
      </c>
      <c r="D4" s="4">
        <v>175</v>
      </c>
      <c r="E4" s="4">
        <v>179.8</v>
      </c>
      <c r="F4" s="4">
        <v>189.9</v>
      </c>
      <c r="G4" s="4">
        <v>185.04</v>
      </c>
      <c r="H4" s="4">
        <v>200.1</v>
      </c>
      <c r="I4" s="4">
        <v>185.1</v>
      </c>
      <c r="J4" s="4">
        <v>175.3</v>
      </c>
      <c r="K4" s="4">
        <v>160.1</v>
      </c>
      <c r="L4" s="4">
        <v>133.19999999999999</v>
      </c>
      <c r="M4" s="4">
        <v>149.9</v>
      </c>
      <c r="N4" s="4">
        <v>164.6</v>
      </c>
      <c r="O4" s="4">
        <v>168.3</v>
      </c>
      <c r="P4" s="4">
        <v>154.4</v>
      </c>
      <c r="Q4" s="4">
        <v>190.6</v>
      </c>
      <c r="R4" s="4">
        <v>175.1</v>
      </c>
      <c r="S4" s="4">
        <v>180.2</v>
      </c>
      <c r="T4" s="4">
        <v>185.5</v>
      </c>
      <c r="U4" s="4">
        <v>175.08</v>
      </c>
      <c r="V4" s="4">
        <v>95.5</v>
      </c>
      <c r="W4" s="4">
        <v>95.849315068493155</v>
      </c>
      <c r="X4" s="4">
        <v>112.51048951048951</v>
      </c>
      <c r="Y4" s="4">
        <v>95.05298013245033</v>
      </c>
      <c r="Z4" s="4">
        <v>199.68032786885246</v>
      </c>
      <c r="AA4" s="4">
        <v>194.35</v>
      </c>
      <c r="AB4" s="4">
        <v>189.64166666666668</v>
      </c>
      <c r="AC4" s="4">
        <v>190.05785123966942</v>
      </c>
      <c r="AD4" s="4">
        <v>173.95081967213116</v>
      </c>
      <c r="AE4" s="4">
        <v>164.39516129032259</v>
      </c>
      <c r="AF4" s="4">
        <v>125.07692307692308</v>
      </c>
      <c r="AG4" s="4">
        <v>173.7704918032787</v>
      </c>
    </row>
    <row r="5" spans="1:33" x14ac:dyDescent="0.25">
      <c r="A5" s="6" t="s">
        <v>40</v>
      </c>
      <c r="B5" s="4">
        <v>193.1</v>
      </c>
      <c r="C5" s="4">
        <v>185.1</v>
      </c>
      <c r="D5" s="4">
        <v>175.04</v>
      </c>
      <c r="E5" s="4">
        <v>179.81</v>
      </c>
      <c r="F5" s="4">
        <v>189.8</v>
      </c>
      <c r="G5" s="4">
        <v>185.01</v>
      </c>
      <c r="H5" s="4">
        <v>200.3</v>
      </c>
      <c r="I5" s="4">
        <v>185.1</v>
      </c>
      <c r="J5" s="4">
        <v>148.19999999999999</v>
      </c>
      <c r="K5" s="4">
        <v>151.80000000000001</v>
      </c>
      <c r="L5" s="4">
        <v>131.19999999999999</v>
      </c>
      <c r="M5" s="4">
        <v>150.1</v>
      </c>
      <c r="N5" s="4">
        <v>155.80000000000001</v>
      </c>
      <c r="O5" s="4">
        <v>153.30000000000001</v>
      </c>
      <c r="P5" s="4">
        <v>150.6</v>
      </c>
      <c r="Q5" s="4">
        <v>168.6</v>
      </c>
      <c r="R5" s="4">
        <v>174.9</v>
      </c>
      <c r="S5" s="4">
        <v>180.3</v>
      </c>
      <c r="T5" s="4">
        <v>185.01</v>
      </c>
      <c r="U5" s="4">
        <v>175.1</v>
      </c>
      <c r="V5" s="4">
        <v>94.9</v>
      </c>
      <c r="W5" s="4">
        <v>97.445205479452056</v>
      </c>
      <c r="X5" s="4">
        <v>109.93706293706293</v>
      </c>
      <c r="Y5" s="4">
        <v>101.13907284768212</v>
      </c>
      <c r="Z5" s="4">
        <v>199.87704918032787</v>
      </c>
      <c r="AA5" s="4">
        <v>195.08333333333334</v>
      </c>
      <c r="AB5" s="4">
        <v>194.45</v>
      </c>
      <c r="AC5" s="4">
        <v>190.19834710743802</v>
      </c>
      <c r="AD5" s="4">
        <v>174.25409836065575</v>
      </c>
      <c r="AE5" s="4">
        <v>164.20967741935485</v>
      </c>
      <c r="AF5" s="4">
        <v>124.50641025641026</v>
      </c>
      <c r="AG5" s="4">
        <v>173.85245901639345</v>
      </c>
    </row>
    <row r="6" spans="1:33" x14ac:dyDescent="0.25">
      <c r="A6" s="6" t="s">
        <v>41</v>
      </c>
      <c r="B6" s="4">
        <v>177.5</v>
      </c>
      <c r="C6" s="4">
        <v>185.09</v>
      </c>
      <c r="D6" s="4">
        <v>158.4</v>
      </c>
      <c r="E6" s="9">
        <v>179.95</v>
      </c>
      <c r="F6" s="9">
        <v>195</v>
      </c>
      <c r="G6" s="4">
        <v>184.9</v>
      </c>
      <c r="H6" s="4">
        <v>200.5</v>
      </c>
      <c r="I6" s="4">
        <v>184.7</v>
      </c>
      <c r="J6" s="4">
        <v>140.30000000000001</v>
      </c>
      <c r="K6" s="4">
        <v>150.69999999999999</v>
      </c>
      <c r="L6" s="4">
        <v>130.30000000000001</v>
      </c>
      <c r="M6" s="4">
        <v>150.19999999999999</v>
      </c>
      <c r="N6" s="4">
        <v>153.69999999999999</v>
      </c>
      <c r="O6" s="4">
        <v>134.06</v>
      </c>
      <c r="P6" s="4">
        <v>151.69999999999999</v>
      </c>
      <c r="Q6" s="4">
        <v>153.80000000000001</v>
      </c>
      <c r="R6" s="4">
        <v>175.1</v>
      </c>
      <c r="S6" s="4">
        <v>182.4</v>
      </c>
      <c r="T6" s="4">
        <v>185.06</v>
      </c>
      <c r="U6" s="4">
        <v>175.09</v>
      </c>
      <c r="V6" s="4">
        <v>91.7</v>
      </c>
      <c r="W6" s="4">
        <v>100.04109589041096</v>
      </c>
      <c r="X6" s="4">
        <v>110.07692307692308</v>
      </c>
      <c r="Y6" s="4">
        <v>94.993377483443709</v>
      </c>
      <c r="Z6" s="4">
        <v>203.63114754098362</v>
      </c>
      <c r="AA6" s="4">
        <v>195.02500000000001</v>
      </c>
      <c r="AB6" s="4">
        <v>194.72499999999999</v>
      </c>
      <c r="AC6" s="4">
        <v>194.65289256198346</v>
      </c>
      <c r="AD6" s="4">
        <v>174.38524590163934</v>
      </c>
      <c r="AE6" s="4">
        <v>164.16935483870967</v>
      </c>
      <c r="AF6" s="4">
        <v>124.80128205128206</v>
      </c>
      <c r="AG6" s="4">
        <v>166.82786885245901</v>
      </c>
    </row>
    <row r="7" spans="1:33" x14ac:dyDescent="0.25">
      <c r="A7" s="6" t="s">
        <v>42</v>
      </c>
      <c r="B7" s="4">
        <v>165.1</v>
      </c>
      <c r="C7" s="4">
        <v>185.06</v>
      </c>
      <c r="D7" s="4">
        <v>154.9</v>
      </c>
      <c r="E7" s="4">
        <v>179.8</v>
      </c>
      <c r="F7" s="4">
        <v>199.9</v>
      </c>
      <c r="G7" s="4">
        <v>184.8</v>
      </c>
      <c r="H7" s="4">
        <v>200.2</v>
      </c>
      <c r="I7" s="4">
        <v>180.4</v>
      </c>
      <c r="J7" s="4">
        <v>134.22999999999999</v>
      </c>
      <c r="K7" s="4">
        <v>149.30000000000001</v>
      </c>
      <c r="L7" s="4">
        <v>131.30000000000001</v>
      </c>
      <c r="M7" s="4">
        <v>150</v>
      </c>
      <c r="N7" s="4">
        <v>159.69999999999999</v>
      </c>
      <c r="O7" s="4">
        <v>143.9</v>
      </c>
      <c r="P7" s="4">
        <v>156.30000000000001</v>
      </c>
      <c r="Q7" s="4">
        <v>139.1</v>
      </c>
      <c r="R7" s="4">
        <v>175.01</v>
      </c>
      <c r="S7" s="4">
        <v>186.7</v>
      </c>
      <c r="T7" s="4">
        <v>185.3</v>
      </c>
      <c r="U7" s="4">
        <v>175</v>
      </c>
      <c r="V7" s="4">
        <v>95.1</v>
      </c>
      <c r="W7" s="4">
        <v>100.02054794520548</v>
      </c>
      <c r="X7" s="4">
        <v>103.64335664335664</v>
      </c>
      <c r="Y7" s="4">
        <v>106.97350993377484</v>
      </c>
      <c r="Z7" s="4">
        <v>205.0655737704918</v>
      </c>
      <c r="AA7" s="4">
        <v>194.85833333333332</v>
      </c>
      <c r="AB7" s="4">
        <v>194.66666666666666</v>
      </c>
      <c r="AC7" s="4">
        <v>194.82644628099175</v>
      </c>
      <c r="AD7" s="4">
        <v>169.17213114754099</v>
      </c>
      <c r="AE7" s="4">
        <v>164.35483870967741</v>
      </c>
      <c r="AF7" s="4">
        <v>124.41025641025641</v>
      </c>
      <c r="AG7" s="4">
        <v>155.14754098360655</v>
      </c>
    </row>
    <row r="8" spans="1:33" x14ac:dyDescent="0.25">
      <c r="A8" s="6" t="s">
        <v>43</v>
      </c>
      <c r="B8" s="4">
        <v>165.06</v>
      </c>
      <c r="C8" s="4">
        <v>189.9</v>
      </c>
      <c r="D8" s="4">
        <v>154.80000000000001</v>
      </c>
      <c r="E8" s="4">
        <v>180.05</v>
      </c>
      <c r="F8" s="4">
        <v>191.2</v>
      </c>
      <c r="G8" s="4">
        <v>190.04</v>
      </c>
      <c r="H8" s="4">
        <v>188.1</v>
      </c>
      <c r="I8" s="4">
        <v>176.6</v>
      </c>
      <c r="J8" s="4">
        <v>130.19999999999999</v>
      </c>
      <c r="K8" s="4">
        <v>155.80000000000001</v>
      </c>
      <c r="L8" s="4">
        <v>130.19999999999999</v>
      </c>
      <c r="M8" s="4">
        <v>127.09</v>
      </c>
      <c r="N8" s="4">
        <v>153.69999999999999</v>
      </c>
      <c r="O8" s="4">
        <v>147.30000000000001</v>
      </c>
      <c r="P8" s="4">
        <v>143.9</v>
      </c>
      <c r="Q8" s="4">
        <v>139.6</v>
      </c>
      <c r="R8" s="4">
        <v>175.1</v>
      </c>
      <c r="S8" s="4">
        <v>185.4</v>
      </c>
      <c r="T8" s="4">
        <v>185.01</v>
      </c>
      <c r="U8" s="4">
        <v>175.1</v>
      </c>
      <c r="V8" s="4">
        <v>95.04</v>
      </c>
      <c r="W8" s="4">
        <v>99.61643835616438</v>
      </c>
      <c r="X8" s="4">
        <v>110.00699300699301</v>
      </c>
      <c r="Y8" s="4">
        <v>102.80794701986756</v>
      </c>
      <c r="Z8" s="4">
        <v>205.01639344262296</v>
      </c>
      <c r="AA8" s="4">
        <v>199.21666666666667</v>
      </c>
      <c r="AB8" s="4">
        <v>194.77500000000001</v>
      </c>
      <c r="AC8" s="4">
        <v>194.61157024793388</v>
      </c>
      <c r="AD8" s="4">
        <v>169.63114754098362</v>
      </c>
      <c r="AE8" s="4">
        <v>164.42741935483872</v>
      </c>
      <c r="AF8" s="4">
        <v>122.53205128205128</v>
      </c>
      <c r="AG8" s="4">
        <v>149.40163934426229</v>
      </c>
    </row>
    <row r="9" spans="1:33" x14ac:dyDescent="0.25">
      <c r="A9" s="6" t="s">
        <v>44</v>
      </c>
      <c r="B9" s="4">
        <v>160.30000000000001</v>
      </c>
      <c r="C9" s="4">
        <v>190.07</v>
      </c>
      <c r="D9" s="4">
        <v>146.6</v>
      </c>
      <c r="E9" s="4">
        <v>180.09</v>
      </c>
      <c r="F9" s="4">
        <v>190.05</v>
      </c>
      <c r="G9" s="4">
        <v>193.4</v>
      </c>
      <c r="H9" s="4">
        <v>185.5</v>
      </c>
      <c r="I9" s="4">
        <v>174.9</v>
      </c>
      <c r="J9" s="4">
        <v>130.30000000000001</v>
      </c>
      <c r="K9" s="4">
        <v>155.4</v>
      </c>
      <c r="L9" s="4">
        <v>130.5</v>
      </c>
      <c r="M9" s="4">
        <v>132.9</v>
      </c>
      <c r="N9" s="4">
        <v>145.9</v>
      </c>
      <c r="O9" s="4">
        <v>141.6</v>
      </c>
      <c r="P9" s="4">
        <v>135.4</v>
      </c>
      <c r="Q9" s="4">
        <v>131.69999999999999</v>
      </c>
      <c r="R9" s="4">
        <v>185.08</v>
      </c>
      <c r="S9" s="4">
        <v>191.2</v>
      </c>
      <c r="T9" s="4">
        <v>185.1</v>
      </c>
      <c r="U9" s="4">
        <v>175.1</v>
      </c>
      <c r="V9" s="4">
        <v>90.8</v>
      </c>
      <c r="W9" s="4">
        <v>90.143835616438352</v>
      </c>
      <c r="X9" s="4">
        <v>99.300699300699307</v>
      </c>
      <c r="Y9" s="4">
        <v>105.94039735099338</v>
      </c>
      <c r="Z9" s="4">
        <v>207.01639344262296</v>
      </c>
      <c r="AA9" s="4">
        <v>203.74166666666667</v>
      </c>
      <c r="AB9" s="4">
        <v>197.04166666666666</v>
      </c>
      <c r="AC9" s="4">
        <v>199.18181818181819</v>
      </c>
      <c r="AD9" s="4">
        <v>161.69672131147541</v>
      </c>
      <c r="AE9" s="4">
        <v>164.32258064516128</v>
      </c>
      <c r="AF9" s="4">
        <v>119.77564102564102</v>
      </c>
      <c r="AG9" s="4">
        <v>152.04918032786884</v>
      </c>
    </row>
    <row r="10" spans="1:33" x14ac:dyDescent="0.25">
      <c r="A10" s="6" t="s">
        <v>45</v>
      </c>
      <c r="B10" s="4">
        <v>153.94</v>
      </c>
      <c r="C10" s="4">
        <v>190.1</v>
      </c>
      <c r="D10" s="4">
        <v>149.69999999999999</v>
      </c>
      <c r="E10" s="4">
        <v>180</v>
      </c>
      <c r="F10" s="4">
        <v>186.5</v>
      </c>
      <c r="G10" s="4">
        <v>194.9</v>
      </c>
      <c r="H10" s="4">
        <v>185.4</v>
      </c>
      <c r="I10" s="4">
        <v>175.5</v>
      </c>
      <c r="J10" s="4">
        <v>129.9</v>
      </c>
      <c r="K10" s="4">
        <v>150.4</v>
      </c>
      <c r="L10" s="4">
        <v>130.30000000000001</v>
      </c>
      <c r="M10" s="4">
        <v>150.1</v>
      </c>
      <c r="N10" s="4">
        <v>137.5</v>
      </c>
      <c r="O10" s="4">
        <v>136.6</v>
      </c>
      <c r="P10" s="4">
        <v>138.9</v>
      </c>
      <c r="Q10" s="4">
        <v>136.19999999999999</v>
      </c>
      <c r="R10" s="4">
        <v>184.9</v>
      </c>
      <c r="S10" s="4">
        <v>190.3</v>
      </c>
      <c r="T10" s="4">
        <v>182.04</v>
      </c>
      <c r="U10" s="4">
        <v>175.2</v>
      </c>
      <c r="V10" s="4">
        <v>90.1</v>
      </c>
      <c r="W10" s="4">
        <v>100.1986301369863</v>
      </c>
      <c r="X10" s="4">
        <v>101.15384615384616</v>
      </c>
      <c r="Y10" s="4">
        <v>91.139072847682115</v>
      </c>
      <c r="Z10" s="4">
        <v>210.15573770491804</v>
      </c>
      <c r="AA10" s="4">
        <v>208.28333333333333</v>
      </c>
      <c r="AB10" s="4">
        <v>202.11666666666667</v>
      </c>
      <c r="AC10" s="4">
        <v>200.10743801652893</v>
      </c>
      <c r="AD10" s="4">
        <v>149.36065573770492</v>
      </c>
      <c r="AE10" s="4">
        <v>164.29032258064515</v>
      </c>
      <c r="AF10" s="4">
        <v>119.58974358974359</v>
      </c>
      <c r="AG10" s="4">
        <v>153.90983606557376</v>
      </c>
    </row>
    <row r="11" spans="1:33" x14ac:dyDescent="0.25">
      <c r="A11" s="6" t="s">
        <v>46</v>
      </c>
      <c r="B11" s="4">
        <v>157.06</v>
      </c>
      <c r="C11" s="4">
        <v>189.9</v>
      </c>
      <c r="D11" s="4">
        <v>152.4</v>
      </c>
      <c r="E11" s="4">
        <v>179.94</v>
      </c>
      <c r="F11" s="4">
        <v>194.1</v>
      </c>
      <c r="G11" s="4">
        <v>199.4</v>
      </c>
      <c r="H11" s="4">
        <v>185.3</v>
      </c>
      <c r="I11" s="4">
        <v>178.9</v>
      </c>
      <c r="J11" s="4">
        <v>121.5</v>
      </c>
      <c r="K11" s="4">
        <v>150.19999999999999</v>
      </c>
      <c r="L11" s="4">
        <v>130.19999999999999</v>
      </c>
      <c r="M11" s="4">
        <v>150.1</v>
      </c>
      <c r="N11" s="4">
        <v>143.80000000000001</v>
      </c>
      <c r="O11" s="4">
        <v>159.02000000000001</v>
      </c>
      <c r="P11" s="4">
        <v>145.6</v>
      </c>
      <c r="Q11" s="4">
        <v>139.9</v>
      </c>
      <c r="R11" s="4">
        <v>185.08</v>
      </c>
      <c r="S11" s="4">
        <v>195.9</v>
      </c>
      <c r="T11" s="4">
        <v>176.6</v>
      </c>
      <c r="U11" s="4">
        <v>175.1</v>
      </c>
      <c r="V11" s="4">
        <v>85.8</v>
      </c>
      <c r="W11" s="4">
        <v>91.452054794520549</v>
      </c>
      <c r="X11" s="4">
        <v>87.96503496503496</v>
      </c>
      <c r="Y11" s="4">
        <v>97.867549668874176</v>
      </c>
      <c r="Z11">
        <v>210</v>
      </c>
      <c r="AA11">
        <v>210.03333333333333</v>
      </c>
      <c r="AB11" s="4">
        <v>204.74166666666667</v>
      </c>
      <c r="AC11" s="4">
        <v>199.58677685950414</v>
      </c>
      <c r="AD11" s="4">
        <v>154.32786885245901</v>
      </c>
      <c r="AE11" s="4">
        <v>164.38709677419354</v>
      </c>
      <c r="AF11" s="4">
        <v>119.48076923076923</v>
      </c>
      <c r="AG11" s="4">
        <v>153.95901639344262</v>
      </c>
    </row>
    <row r="12" spans="1:33" x14ac:dyDescent="0.25">
      <c r="A12" s="6" t="s">
        <v>47</v>
      </c>
      <c r="B12" s="4">
        <v>157.88999999999999</v>
      </c>
      <c r="C12" s="4">
        <v>190.1</v>
      </c>
      <c r="D12" s="4">
        <v>153.05000000000001</v>
      </c>
      <c r="E12" s="4">
        <v>179.99</v>
      </c>
      <c r="F12" s="9">
        <v>179.9</v>
      </c>
      <c r="G12" s="9">
        <v>197.3</v>
      </c>
      <c r="H12" s="4">
        <v>185.2</v>
      </c>
      <c r="I12" s="4">
        <v>181.8</v>
      </c>
      <c r="J12" s="4">
        <v>130.19999999999999</v>
      </c>
      <c r="K12" s="4">
        <v>151.19999999999999</v>
      </c>
      <c r="L12" s="4">
        <v>130.69999999999999</v>
      </c>
      <c r="M12" s="4">
        <v>150.1</v>
      </c>
      <c r="N12" s="4">
        <v>147.5</v>
      </c>
      <c r="O12" s="4">
        <v>155.80000000000001</v>
      </c>
      <c r="P12" s="4">
        <v>145.5</v>
      </c>
      <c r="Q12" s="4">
        <v>142.1</v>
      </c>
      <c r="R12" s="4">
        <v>185.25</v>
      </c>
      <c r="S12" s="4">
        <v>201.6</v>
      </c>
      <c r="T12" s="4">
        <v>171.3</v>
      </c>
      <c r="U12" s="4">
        <v>179.2</v>
      </c>
      <c r="V12" s="4">
        <v>82.7</v>
      </c>
      <c r="W12" s="4">
        <v>90.027397260273972</v>
      </c>
      <c r="X12" s="4">
        <v>100.46853146853147</v>
      </c>
      <c r="Y12" s="4">
        <v>104.54966887417218</v>
      </c>
      <c r="Z12" s="4">
        <v>212.60655737704917</v>
      </c>
      <c r="AA12" s="4">
        <v>210.34166666666667</v>
      </c>
      <c r="AB12" s="4">
        <v>204.69166666666666</v>
      </c>
      <c r="AC12" s="4">
        <v>204.47933884297521</v>
      </c>
      <c r="AD12" s="4">
        <v>157.2295081967213</v>
      </c>
      <c r="AE12" s="4">
        <v>164.20161290322579</v>
      </c>
      <c r="AF12" s="4">
        <v>119.49358974358974</v>
      </c>
      <c r="AG12" s="4">
        <v>153.91803278688525</v>
      </c>
    </row>
    <row r="13" spans="1:33" x14ac:dyDescent="0.25">
      <c r="A13" s="6" t="s">
        <v>48</v>
      </c>
      <c r="B13" s="4">
        <v>165.3</v>
      </c>
      <c r="C13" s="4">
        <v>190.3</v>
      </c>
      <c r="D13" s="4">
        <v>158.19999999999999</v>
      </c>
      <c r="E13" s="4">
        <v>180.07499999999999</v>
      </c>
      <c r="F13" s="4">
        <v>220.1</v>
      </c>
      <c r="G13" s="4">
        <v>190.1</v>
      </c>
      <c r="H13" s="4">
        <v>198.5</v>
      </c>
      <c r="I13" s="4">
        <v>185.07</v>
      </c>
      <c r="J13" s="4">
        <v>130.1</v>
      </c>
      <c r="K13" s="4">
        <v>156.4</v>
      </c>
      <c r="L13" s="4">
        <v>136.6</v>
      </c>
      <c r="M13" s="4">
        <v>128.4</v>
      </c>
      <c r="N13" s="4">
        <v>146.1</v>
      </c>
      <c r="O13" s="4">
        <v>156.19999999999999</v>
      </c>
      <c r="P13" s="4">
        <v>145.9</v>
      </c>
      <c r="Q13" s="4">
        <v>148.5</v>
      </c>
      <c r="R13" s="4">
        <v>185.1</v>
      </c>
      <c r="S13" s="4">
        <v>193.7</v>
      </c>
      <c r="T13" s="4">
        <v>169.7</v>
      </c>
      <c r="U13" s="4">
        <v>180.2</v>
      </c>
      <c r="V13" s="4">
        <v>86.02</v>
      </c>
      <c r="W13" s="4">
        <v>90.171232876712324</v>
      </c>
      <c r="X13" s="4">
        <v>102.87412587412588</v>
      </c>
      <c r="Y13" s="4">
        <v>87.271523178807954</v>
      </c>
      <c r="Z13" s="4">
        <v>218.86885245901638</v>
      </c>
      <c r="AA13" s="4">
        <v>219.58333333333334</v>
      </c>
      <c r="AB13" s="4">
        <v>208.54166666666666</v>
      </c>
      <c r="AC13" s="4">
        <v>204.71074380165288</v>
      </c>
      <c r="AD13" s="4">
        <v>157.68852459016392</v>
      </c>
      <c r="AE13" s="4">
        <v>168.99193548387098</v>
      </c>
      <c r="AF13" s="4">
        <v>119.55128205128206</v>
      </c>
      <c r="AG13" s="4">
        <v>154.1639344262295</v>
      </c>
    </row>
    <row r="14" spans="1:33" x14ac:dyDescent="0.25">
      <c r="A14" s="6" t="s">
        <v>49</v>
      </c>
      <c r="B14" s="4">
        <v>159.06</v>
      </c>
      <c r="C14" s="4">
        <v>190.1</v>
      </c>
      <c r="D14" s="4">
        <v>160.03</v>
      </c>
      <c r="E14" s="4">
        <v>181.67500000000001</v>
      </c>
      <c r="F14" s="4">
        <v>219.9</v>
      </c>
      <c r="G14" s="4">
        <v>190</v>
      </c>
      <c r="H14" s="4">
        <v>200.6</v>
      </c>
      <c r="I14" s="4">
        <v>190.4</v>
      </c>
      <c r="J14" s="4">
        <v>130.1</v>
      </c>
      <c r="K14" s="4">
        <v>157.72</v>
      </c>
      <c r="L14" s="4">
        <v>134.9</v>
      </c>
      <c r="M14" s="4">
        <v>147.4</v>
      </c>
      <c r="N14" s="4">
        <v>140.4</v>
      </c>
      <c r="O14" s="4">
        <v>153.69999999999999</v>
      </c>
      <c r="P14" s="4">
        <v>142.5</v>
      </c>
      <c r="Q14" s="4">
        <v>142.69999999999999</v>
      </c>
      <c r="R14" s="4">
        <v>185.2</v>
      </c>
      <c r="S14" s="4">
        <v>190.2</v>
      </c>
      <c r="T14" s="4">
        <v>165.1</v>
      </c>
      <c r="U14" s="4">
        <v>180.4</v>
      </c>
      <c r="V14" s="4">
        <v>85.8</v>
      </c>
      <c r="W14" s="4">
        <v>99.376712328767127</v>
      </c>
      <c r="X14" s="4">
        <v>94.419580419580413</v>
      </c>
      <c r="Y14" s="4">
        <v>96.562913907284766</v>
      </c>
      <c r="Z14" s="4">
        <v>220.13934426229508</v>
      </c>
      <c r="AA14" s="4">
        <v>219.95833333333334</v>
      </c>
      <c r="AB14" s="4">
        <v>210.01666666666668</v>
      </c>
      <c r="AC14" s="4">
        <v>204.59504132231405</v>
      </c>
      <c r="AD14" s="4">
        <v>152.81147540983608</v>
      </c>
      <c r="AE14" s="4">
        <v>173.94354838709677</v>
      </c>
      <c r="AF14" s="4">
        <v>129.69871794871796</v>
      </c>
      <c r="AG14" s="4">
        <v>147.53278688524591</v>
      </c>
    </row>
    <row r="15" spans="1:33" x14ac:dyDescent="0.25">
      <c r="A15" s="6" t="s">
        <v>50</v>
      </c>
      <c r="B15" s="4">
        <v>155.21</v>
      </c>
      <c r="C15" s="4">
        <v>190.1</v>
      </c>
      <c r="D15" s="4">
        <v>173.1</v>
      </c>
      <c r="E15" s="4">
        <v>184.9</v>
      </c>
      <c r="F15" s="4">
        <v>208.4</v>
      </c>
      <c r="G15" s="4">
        <v>207.2</v>
      </c>
      <c r="H15" s="4">
        <v>194.7</v>
      </c>
      <c r="I15" s="4">
        <v>199.7</v>
      </c>
      <c r="J15" s="4">
        <v>130.19999999999999</v>
      </c>
      <c r="K15" s="4">
        <v>159.03</v>
      </c>
      <c r="L15" s="4">
        <v>140.1</v>
      </c>
      <c r="M15" s="4">
        <v>150.30000000000001</v>
      </c>
      <c r="N15" s="4">
        <v>145.4</v>
      </c>
      <c r="O15" s="4">
        <v>152.19999999999999</v>
      </c>
      <c r="P15" s="4">
        <v>135.69999999999999</v>
      </c>
      <c r="Q15" s="4">
        <v>160.01</v>
      </c>
      <c r="R15" s="4">
        <v>184.7</v>
      </c>
      <c r="S15" s="4">
        <v>194.7</v>
      </c>
      <c r="T15" s="4">
        <v>165.6</v>
      </c>
      <c r="U15" s="4">
        <v>175.9</v>
      </c>
      <c r="V15" s="4">
        <v>81.400000000000006</v>
      </c>
      <c r="W15" s="4">
        <v>91.376712328767127</v>
      </c>
      <c r="X15" s="4">
        <v>99.16083916083916</v>
      </c>
      <c r="Y15" s="4">
        <v>95.423841059602651</v>
      </c>
      <c r="Z15" s="4">
        <v>220.03278688524591</v>
      </c>
      <c r="AA15" s="4">
        <v>239.04166666666666</v>
      </c>
      <c r="AB15" s="4">
        <v>210.10833333333332</v>
      </c>
      <c r="AC15" s="4">
        <v>213.5702479338843</v>
      </c>
      <c r="AD15" s="4">
        <v>149.36065573770492</v>
      </c>
      <c r="AE15" s="4">
        <v>178.76612903225808</v>
      </c>
      <c r="AF15" s="4">
        <v>149.46794871794873</v>
      </c>
      <c r="AG15" s="4">
        <v>149.04098360655738</v>
      </c>
    </row>
    <row r="16" spans="1:33" x14ac:dyDescent="0.25">
      <c r="A16" s="6" t="s">
        <v>51</v>
      </c>
      <c r="B16" s="4">
        <v>181.25</v>
      </c>
      <c r="C16" s="4">
        <v>192.7</v>
      </c>
      <c r="D16" s="4">
        <v>189.4</v>
      </c>
      <c r="E16" s="4">
        <v>189.11</v>
      </c>
      <c r="F16" s="4">
        <v>190.4</v>
      </c>
      <c r="G16" s="4">
        <v>224.65</v>
      </c>
      <c r="H16" s="4">
        <v>192.4</v>
      </c>
      <c r="I16" s="4">
        <v>200.8</v>
      </c>
      <c r="J16" s="4">
        <v>133.1</v>
      </c>
      <c r="K16" s="4">
        <v>165.1</v>
      </c>
      <c r="L16" s="4">
        <v>143</v>
      </c>
      <c r="M16" s="4">
        <v>150.30000000000001</v>
      </c>
      <c r="N16" s="4">
        <v>160.30000000000001</v>
      </c>
      <c r="O16" s="4">
        <v>148.9</v>
      </c>
      <c r="P16" s="4">
        <v>142.4</v>
      </c>
      <c r="Q16" s="4">
        <v>156.1</v>
      </c>
      <c r="R16" s="4">
        <v>185.7</v>
      </c>
      <c r="S16" s="4">
        <v>205.9</v>
      </c>
      <c r="T16" s="4">
        <v>167.5</v>
      </c>
      <c r="U16" s="4">
        <v>179.5</v>
      </c>
      <c r="V16" s="4">
        <v>88.2</v>
      </c>
      <c r="W16" s="4">
        <v>94.986301369863014</v>
      </c>
      <c r="X16" s="4">
        <v>98.629370629370626</v>
      </c>
      <c r="Y16" s="4">
        <v>98.198675496688736</v>
      </c>
      <c r="Z16" s="4">
        <v>220.00819672131146</v>
      </c>
      <c r="AA16" s="4">
        <v>261.48333333333335</v>
      </c>
      <c r="AB16" s="4">
        <v>231.14166666666668</v>
      </c>
      <c r="AC16" s="4">
        <v>242.64462809917356</v>
      </c>
      <c r="AD16" s="4">
        <v>153.65573770491804</v>
      </c>
      <c r="AE16" s="4">
        <v>179.11290322580646</v>
      </c>
      <c r="AF16" s="4">
        <v>154.18589743589743</v>
      </c>
      <c r="AG16" s="4">
        <v>151.44262295081967</v>
      </c>
    </row>
    <row r="17" spans="1:116" x14ac:dyDescent="0.25">
      <c r="A17" s="19" t="s">
        <v>52</v>
      </c>
      <c r="B17" s="17">
        <v>241.84</v>
      </c>
      <c r="C17" s="4">
        <v>250.4</v>
      </c>
      <c r="D17" s="17">
        <v>285.10000000000002</v>
      </c>
      <c r="E17" s="4">
        <v>220.71</v>
      </c>
      <c r="F17" s="4">
        <v>280.7</v>
      </c>
      <c r="G17" s="4">
        <v>271.10000000000002</v>
      </c>
      <c r="H17" s="17">
        <v>225.1</v>
      </c>
      <c r="I17" s="17">
        <v>247.2</v>
      </c>
      <c r="J17" s="17">
        <v>146.80000000000001</v>
      </c>
      <c r="K17" s="17">
        <v>191.3</v>
      </c>
      <c r="L17" s="17">
        <v>143.6</v>
      </c>
      <c r="M17" s="17">
        <v>173.9</v>
      </c>
      <c r="N17" s="17">
        <v>170.4</v>
      </c>
      <c r="O17" s="17">
        <v>167.2</v>
      </c>
      <c r="P17" s="17">
        <v>168.1</v>
      </c>
      <c r="Q17" s="17">
        <v>151.69999999999999</v>
      </c>
      <c r="R17" s="17">
        <v>222.9</v>
      </c>
      <c r="S17" s="4">
        <v>232.5</v>
      </c>
      <c r="T17" s="17">
        <v>225.8</v>
      </c>
      <c r="U17" s="17">
        <v>225.4</v>
      </c>
      <c r="V17" s="17">
        <v>102.52</v>
      </c>
      <c r="W17" s="17">
        <v>118.87142857142857</v>
      </c>
      <c r="X17" s="17">
        <v>132.66417910447763</v>
      </c>
      <c r="Y17" s="17">
        <v>145.41538461538462</v>
      </c>
      <c r="Z17" s="4">
        <v>281.41176470588238</v>
      </c>
      <c r="AA17" s="4">
        <v>304.71428571428572</v>
      </c>
      <c r="AB17" s="17">
        <v>287.95098039215685</v>
      </c>
      <c r="AC17" s="17">
        <v>296.54000000000002</v>
      </c>
      <c r="AD17" s="17">
        <v>167.61475409836066</v>
      </c>
      <c r="AE17" s="17">
        <v>189.87179487179486</v>
      </c>
      <c r="AF17" s="17">
        <v>177.58677685950414</v>
      </c>
      <c r="AG17" s="17">
        <v>158.20491803278688</v>
      </c>
    </row>
    <row r="18" spans="1:116" s="13" customFormat="1" x14ac:dyDescent="0.25">
      <c r="A18" s="12" t="s">
        <v>14</v>
      </c>
      <c r="B18" s="8">
        <f>AVERAGE(B3:B17)</f>
        <v>176.10066666666668</v>
      </c>
      <c r="C18" s="8">
        <f>AVERAGE(C3:C17)</f>
        <v>192.49533333333332</v>
      </c>
      <c r="D18" s="8">
        <v>168.9</v>
      </c>
      <c r="E18" s="20">
        <f t="shared" ref="E18:AG18" si="0">AVERAGE(E3:E17)</f>
        <v>183.48666666666668</v>
      </c>
      <c r="F18" s="8">
        <f t="shared" si="0"/>
        <v>200.91</v>
      </c>
      <c r="G18" s="8">
        <f t="shared" si="0"/>
        <v>198.56266666666667</v>
      </c>
      <c r="H18" s="8">
        <f t="shared" si="0"/>
        <v>195.97333333333333</v>
      </c>
      <c r="I18" s="8">
        <f t="shared" si="0"/>
        <v>188.55799999999999</v>
      </c>
      <c r="J18" s="8">
        <f t="shared" si="0"/>
        <v>138.34200000000001</v>
      </c>
      <c r="K18" s="8">
        <f t="shared" si="0"/>
        <v>157.42333333333335</v>
      </c>
      <c r="L18" s="8">
        <f t="shared" si="0"/>
        <v>137.57999999999998</v>
      </c>
      <c r="M18" s="8">
        <f t="shared" si="0"/>
        <v>147.226</v>
      </c>
      <c r="N18" s="8">
        <f t="shared" si="0"/>
        <v>152.41333333333336</v>
      </c>
      <c r="O18" s="8">
        <f t="shared" si="0"/>
        <v>151.69866666666664</v>
      </c>
      <c r="P18" s="8">
        <f t="shared" si="0"/>
        <v>145.06533333333334</v>
      </c>
      <c r="Q18" s="8">
        <f t="shared" si="0"/>
        <v>153.82733333333331</v>
      </c>
      <c r="R18" s="8">
        <f t="shared" si="0"/>
        <v>183.56799999999996</v>
      </c>
      <c r="S18" s="8">
        <f t="shared" si="0"/>
        <v>192.41333333333333</v>
      </c>
      <c r="T18" s="8">
        <f t="shared" si="0"/>
        <v>180.4613333333333</v>
      </c>
      <c r="U18" s="8">
        <f t="shared" si="0"/>
        <v>179.54466666666667</v>
      </c>
      <c r="V18" s="8">
        <f t="shared" si="0"/>
        <v>91.811999999999998</v>
      </c>
      <c r="W18" s="8">
        <f t="shared" si="0"/>
        <v>97.615629484670563</v>
      </c>
      <c r="X18" s="8">
        <f t="shared" si="0"/>
        <v>105.03308979577638</v>
      </c>
      <c r="Y18" s="8">
        <f t="shared" si="0"/>
        <v>101.38619120393956</v>
      </c>
      <c r="Z18" s="8">
        <f t="shared" si="0"/>
        <v>212.56351655416267</v>
      </c>
      <c r="AA18" s="8">
        <f t="shared" si="0"/>
        <v>215.74817460317459</v>
      </c>
      <c r="AB18" s="8">
        <f t="shared" si="0"/>
        <v>206.92450980392158</v>
      </c>
      <c r="AC18" s="8">
        <f t="shared" si="0"/>
        <v>207.13792837465564</v>
      </c>
      <c r="AD18" s="8">
        <f t="shared" si="0"/>
        <v>162.34699453551912</v>
      </c>
      <c r="AE18" s="8">
        <f t="shared" si="0"/>
        <v>168.73446374414115</v>
      </c>
      <c r="AF18" s="8">
        <f t="shared" si="0"/>
        <v>128.43399025217209</v>
      </c>
      <c r="AG18" s="8">
        <f t="shared" si="0"/>
        <v>157.51967213114756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</row>
    <row r="19" spans="1:116" s="13" customFormat="1" x14ac:dyDescent="0.25">
      <c r="A19" s="12" t="s">
        <v>34</v>
      </c>
      <c r="B19" s="20">
        <f t="shared" ref="B19:C19" si="1">STDEV(B3:B18)</f>
        <v>24.228945077232545</v>
      </c>
      <c r="C19" s="20">
        <f t="shared" si="1"/>
        <v>15.709607195032671</v>
      </c>
      <c r="D19" s="20">
        <f t="shared" ref="D19:S19" si="2">STDEV(D3:D18)</f>
        <v>32.734418278014338</v>
      </c>
      <c r="E19" s="20">
        <f t="shared" si="2"/>
        <v>10.321038976554425</v>
      </c>
      <c r="F19" s="8">
        <f t="shared" si="2"/>
        <v>24.473415508806198</v>
      </c>
      <c r="G19" s="8">
        <f t="shared" si="2"/>
        <v>22.12393408857352</v>
      </c>
      <c r="H19" s="8">
        <f t="shared" si="2"/>
        <v>9.9367645080724767</v>
      </c>
      <c r="I19" s="8">
        <f t="shared" si="2"/>
        <v>17.345939851542585</v>
      </c>
      <c r="J19" s="8">
        <f t="shared" si="2"/>
        <v>14.217145611315003</v>
      </c>
      <c r="K19" s="8">
        <f t="shared" si="2"/>
        <v>10.02493934589576</v>
      </c>
      <c r="L19" s="8">
        <f t="shared" si="2"/>
        <v>14.127571152419179</v>
      </c>
      <c r="M19" s="8">
        <f t="shared" si="2"/>
        <v>10.80867540450725</v>
      </c>
      <c r="N19" s="8">
        <f t="shared" si="2"/>
        <v>9.235429364981119</v>
      </c>
      <c r="O19" s="8">
        <f t="shared" si="2"/>
        <v>9.5742083165601155</v>
      </c>
      <c r="P19" s="8">
        <f t="shared" si="2"/>
        <v>10.736828747612376</v>
      </c>
      <c r="Q19" s="8">
        <f t="shared" si="2"/>
        <v>20.211931943505476</v>
      </c>
      <c r="R19" s="8">
        <f t="shared" si="2"/>
        <v>11.588977636817956</v>
      </c>
      <c r="S19" s="8">
        <f t="shared" si="2"/>
        <v>13.360133066536262</v>
      </c>
      <c r="T19" s="8">
        <f t="shared" ref="T19:AG19" si="3">STDEV(T3:T17)</f>
        <v>14.873305361652212</v>
      </c>
      <c r="U19" s="8">
        <f t="shared" si="3"/>
        <v>12.916170853771236</v>
      </c>
      <c r="V19" s="8">
        <f t="shared" si="3"/>
        <v>7.859853869961122</v>
      </c>
      <c r="W19" s="8">
        <f t="shared" si="3"/>
        <v>7.4768428648713918</v>
      </c>
      <c r="X19" s="8">
        <f t="shared" si="3"/>
        <v>10.374992600313567</v>
      </c>
      <c r="Y19" s="8">
        <f t="shared" si="3"/>
        <v>13.321886900125936</v>
      </c>
      <c r="Z19" s="8">
        <f t="shared" si="3"/>
        <v>22.243468504392553</v>
      </c>
      <c r="AA19" s="8">
        <f t="shared" si="3"/>
        <v>31.746039450395894</v>
      </c>
      <c r="AB19" s="8">
        <f t="shared" si="3"/>
        <v>25.313787957301596</v>
      </c>
      <c r="AC19" s="8">
        <f t="shared" si="3"/>
        <v>28.556957396096202</v>
      </c>
      <c r="AD19" s="8">
        <f t="shared" si="3"/>
        <v>9.3529514361469861</v>
      </c>
      <c r="AE19" s="8">
        <f t="shared" si="3"/>
        <v>8.0629804328431049</v>
      </c>
      <c r="AF19" s="8">
        <f t="shared" si="3"/>
        <v>18.965191456879779</v>
      </c>
      <c r="AG19" s="8">
        <f t="shared" si="3"/>
        <v>8.957106978485923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</row>
    <row r="20" spans="1:116" s="10" customFormat="1" x14ac:dyDescent="0.25">
      <c r="A20" s="21" t="s">
        <v>55</v>
      </c>
      <c r="B20" s="22">
        <v>501</v>
      </c>
      <c r="C20" s="22">
        <v>515</v>
      </c>
      <c r="D20" s="8">
        <v>475</v>
      </c>
      <c r="E20" s="22">
        <v>427</v>
      </c>
      <c r="F20" s="22">
        <v>691</v>
      </c>
      <c r="G20" s="22">
        <v>662</v>
      </c>
      <c r="H20" s="22">
        <v>684</v>
      </c>
      <c r="I20" s="22">
        <v>745</v>
      </c>
      <c r="J20" s="22">
        <v>383</v>
      </c>
      <c r="K20" s="22">
        <v>337</v>
      </c>
      <c r="L20" s="22">
        <v>280</v>
      </c>
      <c r="M20" s="22">
        <v>329</v>
      </c>
      <c r="N20" s="22">
        <v>210</v>
      </c>
      <c r="O20" s="22">
        <v>292</v>
      </c>
      <c r="P20" s="22">
        <v>192</v>
      </c>
      <c r="Q20" s="22">
        <v>247</v>
      </c>
      <c r="R20" s="22">
        <v>560</v>
      </c>
      <c r="S20" s="22">
        <v>544</v>
      </c>
      <c r="T20" s="22">
        <v>448</v>
      </c>
      <c r="U20" s="22">
        <v>475</v>
      </c>
      <c r="V20" s="22">
        <v>245</v>
      </c>
      <c r="W20" s="22">
        <v>273</v>
      </c>
      <c r="X20" s="22">
        <v>256</v>
      </c>
      <c r="Y20" s="22">
        <v>256</v>
      </c>
      <c r="Z20" s="22">
        <v>454</v>
      </c>
      <c r="AA20" s="22">
        <v>463</v>
      </c>
      <c r="AB20" s="22">
        <v>365</v>
      </c>
      <c r="AC20" s="22">
        <v>444</v>
      </c>
      <c r="AD20" s="22">
        <v>302</v>
      </c>
      <c r="AE20" s="22">
        <v>332</v>
      </c>
      <c r="AF20" s="22">
        <v>304</v>
      </c>
      <c r="AG20" s="22">
        <v>284</v>
      </c>
    </row>
    <row r="21" spans="1:116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8"/>
  <sheetViews>
    <sheetView workbookViewId="0">
      <selection activeCell="AU15" sqref="AU15"/>
    </sheetView>
  </sheetViews>
  <sheetFormatPr defaultColWidth="11" defaultRowHeight="15.75" x14ac:dyDescent="0.25"/>
  <cols>
    <col min="1" max="1" width="16.625" customWidth="1"/>
    <col min="23" max="23" width="13.125" bestFit="1" customWidth="1"/>
  </cols>
  <sheetData>
    <row r="1" spans="1:33" x14ac:dyDescent="0.25">
      <c r="A1" s="6" t="s">
        <v>56</v>
      </c>
      <c r="B1" s="36">
        <v>1</v>
      </c>
      <c r="C1" s="36"/>
      <c r="D1" s="36"/>
      <c r="E1" s="36"/>
      <c r="F1" s="37">
        <v>2</v>
      </c>
      <c r="G1" s="37"/>
      <c r="H1" s="37"/>
      <c r="I1" s="37"/>
      <c r="J1" s="38">
        <v>3</v>
      </c>
      <c r="K1" s="38"/>
      <c r="L1" s="38"/>
      <c r="M1" s="38"/>
      <c r="N1" s="39">
        <v>4</v>
      </c>
      <c r="O1" s="39"/>
      <c r="P1" s="39"/>
      <c r="Q1" s="39"/>
      <c r="R1" s="40">
        <v>5</v>
      </c>
      <c r="S1" s="40"/>
      <c r="T1" s="40"/>
      <c r="U1" s="40"/>
      <c r="V1" s="41">
        <v>6</v>
      </c>
      <c r="W1" s="41"/>
      <c r="X1" s="41"/>
      <c r="Y1" s="41"/>
      <c r="Z1" s="34">
        <v>7</v>
      </c>
      <c r="AA1" s="34"/>
      <c r="AB1" s="34"/>
      <c r="AC1" s="34"/>
      <c r="AD1" s="35">
        <v>8</v>
      </c>
      <c r="AE1" s="35"/>
      <c r="AF1" s="35"/>
      <c r="AG1" s="35"/>
    </row>
    <row r="2" spans="1:33" x14ac:dyDescent="0.25">
      <c r="A2" s="18"/>
      <c r="B2" s="32" t="s">
        <v>64</v>
      </c>
      <c r="C2" s="32" t="s">
        <v>65</v>
      </c>
      <c r="D2" s="32" t="s">
        <v>53</v>
      </c>
      <c r="E2" s="32" t="s">
        <v>54</v>
      </c>
      <c r="F2" s="32" t="s">
        <v>64</v>
      </c>
      <c r="G2" s="32" t="s">
        <v>65</v>
      </c>
      <c r="H2" s="32" t="s">
        <v>53</v>
      </c>
      <c r="I2" s="32" t="s">
        <v>54</v>
      </c>
      <c r="J2" s="32" t="s">
        <v>64</v>
      </c>
      <c r="K2" s="32" t="s">
        <v>65</v>
      </c>
      <c r="L2" s="32" t="s">
        <v>53</v>
      </c>
      <c r="M2" s="32" t="s">
        <v>54</v>
      </c>
      <c r="N2" s="32" t="s">
        <v>64</v>
      </c>
      <c r="O2" s="32" t="s">
        <v>65</v>
      </c>
      <c r="P2" s="32" t="s">
        <v>53</v>
      </c>
      <c r="Q2" s="32" t="s">
        <v>54</v>
      </c>
      <c r="R2" s="32" t="s">
        <v>64</v>
      </c>
      <c r="S2" s="32" t="s">
        <v>65</v>
      </c>
      <c r="T2" s="32" t="s">
        <v>53</v>
      </c>
      <c r="U2" s="32" t="s">
        <v>54</v>
      </c>
      <c r="V2" s="32" t="s">
        <v>64</v>
      </c>
      <c r="W2" s="32" t="s">
        <v>65</v>
      </c>
      <c r="X2" s="32" t="s">
        <v>53</v>
      </c>
      <c r="Y2" s="32" t="s">
        <v>54</v>
      </c>
      <c r="Z2" s="32" t="s">
        <v>64</v>
      </c>
      <c r="AA2" s="32" t="s">
        <v>65</v>
      </c>
      <c r="AB2" s="32" t="s">
        <v>53</v>
      </c>
      <c r="AC2" s="32" t="s">
        <v>54</v>
      </c>
      <c r="AD2" s="32" t="s">
        <v>64</v>
      </c>
      <c r="AE2" s="32" t="s">
        <v>65</v>
      </c>
      <c r="AF2" s="32" t="s">
        <v>53</v>
      </c>
      <c r="AG2" s="32" t="s">
        <v>54</v>
      </c>
    </row>
    <row r="3" spans="1:33" x14ac:dyDescent="0.25">
      <c r="A3" s="6" t="s">
        <v>38</v>
      </c>
      <c r="B3" s="4">
        <v>31.895999999999997</v>
      </c>
      <c r="C3" s="4">
        <v>30.492000000000001</v>
      </c>
      <c r="D3" s="4">
        <v>29.2</v>
      </c>
      <c r="E3" s="4">
        <v>29.97</v>
      </c>
      <c r="F3" s="4">
        <v>29.916000000000004</v>
      </c>
      <c r="G3" s="4">
        <v>30.240000000000002</v>
      </c>
      <c r="H3" s="4">
        <v>31.283999999999999</v>
      </c>
      <c r="I3" s="4">
        <v>30.348000000000003</v>
      </c>
      <c r="J3" s="4">
        <v>29.088000000000001</v>
      </c>
      <c r="K3" s="4">
        <v>28.728000000000002</v>
      </c>
      <c r="L3" s="4">
        <v>30.6</v>
      </c>
      <c r="M3" s="4">
        <v>28.080000000000002</v>
      </c>
      <c r="N3" s="4">
        <v>28.907999999999998</v>
      </c>
      <c r="O3" s="4">
        <v>28.548000000000002</v>
      </c>
      <c r="P3" s="4">
        <v>25.812000000000001</v>
      </c>
      <c r="Q3" s="4">
        <v>31.607999999999997</v>
      </c>
      <c r="R3" s="4">
        <v>28.907999999999998</v>
      </c>
      <c r="S3" s="4">
        <v>29.081</v>
      </c>
      <c r="T3" s="4">
        <v>29.7</v>
      </c>
      <c r="U3" s="4">
        <v>29.663999999999998</v>
      </c>
      <c r="V3" s="4">
        <v>25.235999999999997</v>
      </c>
      <c r="W3" s="29">
        <v>24.659999999999958</v>
      </c>
      <c r="X3" s="4">
        <v>25.07412587412589</v>
      </c>
      <c r="Y3" s="4">
        <v>23.89440000000004</v>
      </c>
      <c r="Z3" s="4">
        <v>29.593770491803333</v>
      </c>
      <c r="AA3" s="31">
        <v>30.081000000000046</v>
      </c>
      <c r="AB3" s="4">
        <v>30.036000000000048</v>
      </c>
      <c r="AC3" s="4">
        <v>29.802644628099223</v>
      </c>
      <c r="AD3" s="4">
        <v>29.588429752066041</v>
      </c>
      <c r="AE3" s="4">
        <v>29.043870967741988</v>
      </c>
      <c r="AF3" s="4">
        <v>23.051538461538435</v>
      </c>
      <c r="AG3" s="13">
        <v>29.540655737704885</v>
      </c>
    </row>
    <row r="4" spans="1:33" x14ac:dyDescent="0.25">
      <c r="A4" s="6" t="s">
        <v>39</v>
      </c>
      <c r="B4" s="4">
        <v>31.463999999999999</v>
      </c>
      <c r="C4" s="4">
        <v>30.6</v>
      </c>
      <c r="D4" s="4">
        <v>29.880000000000003</v>
      </c>
      <c r="E4" s="4">
        <v>30.240000000000002</v>
      </c>
      <c r="F4" s="4">
        <v>30.923999999999999</v>
      </c>
      <c r="G4" s="4">
        <v>30.6</v>
      </c>
      <c r="H4" s="4">
        <v>31.463999999999999</v>
      </c>
      <c r="I4" s="4">
        <v>30.6</v>
      </c>
      <c r="J4" s="4">
        <v>29.951999999999998</v>
      </c>
      <c r="K4" s="4">
        <v>29.016000000000002</v>
      </c>
      <c r="L4" s="4">
        <v>27.036000000000001</v>
      </c>
      <c r="M4" s="4">
        <v>28.296000000000003</v>
      </c>
      <c r="N4" s="4">
        <v>29.268000000000001</v>
      </c>
      <c r="O4" s="4">
        <v>29.556000000000004</v>
      </c>
      <c r="P4" s="4">
        <v>28.584000000000003</v>
      </c>
      <c r="Q4" s="4">
        <v>30.923999999999999</v>
      </c>
      <c r="R4" s="4">
        <v>29.951999999999998</v>
      </c>
      <c r="S4" s="4">
        <v>30.731999999999999</v>
      </c>
      <c r="T4" s="4">
        <v>30.348000000000003</v>
      </c>
      <c r="U4" s="4">
        <v>29.916000000000004</v>
      </c>
      <c r="V4" s="4">
        <v>23.795999999999999</v>
      </c>
      <c r="W4" s="24">
        <v>23.826575342465809</v>
      </c>
      <c r="X4" s="4">
        <v>25.38125874125874</v>
      </c>
      <c r="Y4" s="4">
        <v>23.752800000000057</v>
      </c>
      <c r="Z4" s="4">
        <v>31.432131147541014</v>
      </c>
      <c r="AA4" s="4">
        <v>31.224000000000057</v>
      </c>
      <c r="AB4" s="4">
        <v>30.915000000000042</v>
      </c>
      <c r="AC4" s="4">
        <v>30.951074380165341</v>
      </c>
      <c r="AD4" s="4">
        <v>29.930578512396618</v>
      </c>
      <c r="AE4" s="4">
        <v>29.247096774193608</v>
      </c>
      <c r="AF4" s="4">
        <v>26.409230769230724</v>
      </c>
      <c r="AG4" s="13">
        <v>29.909508196721248</v>
      </c>
    </row>
    <row r="5" spans="1:33" x14ac:dyDescent="0.25">
      <c r="A5" s="6" t="s">
        <v>40</v>
      </c>
      <c r="B5" s="4">
        <v>31.104000000000003</v>
      </c>
      <c r="C5" s="4">
        <v>30.6</v>
      </c>
      <c r="D5" s="4">
        <v>29.880000000000003</v>
      </c>
      <c r="E5" s="4">
        <v>30.240000000000002</v>
      </c>
      <c r="F5" s="4">
        <v>30.923999999999999</v>
      </c>
      <c r="G5" s="4">
        <v>30.6</v>
      </c>
      <c r="H5" s="4">
        <v>31.463999999999999</v>
      </c>
      <c r="I5" s="4">
        <v>30.6</v>
      </c>
      <c r="J5" s="4">
        <v>28.115999999999996</v>
      </c>
      <c r="K5" s="4">
        <v>28.440000000000005</v>
      </c>
      <c r="L5" s="4">
        <v>26.856000000000002</v>
      </c>
      <c r="M5" s="4">
        <v>28.296000000000003</v>
      </c>
      <c r="N5" s="4">
        <v>28.692</v>
      </c>
      <c r="O5" s="4">
        <v>28.475999999999999</v>
      </c>
      <c r="P5" s="4">
        <v>28.296000000000003</v>
      </c>
      <c r="Q5" s="4">
        <v>29.556000000000004</v>
      </c>
      <c r="R5" s="4">
        <v>29.916000000000004</v>
      </c>
      <c r="S5" s="4">
        <v>30.831</v>
      </c>
      <c r="T5" s="4">
        <v>30.6</v>
      </c>
      <c r="U5" s="4">
        <v>29.916000000000004</v>
      </c>
      <c r="V5" s="4">
        <v>23.724</v>
      </c>
      <c r="W5" s="24">
        <v>23.979452054794571</v>
      </c>
      <c r="X5" s="4">
        <v>25.189930069930067</v>
      </c>
      <c r="Y5" s="4">
        <v>24.32399999999997</v>
      </c>
      <c r="Z5" s="4">
        <v>31.45573770491804</v>
      </c>
      <c r="AA5" s="4">
        <v>31.28400000000007</v>
      </c>
      <c r="AB5" s="4">
        <v>31.21500000000006</v>
      </c>
      <c r="AC5" s="4">
        <v>30.951074380165341</v>
      </c>
      <c r="AD5" s="4">
        <v>29.900826446280934</v>
      </c>
      <c r="AE5" s="4">
        <v>29.229677419354896</v>
      </c>
      <c r="AF5" s="4">
        <v>26.337692307692294</v>
      </c>
      <c r="AG5" s="13">
        <v>29.900655737704863</v>
      </c>
    </row>
    <row r="6" spans="1:33" x14ac:dyDescent="0.25">
      <c r="A6" s="6" t="s">
        <v>41</v>
      </c>
      <c r="B6" s="4">
        <v>30.095999999999997</v>
      </c>
      <c r="C6" s="4">
        <v>30.6</v>
      </c>
      <c r="D6" s="4">
        <v>28.871999999999996</v>
      </c>
      <c r="E6" s="9">
        <v>30.257999999999999</v>
      </c>
      <c r="F6" s="4">
        <v>31.175999999999998</v>
      </c>
      <c r="G6" s="4">
        <v>30.6</v>
      </c>
      <c r="H6" s="4">
        <v>31.5</v>
      </c>
      <c r="I6" s="4">
        <v>30.564</v>
      </c>
      <c r="J6" s="4">
        <v>27.612000000000002</v>
      </c>
      <c r="K6" s="4">
        <v>28.332000000000001</v>
      </c>
      <c r="L6" s="4">
        <v>26.784000000000002</v>
      </c>
      <c r="M6" s="4">
        <v>28.332000000000001</v>
      </c>
      <c r="N6" s="4">
        <v>28.548000000000002</v>
      </c>
      <c r="O6" s="4">
        <v>27.071999999999996</v>
      </c>
      <c r="P6" s="4">
        <v>28.403999999999996</v>
      </c>
      <c r="Q6" s="4">
        <v>28.548000000000002</v>
      </c>
      <c r="R6" s="4">
        <v>29.951999999999998</v>
      </c>
      <c r="S6" s="4">
        <v>31.273</v>
      </c>
      <c r="T6" s="4">
        <v>30.564</v>
      </c>
      <c r="U6" s="4">
        <v>29.916000000000004</v>
      </c>
      <c r="V6" s="4">
        <v>23.436</v>
      </c>
      <c r="W6" s="24">
        <v>24.235890410958916</v>
      </c>
      <c r="X6" s="4">
        <v>25.192447552447554</v>
      </c>
      <c r="Y6" s="4">
        <v>23.750400000000049</v>
      </c>
      <c r="Z6" s="4">
        <v>31.653442622950745</v>
      </c>
      <c r="AA6" s="4">
        <v>31.266000000000069</v>
      </c>
      <c r="AB6" s="4">
        <v>31.233000000000061</v>
      </c>
      <c r="AC6" s="4">
        <v>31.266446280991801</v>
      </c>
      <c r="AD6" s="4">
        <v>29.91570247933878</v>
      </c>
      <c r="AE6" s="4">
        <v>29.267419354838761</v>
      </c>
      <c r="AF6" s="4">
        <v>26.386153846153821</v>
      </c>
      <c r="AG6" s="13">
        <v>29.469836065573805</v>
      </c>
    </row>
    <row r="7" spans="1:33" x14ac:dyDescent="0.25">
      <c r="A7" s="6" t="s">
        <v>42</v>
      </c>
      <c r="B7" s="4">
        <v>29.304000000000002</v>
      </c>
      <c r="C7" s="4">
        <v>30.564</v>
      </c>
      <c r="D7" s="4">
        <v>28.440000000000005</v>
      </c>
      <c r="E7" s="4">
        <v>30.240000000000002</v>
      </c>
      <c r="F7" s="4">
        <v>31.463999999999999</v>
      </c>
      <c r="G7" s="4">
        <v>30.6</v>
      </c>
      <c r="H7" s="4">
        <v>31.463999999999999</v>
      </c>
      <c r="I7" s="4">
        <v>30.276</v>
      </c>
      <c r="J7" s="4">
        <v>27.107999999999997</v>
      </c>
      <c r="K7" s="4">
        <v>28.224</v>
      </c>
      <c r="L7" s="4">
        <v>26.856000000000002</v>
      </c>
      <c r="M7" s="4">
        <v>28.296000000000003</v>
      </c>
      <c r="N7" s="4">
        <v>28.98</v>
      </c>
      <c r="O7" s="4">
        <v>27.828000000000003</v>
      </c>
      <c r="P7" s="4">
        <v>28.728000000000002</v>
      </c>
      <c r="Q7" s="4">
        <v>27.468</v>
      </c>
      <c r="R7" s="4">
        <v>29.916000000000004</v>
      </c>
      <c r="S7" s="4">
        <v>31.245000000000001</v>
      </c>
      <c r="T7" s="4">
        <v>30.636000000000003</v>
      </c>
      <c r="U7" s="4">
        <v>29.951999999999998</v>
      </c>
      <c r="V7" s="4">
        <v>23.724</v>
      </c>
      <c r="W7" s="24">
        <v>24.216164383561658</v>
      </c>
      <c r="X7" s="4">
        <v>24.588251748251771</v>
      </c>
      <c r="Y7" s="4">
        <v>24.871199999999995</v>
      </c>
      <c r="Z7" s="4">
        <v>31.753770491803227</v>
      </c>
      <c r="AA7" s="4">
        <v>31.245000000000061</v>
      </c>
      <c r="AB7" s="4">
        <v>31.236000000000057</v>
      </c>
      <c r="AC7" s="4">
        <v>31.245619834710801</v>
      </c>
      <c r="AD7" s="4">
        <v>29.600330578512398</v>
      </c>
      <c r="AE7" s="4">
        <v>29.261612903225853</v>
      </c>
      <c r="AF7" s="4">
        <v>26.335384615384573</v>
      </c>
      <c r="AG7" s="13">
        <v>28.676065573770462</v>
      </c>
    </row>
    <row r="8" spans="1:33" x14ac:dyDescent="0.25">
      <c r="A8" s="6" t="s">
        <v>43</v>
      </c>
      <c r="B8" s="4">
        <v>29.268000000000001</v>
      </c>
      <c r="C8" s="4">
        <v>30.923999999999999</v>
      </c>
      <c r="D8" s="4">
        <v>28.440000000000005</v>
      </c>
      <c r="E8" s="4">
        <v>30.257999999999999</v>
      </c>
      <c r="F8" s="4">
        <v>30.995999999999999</v>
      </c>
      <c r="G8" s="4">
        <v>30.923999999999999</v>
      </c>
      <c r="H8" s="4">
        <v>30.816000000000003</v>
      </c>
      <c r="I8" s="4">
        <v>30.059999999999995</v>
      </c>
      <c r="J8" s="4">
        <v>26.784000000000002</v>
      </c>
      <c r="K8" s="4">
        <v>28.692</v>
      </c>
      <c r="L8" s="4">
        <v>26.784000000000002</v>
      </c>
      <c r="M8" s="4">
        <v>26.532</v>
      </c>
      <c r="N8" s="4">
        <v>28.548000000000002</v>
      </c>
      <c r="O8" s="4">
        <v>28.115999999999996</v>
      </c>
      <c r="P8" s="4">
        <v>27.828000000000003</v>
      </c>
      <c r="Q8" s="4">
        <v>27.540000000000003</v>
      </c>
      <c r="R8" s="4">
        <v>29.951999999999998</v>
      </c>
      <c r="S8" s="4">
        <v>31.471</v>
      </c>
      <c r="T8" s="4">
        <v>30.564</v>
      </c>
      <c r="U8" s="4">
        <v>29.951999999999998</v>
      </c>
      <c r="V8" s="4">
        <v>23.724</v>
      </c>
      <c r="W8" s="24">
        <v>24.1964383561644</v>
      </c>
      <c r="X8" s="4">
        <v>25.179860139860132</v>
      </c>
      <c r="Y8" s="4">
        <v>24.489600000000003</v>
      </c>
      <c r="Z8" s="4">
        <v>31.747868852458954</v>
      </c>
      <c r="AA8" s="4">
        <v>31.413000000000018</v>
      </c>
      <c r="AB8" s="4">
        <v>31.236000000000057</v>
      </c>
      <c r="AC8" s="4">
        <v>31.233719008264519</v>
      </c>
      <c r="AD8" s="4">
        <v>29.63603305785125</v>
      </c>
      <c r="AE8" s="4">
        <v>29.258709677419411</v>
      </c>
      <c r="AF8" s="4">
        <v>26.178461538461516</v>
      </c>
      <c r="AG8" s="13">
        <v>28.262950819672078</v>
      </c>
    </row>
    <row r="9" spans="1:33" x14ac:dyDescent="0.25">
      <c r="A9" s="6" t="s">
        <v>44</v>
      </c>
      <c r="B9" s="4">
        <v>28.98</v>
      </c>
      <c r="C9" s="4">
        <v>30.923999999999999</v>
      </c>
      <c r="D9" s="4">
        <v>28.044</v>
      </c>
      <c r="E9" s="4">
        <v>30.240000000000002</v>
      </c>
      <c r="F9" s="4">
        <v>30.923999999999999</v>
      </c>
      <c r="G9" s="4">
        <v>31.140000000000004</v>
      </c>
      <c r="H9" s="4">
        <v>30.636000000000003</v>
      </c>
      <c r="I9" s="4">
        <v>29.880000000000003</v>
      </c>
      <c r="J9" s="4">
        <v>26.784000000000002</v>
      </c>
      <c r="K9" s="4">
        <v>28.655999999999999</v>
      </c>
      <c r="L9" s="4">
        <v>26.784000000000002</v>
      </c>
      <c r="M9" s="4">
        <v>27</v>
      </c>
      <c r="N9" s="4">
        <v>28.007999999999999</v>
      </c>
      <c r="O9" s="4">
        <v>27.684000000000005</v>
      </c>
      <c r="P9" s="4">
        <v>27.215999999999998</v>
      </c>
      <c r="Q9" s="4">
        <v>26.892000000000003</v>
      </c>
      <c r="R9" s="4">
        <v>30.952000000000002</v>
      </c>
      <c r="S9" s="4">
        <v>31.561</v>
      </c>
      <c r="T9" s="4">
        <v>30.6</v>
      </c>
      <c r="U9" s="4">
        <v>29.951999999999998</v>
      </c>
      <c r="V9" s="4">
        <v>23.364000000000001</v>
      </c>
      <c r="W9" s="24">
        <v>23.306301369863</v>
      </c>
      <c r="X9" s="4">
        <v>24.162797202797218</v>
      </c>
      <c r="Y9" s="4">
        <v>24.796800000000008</v>
      </c>
      <c r="Z9" s="4">
        <v>31.883606557377028</v>
      </c>
      <c r="AA9" s="4">
        <v>31.682999999999929</v>
      </c>
      <c r="AB9" s="4">
        <v>31.329000000000029</v>
      </c>
      <c r="AC9" s="4">
        <v>31.412231404958714</v>
      </c>
      <c r="AD9" s="4">
        <v>29.070743801652888</v>
      </c>
      <c r="AE9" s="4">
        <v>29.255806451612955</v>
      </c>
      <c r="AF9" s="4">
        <v>25.943076923076966</v>
      </c>
      <c r="AG9" s="13">
        <v>28.442950819672109</v>
      </c>
    </row>
    <row r="10" spans="1:33" x14ac:dyDescent="0.25">
      <c r="A10" s="6" t="s">
        <v>45</v>
      </c>
      <c r="B10" s="4">
        <v>28.548000000000002</v>
      </c>
      <c r="C10" s="4">
        <v>30.923999999999999</v>
      </c>
      <c r="D10" s="4">
        <v>28.259999999999998</v>
      </c>
      <c r="E10" s="4">
        <v>30.250800000000005</v>
      </c>
      <c r="F10" s="4">
        <v>30.707999999999998</v>
      </c>
      <c r="G10" s="4">
        <v>31.175999999999998</v>
      </c>
      <c r="H10" s="4">
        <v>30.6</v>
      </c>
      <c r="I10" s="4">
        <v>29.988</v>
      </c>
      <c r="J10" s="4">
        <v>26.748000000000001</v>
      </c>
      <c r="K10" s="4">
        <v>28.332000000000001</v>
      </c>
      <c r="L10" s="4">
        <v>26.784000000000002</v>
      </c>
      <c r="M10" s="4">
        <v>28.296000000000003</v>
      </c>
      <c r="N10" s="4">
        <v>27.396000000000004</v>
      </c>
      <c r="O10" s="4">
        <v>27.288</v>
      </c>
      <c r="P10" s="4">
        <v>27.468</v>
      </c>
      <c r="Q10" s="4">
        <v>27.251999999999999</v>
      </c>
      <c r="R10" s="4">
        <v>30.952000000000002</v>
      </c>
      <c r="S10" s="4">
        <v>31.457999999999998</v>
      </c>
      <c r="T10" s="4">
        <v>30.383999999999997</v>
      </c>
      <c r="U10" s="4">
        <v>29.951999999999998</v>
      </c>
      <c r="V10" s="4">
        <v>23.291999999999998</v>
      </c>
      <c r="W10" s="24">
        <v>24.248219178082206</v>
      </c>
      <c r="X10" s="4">
        <v>24.331468531468481</v>
      </c>
      <c r="Y10" s="4">
        <v>23.392800000000008</v>
      </c>
      <c r="Z10" s="4">
        <v>32.057704918032762</v>
      </c>
      <c r="AA10" s="4">
        <v>31.952999999999975</v>
      </c>
      <c r="AB10" s="4">
        <v>31.577999999999925</v>
      </c>
      <c r="AC10" s="4">
        <v>31.459834710743809</v>
      </c>
      <c r="AD10" s="4">
        <v>28.184132231404988</v>
      </c>
      <c r="AE10" s="4">
        <v>29.261612903225863</v>
      </c>
      <c r="AF10" s="4">
        <v>25.926923076923117</v>
      </c>
      <c r="AG10" s="13">
        <v>28.552131147540944</v>
      </c>
    </row>
    <row r="11" spans="1:33" x14ac:dyDescent="0.25">
      <c r="A11" s="6" t="s">
        <v>46</v>
      </c>
      <c r="B11" s="4">
        <v>28.763999999999999</v>
      </c>
      <c r="C11" s="4">
        <v>30.887999999999998</v>
      </c>
      <c r="D11" s="4">
        <v>28.440000000000005</v>
      </c>
      <c r="E11" s="4">
        <v>30.243599999999997</v>
      </c>
      <c r="F11" s="4">
        <v>31.104000000000003</v>
      </c>
      <c r="G11" s="4">
        <v>31.428000000000004</v>
      </c>
      <c r="H11" s="4">
        <v>30.6</v>
      </c>
      <c r="I11" s="4">
        <v>30.167999999999999</v>
      </c>
      <c r="J11" s="4">
        <v>26.064</v>
      </c>
      <c r="K11" s="4">
        <v>28.296000000000003</v>
      </c>
      <c r="L11" s="4">
        <v>26.748000000000001</v>
      </c>
      <c r="M11" s="4">
        <v>28.296000000000003</v>
      </c>
      <c r="N11" s="4">
        <v>27.828000000000003</v>
      </c>
      <c r="O11" s="4">
        <v>28.907999999999998</v>
      </c>
      <c r="P11" s="4">
        <v>27.756</v>
      </c>
      <c r="Q11" s="4">
        <v>27.540000000000003</v>
      </c>
      <c r="R11" s="4">
        <v>30.952000000000002</v>
      </c>
      <c r="S11" s="4">
        <v>31.273</v>
      </c>
      <c r="T11" s="4">
        <v>30.059999999999995</v>
      </c>
      <c r="U11" s="4">
        <v>29.951999999999998</v>
      </c>
      <c r="V11" s="4">
        <v>22.824000000000002</v>
      </c>
      <c r="W11" s="24">
        <v>23.424657534246556</v>
      </c>
      <c r="X11" s="4">
        <v>23.002237762237726</v>
      </c>
      <c r="Y11" s="4">
        <v>24.00720000000004</v>
      </c>
      <c r="Z11">
        <v>32.048852459016359</v>
      </c>
      <c r="AA11" s="4">
        <v>32.069999999999951</v>
      </c>
      <c r="AB11" s="4">
        <v>31.748999999999938</v>
      </c>
      <c r="AC11" s="4">
        <v>31.42710743801657</v>
      </c>
      <c r="AD11" s="4">
        <v>28.585785123966929</v>
      </c>
      <c r="AE11" s="4">
        <v>29.270322580645228</v>
      </c>
      <c r="AF11" s="4">
        <v>25.920000000000027</v>
      </c>
      <c r="AG11" s="13">
        <v>28.566885245901609</v>
      </c>
    </row>
    <row r="12" spans="1:33" x14ac:dyDescent="0.25">
      <c r="A12" s="6" t="s">
        <v>47</v>
      </c>
      <c r="B12" s="4">
        <v>28.8</v>
      </c>
      <c r="C12" s="4">
        <v>30.923999999999999</v>
      </c>
      <c r="D12" s="4">
        <v>28.512</v>
      </c>
      <c r="E12" s="4">
        <v>30.2652</v>
      </c>
      <c r="F12" s="9">
        <v>30.240000000000002</v>
      </c>
      <c r="G12" s="4">
        <v>31.32</v>
      </c>
      <c r="H12" s="4">
        <v>30.6</v>
      </c>
      <c r="I12" s="4">
        <v>30.383999999999997</v>
      </c>
      <c r="J12" s="4">
        <v>26.784000000000002</v>
      </c>
      <c r="K12" s="4">
        <v>28.332000000000001</v>
      </c>
      <c r="L12" s="4">
        <v>26.82</v>
      </c>
      <c r="M12" s="4">
        <v>28.296000000000003</v>
      </c>
      <c r="N12" s="4">
        <v>28.115999999999996</v>
      </c>
      <c r="O12" s="4">
        <v>28.692</v>
      </c>
      <c r="P12" s="4">
        <v>27.971999999999998</v>
      </c>
      <c r="Q12" s="4">
        <v>27.684000000000005</v>
      </c>
      <c r="R12" s="4">
        <v>30.988</v>
      </c>
      <c r="S12" s="4">
        <v>31.689</v>
      </c>
      <c r="T12" s="4">
        <v>29.7</v>
      </c>
      <c r="U12" s="4">
        <v>30.204000000000001</v>
      </c>
      <c r="V12" s="4">
        <v>22.464000000000002</v>
      </c>
      <c r="W12" s="24">
        <v>23.269315068493132</v>
      </c>
      <c r="X12" s="4">
        <v>24.266013986013935</v>
      </c>
      <c r="Y12" s="4">
        <v>24.647999999999989</v>
      </c>
      <c r="Z12" s="4">
        <v>32.243606557377035</v>
      </c>
      <c r="AA12" s="4">
        <v>32.078999999999951</v>
      </c>
      <c r="AB12" s="4">
        <v>31.745999999999924</v>
      </c>
      <c r="AC12" s="4">
        <v>31.718677685950343</v>
      </c>
      <c r="AD12" s="4">
        <v>28.844427599999996</v>
      </c>
      <c r="AE12" s="4">
        <v>29.255806451612962</v>
      </c>
      <c r="AF12" s="4">
        <v>25.917692307692342</v>
      </c>
      <c r="AG12" s="13">
        <v>28.569836065573735</v>
      </c>
    </row>
    <row r="13" spans="1:33" x14ac:dyDescent="0.25">
      <c r="A13" s="6" t="s">
        <v>48</v>
      </c>
      <c r="B13" s="4">
        <v>29.304000000000002</v>
      </c>
      <c r="C13" s="4">
        <v>30.923999999999999</v>
      </c>
      <c r="D13" s="4">
        <v>28.871999999999996</v>
      </c>
      <c r="E13" s="4">
        <v>30.257999999999999</v>
      </c>
      <c r="F13" s="4">
        <v>32.616</v>
      </c>
      <c r="G13" s="4">
        <v>30.923999999999999</v>
      </c>
      <c r="H13" s="4">
        <v>31.392000000000003</v>
      </c>
      <c r="I13" s="4">
        <v>30.564</v>
      </c>
      <c r="J13" s="4">
        <v>26.784000000000002</v>
      </c>
      <c r="K13" s="4">
        <v>28.728000000000002</v>
      </c>
      <c r="L13" s="4">
        <v>27.324000000000002</v>
      </c>
      <c r="M13" s="4">
        <v>26.640000000000004</v>
      </c>
      <c r="N13" s="4">
        <v>28.007999999999999</v>
      </c>
      <c r="O13" s="4">
        <v>28.728000000000002</v>
      </c>
      <c r="P13" s="4">
        <v>27.971999999999998</v>
      </c>
      <c r="Q13" s="4">
        <v>28.187999999999999</v>
      </c>
      <c r="R13" s="4">
        <v>30.952000000000002</v>
      </c>
      <c r="S13" s="4">
        <v>31.58</v>
      </c>
      <c r="T13" s="4">
        <v>29.628000000000004</v>
      </c>
      <c r="U13" s="4">
        <v>30.240000000000002</v>
      </c>
      <c r="V13" s="4">
        <v>22.788</v>
      </c>
      <c r="W13" s="24">
        <v>23.316164383561627</v>
      </c>
      <c r="X13" s="4">
        <v>24.500139860139818</v>
      </c>
      <c r="Y13" s="4">
        <v>22.907999999999994</v>
      </c>
      <c r="Z13" s="4">
        <v>32.568196721311494</v>
      </c>
      <c r="AA13" s="4">
        <v>32.595000000000013</v>
      </c>
      <c r="AB13" s="4">
        <v>31.982999999999965</v>
      </c>
      <c r="AC13" s="4">
        <v>31.727603305785056</v>
      </c>
      <c r="AD13" s="4">
        <v>28.862479338842981</v>
      </c>
      <c r="AE13" s="4">
        <v>29.575161290322608</v>
      </c>
      <c r="AF13" s="4">
        <v>25.920000000000037</v>
      </c>
      <c r="AG13" s="13">
        <v>28.584590163934394</v>
      </c>
    </row>
    <row r="14" spans="1:33" x14ac:dyDescent="0.25">
      <c r="A14" s="6" t="s">
        <v>49</v>
      </c>
      <c r="B14" s="4">
        <v>28.907999999999998</v>
      </c>
      <c r="C14" s="4">
        <v>30.923999999999999</v>
      </c>
      <c r="D14" s="4">
        <v>29.016000000000002</v>
      </c>
      <c r="E14" s="4">
        <v>30.362399999999997</v>
      </c>
      <c r="F14" s="4">
        <v>32.58</v>
      </c>
      <c r="G14" s="4">
        <v>30.923999999999999</v>
      </c>
      <c r="H14" s="4">
        <v>31.536000000000001</v>
      </c>
      <c r="I14" s="4">
        <v>30.923999999999999</v>
      </c>
      <c r="J14" s="4">
        <v>26.748000000000001</v>
      </c>
      <c r="K14" s="4">
        <v>28.836000000000002</v>
      </c>
      <c r="L14" s="4">
        <v>27.215999999999998</v>
      </c>
      <c r="M14" s="4">
        <v>28.115999999999996</v>
      </c>
      <c r="N14" s="4">
        <v>27.576000000000001</v>
      </c>
      <c r="O14" s="4">
        <v>28.548000000000002</v>
      </c>
      <c r="P14" s="4">
        <v>27.72</v>
      </c>
      <c r="Q14" s="4">
        <v>27.756</v>
      </c>
      <c r="R14" s="4">
        <v>30.952000000000002</v>
      </c>
      <c r="S14" s="4">
        <v>31.724</v>
      </c>
      <c r="T14" s="4">
        <v>29.304000000000002</v>
      </c>
      <c r="U14" s="4">
        <v>30.276</v>
      </c>
      <c r="V14" s="4">
        <v>22.752000000000002</v>
      </c>
      <c r="W14" s="24">
        <v>24.169315068493162</v>
      </c>
      <c r="X14" s="4">
        <v>23.692027972027997</v>
      </c>
      <c r="Y14" s="4">
        <v>23.882400000000032</v>
      </c>
      <c r="Z14" s="4">
        <v>32.639016393442645</v>
      </c>
      <c r="AA14" s="4">
        <v>32.622000000000021</v>
      </c>
      <c r="AB14" s="4">
        <v>32.048999999999964</v>
      </c>
      <c r="AC14" s="4">
        <v>31.718677685950343</v>
      </c>
      <c r="AD14" s="4">
        <v>28.505454545454519</v>
      </c>
      <c r="AE14" s="4">
        <v>29.885806451612858</v>
      </c>
      <c r="AF14" s="4">
        <v>26.727692307692319</v>
      </c>
      <c r="AG14" s="13">
        <v>28.124262295081913</v>
      </c>
    </row>
    <row r="15" spans="1:33" x14ac:dyDescent="0.25">
      <c r="A15" s="6" t="s">
        <v>50</v>
      </c>
      <c r="B15" s="4">
        <v>28.655999999999999</v>
      </c>
      <c r="C15" s="4">
        <v>30.923999999999999</v>
      </c>
      <c r="D15" s="4">
        <v>29.808</v>
      </c>
      <c r="E15" s="4">
        <v>30.564</v>
      </c>
      <c r="F15" s="4">
        <v>31.931999999999999</v>
      </c>
      <c r="G15" s="4">
        <v>31.895999999999997</v>
      </c>
      <c r="H15" s="4">
        <v>31.175999999999998</v>
      </c>
      <c r="I15" s="4">
        <v>31.463999999999999</v>
      </c>
      <c r="J15" s="4">
        <v>26.784000000000002</v>
      </c>
      <c r="K15" s="4">
        <v>28.907999999999998</v>
      </c>
      <c r="L15" s="4">
        <v>27.540000000000003</v>
      </c>
      <c r="M15" s="4">
        <v>28.296000000000003</v>
      </c>
      <c r="N15" s="4">
        <v>27.971999999999998</v>
      </c>
      <c r="O15" s="4">
        <v>28.440000000000005</v>
      </c>
      <c r="P15" s="4">
        <v>27.215999999999998</v>
      </c>
      <c r="Q15" s="4">
        <v>28.98</v>
      </c>
      <c r="R15" s="4">
        <v>30.564</v>
      </c>
      <c r="S15" s="4">
        <v>31.832000000000001</v>
      </c>
      <c r="T15" s="4">
        <v>29.340000000000003</v>
      </c>
      <c r="U15" s="4">
        <v>29.988</v>
      </c>
      <c r="V15" s="4">
        <v>22.32</v>
      </c>
      <c r="W15" s="24">
        <v>23.409863013698612</v>
      </c>
      <c r="X15" s="4">
        <v>24.162797202797144</v>
      </c>
      <c r="Y15" s="4">
        <v>23.805600000000013</v>
      </c>
      <c r="Z15" s="4">
        <v>32.612459016393473</v>
      </c>
      <c r="AA15" s="4">
        <v>33.614999999999959</v>
      </c>
      <c r="AB15" s="4">
        <v>32.06699999999995</v>
      </c>
      <c r="AC15" s="4">
        <v>32.239338842975179</v>
      </c>
      <c r="AD15" s="4">
        <v>28.252561983471026</v>
      </c>
      <c r="AE15" s="4">
        <v>30.196451612903171</v>
      </c>
      <c r="AF15" s="4">
        <v>28.255384615384578</v>
      </c>
      <c r="AG15" s="13">
        <v>28.215737704917967</v>
      </c>
    </row>
    <row r="16" spans="1:33" x14ac:dyDescent="0.25">
      <c r="A16" s="6" t="s">
        <v>51</v>
      </c>
      <c r="B16" s="4">
        <v>30.312000000000001</v>
      </c>
      <c r="C16" s="4">
        <v>31.068000000000001</v>
      </c>
      <c r="D16" s="4">
        <v>30.887999999999998</v>
      </c>
      <c r="E16" s="4">
        <v>30.887999999999998</v>
      </c>
      <c r="F16" s="4">
        <v>30.959999999999997</v>
      </c>
      <c r="G16" s="4">
        <v>32.868000000000002</v>
      </c>
      <c r="H16" s="4">
        <v>31.032</v>
      </c>
      <c r="I16" s="4">
        <v>31.428000000000004</v>
      </c>
      <c r="J16" s="4">
        <v>27</v>
      </c>
      <c r="K16" s="4">
        <v>29.304000000000002</v>
      </c>
      <c r="L16" s="4">
        <v>27.756</v>
      </c>
      <c r="M16" s="4">
        <v>28.296000000000003</v>
      </c>
      <c r="N16" s="4">
        <v>28.98</v>
      </c>
      <c r="O16" s="4">
        <v>28.187999999999999</v>
      </c>
      <c r="P16" s="4">
        <v>27.756</v>
      </c>
      <c r="Q16" s="4">
        <v>28.692</v>
      </c>
      <c r="R16" s="4">
        <v>30.636000000000003</v>
      </c>
      <c r="S16" s="4">
        <v>32.731999999999999</v>
      </c>
      <c r="T16" s="4">
        <v>29.448</v>
      </c>
      <c r="U16" s="4">
        <v>30.240000000000002</v>
      </c>
      <c r="V16" s="4">
        <v>23.076000000000001</v>
      </c>
      <c r="W16" s="24">
        <v>23.774794520547935</v>
      </c>
      <c r="X16" s="4">
        <v>24.089790209790248</v>
      </c>
      <c r="Y16" s="4">
        <v>24.060000000000024</v>
      </c>
      <c r="Z16" s="4">
        <v>32.603606557377063</v>
      </c>
      <c r="AA16" s="4">
        <v>34.719000000000058</v>
      </c>
      <c r="AB16" s="4">
        <v>33.230999999999923</v>
      </c>
      <c r="AC16" s="4">
        <v>33.81322314049585</v>
      </c>
      <c r="AD16" s="4">
        <v>28.573884297520628</v>
      </c>
      <c r="AE16" s="4">
        <v>30.208064516128992</v>
      </c>
      <c r="AF16" s="4">
        <v>28.580769230769228</v>
      </c>
      <c r="AG16" s="13">
        <v>28.398688524590142</v>
      </c>
    </row>
    <row r="17" spans="1:55" x14ac:dyDescent="0.25">
      <c r="A17" s="19" t="s">
        <v>52</v>
      </c>
      <c r="B17" s="17">
        <v>33.480000000000004</v>
      </c>
      <c r="C17" s="4">
        <v>33.948</v>
      </c>
      <c r="D17" s="17">
        <v>35.603999999999999</v>
      </c>
      <c r="E17" s="17">
        <v>32.49</v>
      </c>
      <c r="F17" s="4">
        <v>35.351999999999997</v>
      </c>
      <c r="G17" s="17">
        <v>35.064</v>
      </c>
      <c r="H17" s="17">
        <v>32.58</v>
      </c>
      <c r="I17" s="17">
        <v>33.588000000000001</v>
      </c>
      <c r="J17" s="17">
        <v>28.044</v>
      </c>
      <c r="K17" s="17">
        <v>30.923999999999999</v>
      </c>
      <c r="L17" s="17">
        <v>27.792000000000002</v>
      </c>
      <c r="M17" s="17">
        <v>29.880000000000003</v>
      </c>
      <c r="N17" s="17">
        <v>29.663999999999998</v>
      </c>
      <c r="O17" s="17">
        <v>29.448</v>
      </c>
      <c r="P17" s="17">
        <v>29.52</v>
      </c>
      <c r="Q17" s="17">
        <v>28.403999999999996</v>
      </c>
      <c r="R17" s="17">
        <v>32.688000000000002</v>
      </c>
      <c r="S17" s="4">
        <v>33.271999999999998</v>
      </c>
      <c r="T17" s="17">
        <v>32.904000000000003</v>
      </c>
      <c r="U17" s="17">
        <v>32.868000000000002</v>
      </c>
      <c r="V17" s="17">
        <v>24.443999999999999</v>
      </c>
      <c r="W17" s="30">
        <v>25.876285714285718</v>
      </c>
      <c r="X17" s="17">
        <v>26.978507462686565</v>
      </c>
      <c r="Y17" s="17">
        <v>27.95538461538457</v>
      </c>
      <c r="Z17" s="4">
        <v>35.597647058823547</v>
      </c>
      <c r="AA17" s="17">
        <v>36.705306122448974</v>
      </c>
      <c r="AB17" s="17">
        <v>35.943529411764715</v>
      </c>
      <c r="AC17" s="17">
        <v>36.342000000000013</v>
      </c>
      <c r="AD17" s="17">
        <v>29.478347107438019</v>
      </c>
      <c r="AE17" s="17">
        <v>30.867692307692334</v>
      </c>
      <c r="AF17" s="17">
        <v>30.097190082644619</v>
      </c>
      <c r="AG17" s="13">
        <v>28.873770491803306</v>
      </c>
    </row>
    <row r="18" spans="1:55" s="25" customFormat="1" x14ac:dyDescent="0.25">
      <c r="A18" s="23" t="s">
        <v>14</v>
      </c>
      <c r="B18" s="25">
        <f t="shared" ref="B18:M18" si="0">AVERAGE(B3:B17)</f>
        <v>29.925600000000006</v>
      </c>
      <c r="C18" s="25">
        <f t="shared" si="0"/>
        <v>31.015199999999993</v>
      </c>
      <c r="D18" s="25">
        <f t="shared" si="0"/>
        <v>29.477066666666666</v>
      </c>
      <c r="E18" s="25">
        <f t="shared" si="0"/>
        <v>30.451199999999996</v>
      </c>
      <c r="F18" s="25">
        <f t="shared" si="0"/>
        <v>31.4544</v>
      </c>
      <c r="G18" s="25">
        <f t="shared" si="0"/>
        <v>31.353599999999997</v>
      </c>
      <c r="H18" s="25">
        <f t="shared" si="0"/>
        <v>31.209599999999998</v>
      </c>
      <c r="I18" s="25">
        <f t="shared" si="0"/>
        <v>30.7224</v>
      </c>
      <c r="J18" s="26">
        <f t="shared" si="0"/>
        <v>27.359999999999996</v>
      </c>
      <c r="K18" s="26">
        <f t="shared" si="0"/>
        <v>28.783200000000004</v>
      </c>
      <c r="L18" s="26">
        <f t="shared" si="0"/>
        <v>27.312000000000005</v>
      </c>
      <c r="M18" s="26">
        <f t="shared" si="0"/>
        <v>28.063199999999998</v>
      </c>
      <c r="N18" s="26">
        <f t="shared" ref="N18:Q18" si="1">AVERAGE(N3:N17)</f>
        <v>28.4328</v>
      </c>
      <c r="O18" s="26">
        <f t="shared" si="1"/>
        <v>28.367999999999999</v>
      </c>
      <c r="P18" s="26">
        <f t="shared" si="1"/>
        <v>27.883199999999995</v>
      </c>
      <c r="Q18" s="26">
        <f t="shared" si="1"/>
        <v>28.468800000000002</v>
      </c>
      <c r="R18" s="26">
        <f t="shared" ref="R18" si="2">AVERAGE(R3:R17)</f>
        <v>30.548800000000004</v>
      </c>
      <c r="S18" s="26">
        <f t="shared" ref="S18" si="3">AVERAGE(S3:S17)</f>
        <v>31.450266666666664</v>
      </c>
      <c r="T18" s="26">
        <f t="shared" ref="T18" si="4">AVERAGE(T3:T17)</f>
        <v>30.251999999999999</v>
      </c>
      <c r="U18" s="26">
        <f t="shared" ref="U18:AG18" si="5">AVERAGE(U3:U17)</f>
        <v>30.199200000000005</v>
      </c>
      <c r="V18" s="26">
        <f t="shared" si="5"/>
        <v>23.397600000000004</v>
      </c>
      <c r="W18" s="26">
        <f t="shared" si="5"/>
        <v>23.993962426614484</v>
      </c>
      <c r="X18" s="26">
        <f t="shared" si="5"/>
        <v>24.652776954388887</v>
      </c>
      <c r="Y18" s="26">
        <f t="shared" si="5"/>
        <v>24.302572307692319</v>
      </c>
      <c r="Z18" s="26">
        <f t="shared" si="5"/>
        <v>32.126094503375114</v>
      </c>
      <c r="AA18" s="26">
        <f t="shared" si="5"/>
        <v>32.303620408163276</v>
      </c>
      <c r="AB18" s="26">
        <f t="shared" si="5"/>
        <v>31.836435294117642</v>
      </c>
      <c r="AC18" s="26">
        <f t="shared" si="5"/>
        <v>31.820618181818197</v>
      </c>
      <c r="AD18" s="26">
        <f t="shared" si="5"/>
        <v>29.128647790413204</v>
      </c>
      <c r="AE18" s="26">
        <f t="shared" si="5"/>
        <v>29.539007444168764</v>
      </c>
      <c r="AF18" s="26">
        <f t="shared" si="5"/>
        <v>26.532479338842972</v>
      </c>
      <c r="AG18" s="26">
        <f t="shared" si="5"/>
        <v>28.805901639344231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 s="27"/>
      <c r="BC18" s="27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tabSelected="1" workbookViewId="0">
      <selection activeCell="F31" sqref="F31"/>
    </sheetView>
  </sheetViews>
  <sheetFormatPr defaultColWidth="11" defaultRowHeight="15.75" x14ac:dyDescent="0.25"/>
  <cols>
    <col min="1" max="1" width="18.125" customWidth="1"/>
    <col min="2" max="2" width="12.875" customWidth="1"/>
    <col min="3" max="3" width="18.375" customWidth="1"/>
    <col min="4" max="4" width="18.875" customWidth="1"/>
    <col min="5" max="5" width="17.625" customWidth="1"/>
    <col min="6" max="6" width="20.125" customWidth="1"/>
  </cols>
  <sheetData>
    <row r="1" spans="1:6" x14ac:dyDescent="0.25">
      <c r="A1" s="6" t="s">
        <v>57</v>
      </c>
      <c r="B1" s="6"/>
      <c r="C1" s="6" t="s">
        <v>19</v>
      </c>
      <c r="D1" s="6" t="s">
        <v>20</v>
      </c>
    </row>
    <row r="2" spans="1:6" x14ac:dyDescent="0.25">
      <c r="B2" s="6">
        <v>1</v>
      </c>
      <c r="C2" s="7">
        <v>495.7</v>
      </c>
      <c r="D2" s="7">
        <v>500.9</v>
      </c>
    </row>
    <row r="3" spans="1:6" x14ac:dyDescent="0.25">
      <c r="B3" s="6">
        <v>2</v>
      </c>
      <c r="C3" s="7">
        <v>546.1</v>
      </c>
      <c r="D3" s="7">
        <v>545.1</v>
      </c>
    </row>
    <row r="4" spans="1:6" x14ac:dyDescent="0.25">
      <c r="B4" s="6">
        <v>3</v>
      </c>
      <c r="C4" s="7">
        <v>582.20000000000005</v>
      </c>
      <c r="D4" s="7">
        <v>588.20000000000005</v>
      </c>
    </row>
    <row r="5" spans="1:6" x14ac:dyDescent="0.25">
      <c r="B5" s="6">
        <v>4</v>
      </c>
      <c r="C5" s="7">
        <v>591.29999999999995</v>
      </c>
      <c r="D5" s="7">
        <v>594.70000000000005</v>
      </c>
    </row>
    <row r="6" spans="1:6" x14ac:dyDescent="0.25">
      <c r="B6" s="6">
        <v>5</v>
      </c>
      <c r="C6" s="7">
        <v>602.29999999999995</v>
      </c>
      <c r="D6" s="7">
        <v>600.70000000000005</v>
      </c>
    </row>
    <row r="7" spans="1:6" x14ac:dyDescent="0.25">
      <c r="B7" s="6">
        <v>6</v>
      </c>
      <c r="C7" s="7">
        <v>357.4</v>
      </c>
      <c r="D7" s="7">
        <v>361.9</v>
      </c>
    </row>
    <row r="8" spans="1:6" x14ac:dyDescent="0.25">
      <c r="B8" s="11">
        <v>7</v>
      </c>
      <c r="C8" s="7">
        <v>602.4</v>
      </c>
      <c r="D8" s="7">
        <v>599.5</v>
      </c>
    </row>
    <row r="9" spans="1:6" x14ac:dyDescent="0.25">
      <c r="B9" s="6">
        <v>8</v>
      </c>
      <c r="C9" s="7">
        <v>587.29999999999995</v>
      </c>
      <c r="D9" s="7">
        <v>584.5</v>
      </c>
    </row>
    <row r="10" spans="1:6" x14ac:dyDescent="0.25">
      <c r="B10" s="9" t="s">
        <v>14</v>
      </c>
      <c r="C10" s="10">
        <f t="shared" ref="C10" si="0">AVERAGE(C2:C9)</f>
        <v>545.58750000000009</v>
      </c>
      <c r="D10" s="10">
        <f t="shared" ref="D10" si="1">AVERAGE(D2:D9)</f>
        <v>546.9375</v>
      </c>
      <c r="E10" s="10"/>
      <c r="F10" s="10"/>
    </row>
    <row r="11" spans="1:6" x14ac:dyDescent="0.25">
      <c r="B11" s="9" t="s">
        <v>15</v>
      </c>
      <c r="C11" s="10">
        <f t="shared" ref="C11" si="2">STDEV(C2:C9)</f>
        <v>84.106708370123627</v>
      </c>
      <c r="D11" s="10">
        <f t="shared" ref="D11" si="3">STDEV(D2:D9)</f>
        <v>82.297126099795946</v>
      </c>
      <c r="E11" s="10"/>
      <c r="F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 Info</vt:lpstr>
      <vt:lpstr>PV Expansion</vt:lpstr>
      <vt:lpstr>Hemodynamic Data</vt:lpstr>
      <vt:lpstr>TT Variables</vt:lpstr>
      <vt:lpstr>Power per km</vt:lpstr>
      <vt:lpstr>Speed per km</vt:lpstr>
      <vt:lpstr>Equality of 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Pereira, Felipe Gorini Lienert</cp:lastModifiedBy>
  <dcterms:created xsi:type="dcterms:W3CDTF">2021-03-02T19:08:28Z</dcterms:created>
  <dcterms:modified xsi:type="dcterms:W3CDTF">2024-01-11T17:21:11Z</dcterms:modified>
</cp:coreProperties>
</file>